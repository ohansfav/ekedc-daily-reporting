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ekedp-my.sharepoint.com/personal/damilola_dada_ekedp_com/Documents/"/>
    </mc:Choice>
  </mc:AlternateContent>
  <xr:revisionPtr revIDLastSave="0" documentId="8_{66F8542F-F5FB-4111-9633-7E42117B94D7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How to Use" sheetId="1" r:id="rId1"/>
    <sheet name="Cashier Roster" sheetId="2" r:id="rId2"/>
    <sheet name="Daily Log" sheetId="3" r:id="rId3"/>
    <sheet name="Cashier Summary" sheetId="4" r:id="rId4"/>
    <sheet name="District Summary" sheetId="5" r:id="rId5"/>
    <sheet name="Settings" sheetId="6" r:id="rId6"/>
  </sheets>
  <definedNames>
    <definedName name="_xlnm._FilterDatabase" localSheetId="3" hidden="1">'Cashier Summary'!$A$5:$O$65</definedName>
    <definedName name="_xlnm._FilterDatabase" localSheetId="2" hidden="1">'Daily Log'!$A$4:$N$4004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5" l="1"/>
  <c r="M18" i="5" s="1"/>
  <c r="M17" i="5"/>
  <c r="J17" i="5"/>
  <c r="I17" i="5"/>
  <c r="H17" i="5"/>
  <c r="G17" i="5"/>
  <c r="E17" i="5"/>
  <c r="C17" i="5"/>
  <c r="B17" i="5"/>
  <c r="K17" i="5" s="1"/>
  <c r="M16" i="5"/>
  <c r="J16" i="5"/>
  <c r="I16" i="5"/>
  <c r="H16" i="5"/>
  <c r="G16" i="5"/>
  <c r="E16" i="5"/>
  <c r="C16" i="5"/>
  <c r="B16" i="5"/>
  <c r="K16" i="5" s="1"/>
  <c r="M15" i="5"/>
  <c r="J15" i="5"/>
  <c r="I15" i="5"/>
  <c r="H15" i="5"/>
  <c r="G15" i="5"/>
  <c r="E15" i="5"/>
  <c r="C15" i="5"/>
  <c r="B15" i="5"/>
  <c r="K15" i="5" s="1"/>
  <c r="M14" i="5"/>
  <c r="J14" i="5"/>
  <c r="I14" i="5"/>
  <c r="H14" i="5"/>
  <c r="G14" i="5"/>
  <c r="E14" i="5"/>
  <c r="C14" i="5"/>
  <c r="B14" i="5"/>
  <c r="K14" i="5" s="1"/>
  <c r="M13" i="5"/>
  <c r="J13" i="5"/>
  <c r="I13" i="5"/>
  <c r="H13" i="5"/>
  <c r="G13" i="5"/>
  <c r="E13" i="5"/>
  <c r="C13" i="5"/>
  <c r="B13" i="5"/>
  <c r="K13" i="5" s="1"/>
  <c r="M12" i="5"/>
  <c r="J12" i="5"/>
  <c r="I12" i="5"/>
  <c r="H12" i="5"/>
  <c r="G12" i="5"/>
  <c r="E12" i="5"/>
  <c r="C12" i="5"/>
  <c r="B12" i="5"/>
  <c r="K12" i="5" s="1"/>
  <c r="M11" i="5"/>
  <c r="J11" i="5"/>
  <c r="I11" i="5"/>
  <c r="H11" i="5"/>
  <c r="G11" i="5"/>
  <c r="E11" i="5"/>
  <c r="C11" i="5"/>
  <c r="B11" i="5"/>
  <c r="K11" i="5" s="1"/>
  <c r="M10" i="5"/>
  <c r="J10" i="5"/>
  <c r="I10" i="5"/>
  <c r="H10" i="5"/>
  <c r="G10" i="5"/>
  <c r="E10" i="5"/>
  <c r="C10" i="5"/>
  <c r="B10" i="5"/>
  <c r="K10" i="5" s="1"/>
  <c r="M9" i="5"/>
  <c r="J9" i="5"/>
  <c r="I9" i="5"/>
  <c r="H9" i="5"/>
  <c r="G9" i="5"/>
  <c r="E9" i="5"/>
  <c r="C9" i="5"/>
  <c r="B9" i="5"/>
  <c r="K9" i="5" s="1"/>
  <c r="M8" i="5"/>
  <c r="J8" i="5"/>
  <c r="I8" i="5"/>
  <c r="H8" i="5"/>
  <c r="G8" i="5"/>
  <c r="E8" i="5"/>
  <c r="C8" i="5"/>
  <c r="B8" i="5"/>
  <c r="K8" i="5" s="1"/>
  <c r="M7" i="5"/>
  <c r="J7" i="5"/>
  <c r="I7" i="5"/>
  <c r="H7" i="5"/>
  <c r="G7" i="5"/>
  <c r="E7" i="5"/>
  <c r="C7" i="5"/>
  <c r="B7" i="5"/>
  <c r="K7" i="5" s="1"/>
  <c r="M6" i="5"/>
  <c r="J6" i="5"/>
  <c r="J18" i="5" s="1"/>
  <c r="I6" i="5"/>
  <c r="I18" i="5" s="1"/>
  <c r="H6" i="5"/>
  <c r="H18" i="5" s="1"/>
  <c r="G6" i="5"/>
  <c r="G18" i="5" s="1"/>
  <c r="E6" i="5"/>
  <c r="E18" i="5" s="1"/>
  <c r="C6" i="5"/>
  <c r="C18" i="5" s="1"/>
  <c r="B6" i="5"/>
  <c r="A3" i="5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B18" i="4"/>
  <c r="A18" i="4"/>
  <c r="A17" i="4"/>
  <c r="A16" i="4"/>
  <c r="A15" i="4"/>
  <c r="A14" i="4"/>
  <c r="J13" i="4"/>
  <c r="A13" i="4"/>
  <c r="A12" i="4"/>
  <c r="A11" i="4"/>
  <c r="A10" i="4"/>
  <c r="A9" i="4"/>
  <c r="A8" i="4"/>
  <c r="A7" i="4"/>
  <c r="A6" i="4"/>
  <c r="A3" i="4"/>
  <c r="M4004" i="3"/>
  <c r="K4004" i="3"/>
  <c r="G4004" i="3"/>
  <c r="D4004" i="3"/>
  <c r="C4004" i="3"/>
  <c r="M4003" i="3"/>
  <c r="K4003" i="3"/>
  <c r="G4003" i="3"/>
  <c r="D4003" i="3"/>
  <c r="C4003" i="3"/>
  <c r="M4002" i="3"/>
  <c r="K4002" i="3"/>
  <c r="G4002" i="3"/>
  <c r="D4002" i="3"/>
  <c r="C4002" i="3"/>
  <c r="M4001" i="3"/>
  <c r="K4001" i="3"/>
  <c r="G4001" i="3"/>
  <c r="D4001" i="3"/>
  <c r="C4001" i="3"/>
  <c r="M4000" i="3"/>
  <c r="K4000" i="3"/>
  <c r="G4000" i="3"/>
  <c r="D4000" i="3"/>
  <c r="C4000" i="3"/>
  <c r="M3999" i="3"/>
  <c r="K3999" i="3"/>
  <c r="G3999" i="3"/>
  <c r="D3999" i="3"/>
  <c r="C3999" i="3"/>
  <c r="M3998" i="3"/>
  <c r="K3998" i="3"/>
  <c r="G3998" i="3"/>
  <c r="D3998" i="3"/>
  <c r="C3998" i="3"/>
  <c r="M3997" i="3"/>
  <c r="K3997" i="3"/>
  <c r="G3997" i="3"/>
  <c r="D3997" i="3"/>
  <c r="C3997" i="3"/>
  <c r="M3996" i="3"/>
  <c r="K3996" i="3"/>
  <c r="G3996" i="3"/>
  <c r="D3996" i="3"/>
  <c r="C3996" i="3"/>
  <c r="M3995" i="3"/>
  <c r="K3995" i="3"/>
  <c r="G3995" i="3"/>
  <c r="D3995" i="3"/>
  <c r="C3995" i="3"/>
  <c r="M3994" i="3"/>
  <c r="K3994" i="3"/>
  <c r="G3994" i="3"/>
  <c r="D3994" i="3"/>
  <c r="C3994" i="3"/>
  <c r="M3993" i="3"/>
  <c r="K3993" i="3"/>
  <c r="G3993" i="3"/>
  <c r="D3993" i="3"/>
  <c r="C3993" i="3"/>
  <c r="M3992" i="3"/>
  <c r="K3992" i="3"/>
  <c r="G3992" i="3"/>
  <c r="D3992" i="3"/>
  <c r="C3992" i="3"/>
  <c r="M3991" i="3"/>
  <c r="K3991" i="3"/>
  <c r="G3991" i="3"/>
  <c r="D3991" i="3"/>
  <c r="C3991" i="3"/>
  <c r="M3990" i="3"/>
  <c r="K3990" i="3"/>
  <c r="G3990" i="3"/>
  <c r="D3990" i="3"/>
  <c r="C3990" i="3"/>
  <c r="M3989" i="3"/>
  <c r="K3989" i="3"/>
  <c r="G3989" i="3"/>
  <c r="D3989" i="3"/>
  <c r="C3989" i="3"/>
  <c r="M3988" i="3"/>
  <c r="K3988" i="3"/>
  <c r="G3988" i="3"/>
  <c r="D3988" i="3"/>
  <c r="C3988" i="3"/>
  <c r="M3987" i="3"/>
  <c r="K3987" i="3"/>
  <c r="G3987" i="3"/>
  <c r="D3987" i="3"/>
  <c r="C3987" i="3"/>
  <c r="M3986" i="3"/>
  <c r="K3986" i="3"/>
  <c r="G3986" i="3"/>
  <c r="D3986" i="3"/>
  <c r="C3986" i="3"/>
  <c r="M3985" i="3"/>
  <c r="K3985" i="3"/>
  <c r="G3985" i="3"/>
  <c r="D3985" i="3"/>
  <c r="C3985" i="3"/>
  <c r="M3984" i="3"/>
  <c r="K3984" i="3"/>
  <c r="G3984" i="3"/>
  <c r="D3984" i="3"/>
  <c r="C3984" i="3"/>
  <c r="M3983" i="3"/>
  <c r="K3983" i="3"/>
  <c r="G3983" i="3"/>
  <c r="D3983" i="3"/>
  <c r="C3983" i="3"/>
  <c r="M3982" i="3"/>
  <c r="K3982" i="3"/>
  <c r="G3982" i="3"/>
  <c r="D3982" i="3"/>
  <c r="C3982" i="3"/>
  <c r="M3981" i="3"/>
  <c r="K3981" i="3"/>
  <c r="G3981" i="3"/>
  <c r="D3981" i="3"/>
  <c r="C3981" i="3"/>
  <c r="M3980" i="3"/>
  <c r="K3980" i="3"/>
  <c r="G3980" i="3"/>
  <c r="D3980" i="3"/>
  <c r="C3980" i="3"/>
  <c r="M3979" i="3"/>
  <c r="K3979" i="3"/>
  <c r="G3979" i="3"/>
  <c r="D3979" i="3"/>
  <c r="C3979" i="3"/>
  <c r="M3978" i="3"/>
  <c r="K3978" i="3"/>
  <c r="G3978" i="3"/>
  <c r="D3978" i="3"/>
  <c r="C3978" i="3"/>
  <c r="M3977" i="3"/>
  <c r="K3977" i="3"/>
  <c r="G3977" i="3"/>
  <c r="D3977" i="3"/>
  <c r="C3977" i="3"/>
  <c r="M3976" i="3"/>
  <c r="K3976" i="3"/>
  <c r="G3976" i="3"/>
  <c r="D3976" i="3"/>
  <c r="C3976" i="3"/>
  <c r="M3975" i="3"/>
  <c r="K3975" i="3"/>
  <c r="G3975" i="3"/>
  <c r="D3975" i="3"/>
  <c r="C3975" i="3"/>
  <c r="M3974" i="3"/>
  <c r="K3974" i="3"/>
  <c r="G3974" i="3"/>
  <c r="D3974" i="3"/>
  <c r="C3974" i="3"/>
  <c r="M3973" i="3"/>
  <c r="K3973" i="3"/>
  <c r="G3973" i="3"/>
  <c r="D3973" i="3"/>
  <c r="C3973" i="3"/>
  <c r="M3972" i="3"/>
  <c r="K3972" i="3"/>
  <c r="G3972" i="3"/>
  <c r="D3972" i="3"/>
  <c r="C3972" i="3"/>
  <c r="M3971" i="3"/>
  <c r="K3971" i="3"/>
  <c r="G3971" i="3"/>
  <c r="D3971" i="3"/>
  <c r="C3971" i="3"/>
  <c r="M3970" i="3"/>
  <c r="K3970" i="3"/>
  <c r="G3970" i="3"/>
  <c r="D3970" i="3"/>
  <c r="C3970" i="3"/>
  <c r="M3969" i="3"/>
  <c r="K3969" i="3"/>
  <c r="G3969" i="3"/>
  <c r="D3969" i="3"/>
  <c r="C3969" i="3"/>
  <c r="M3968" i="3"/>
  <c r="K3968" i="3"/>
  <c r="G3968" i="3"/>
  <c r="D3968" i="3"/>
  <c r="C3968" i="3"/>
  <c r="M3967" i="3"/>
  <c r="K3967" i="3"/>
  <c r="G3967" i="3"/>
  <c r="D3967" i="3"/>
  <c r="C3967" i="3"/>
  <c r="M3966" i="3"/>
  <c r="K3966" i="3"/>
  <c r="G3966" i="3"/>
  <c r="D3966" i="3"/>
  <c r="C3966" i="3"/>
  <c r="M3965" i="3"/>
  <c r="K3965" i="3"/>
  <c r="G3965" i="3"/>
  <c r="D3965" i="3"/>
  <c r="C3965" i="3"/>
  <c r="M3964" i="3"/>
  <c r="K3964" i="3"/>
  <c r="G3964" i="3"/>
  <c r="D3964" i="3"/>
  <c r="C3964" i="3"/>
  <c r="M3963" i="3"/>
  <c r="K3963" i="3"/>
  <c r="G3963" i="3"/>
  <c r="D3963" i="3"/>
  <c r="C3963" i="3"/>
  <c r="M3962" i="3"/>
  <c r="K3962" i="3"/>
  <c r="G3962" i="3"/>
  <c r="D3962" i="3"/>
  <c r="C3962" i="3"/>
  <c r="M3961" i="3"/>
  <c r="K3961" i="3"/>
  <c r="G3961" i="3"/>
  <c r="D3961" i="3"/>
  <c r="C3961" i="3"/>
  <c r="M3960" i="3"/>
  <c r="K3960" i="3"/>
  <c r="G3960" i="3"/>
  <c r="D3960" i="3"/>
  <c r="C3960" i="3"/>
  <c r="M3959" i="3"/>
  <c r="K3959" i="3"/>
  <c r="G3959" i="3"/>
  <c r="D3959" i="3"/>
  <c r="C3959" i="3"/>
  <c r="M3958" i="3"/>
  <c r="K3958" i="3"/>
  <c r="G3958" i="3"/>
  <c r="D3958" i="3"/>
  <c r="C3958" i="3"/>
  <c r="M3957" i="3"/>
  <c r="K3957" i="3"/>
  <c r="G3957" i="3"/>
  <c r="D3957" i="3"/>
  <c r="C3957" i="3"/>
  <c r="M3956" i="3"/>
  <c r="K3956" i="3"/>
  <c r="G3956" i="3"/>
  <c r="D3956" i="3"/>
  <c r="C3956" i="3"/>
  <c r="M3955" i="3"/>
  <c r="K3955" i="3"/>
  <c r="G3955" i="3"/>
  <c r="D3955" i="3"/>
  <c r="C3955" i="3"/>
  <c r="M3954" i="3"/>
  <c r="K3954" i="3"/>
  <c r="G3954" i="3"/>
  <c r="D3954" i="3"/>
  <c r="C3954" i="3"/>
  <c r="M3953" i="3"/>
  <c r="K3953" i="3"/>
  <c r="G3953" i="3"/>
  <c r="D3953" i="3"/>
  <c r="C3953" i="3"/>
  <c r="M3952" i="3"/>
  <c r="K3952" i="3"/>
  <c r="G3952" i="3"/>
  <c r="D3952" i="3"/>
  <c r="C3952" i="3"/>
  <c r="M3951" i="3"/>
  <c r="K3951" i="3"/>
  <c r="G3951" i="3"/>
  <c r="D3951" i="3"/>
  <c r="C3951" i="3"/>
  <c r="M3950" i="3"/>
  <c r="K3950" i="3"/>
  <c r="G3950" i="3"/>
  <c r="D3950" i="3"/>
  <c r="C3950" i="3"/>
  <c r="M3949" i="3"/>
  <c r="K3949" i="3"/>
  <c r="G3949" i="3"/>
  <c r="D3949" i="3"/>
  <c r="C3949" i="3"/>
  <c r="M3948" i="3"/>
  <c r="K3948" i="3"/>
  <c r="G3948" i="3"/>
  <c r="D3948" i="3"/>
  <c r="C3948" i="3"/>
  <c r="M3947" i="3"/>
  <c r="K3947" i="3"/>
  <c r="G3947" i="3"/>
  <c r="D3947" i="3"/>
  <c r="C3947" i="3"/>
  <c r="M3946" i="3"/>
  <c r="K3946" i="3"/>
  <c r="G3946" i="3"/>
  <c r="D3946" i="3"/>
  <c r="C3946" i="3"/>
  <c r="M3945" i="3"/>
  <c r="K3945" i="3"/>
  <c r="G3945" i="3"/>
  <c r="D3945" i="3"/>
  <c r="C3945" i="3"/>
  <c r="M3944" i="3"/>
  <c r="K3944" i="3"/>
  <c r="G3944" i="3"/>
  <c r="D3944" i="3"/>
  <c r="C3944" i="3"/>
  <c r="M3943" i="3"/>
  <c r="K3943" i="3"/>
  <c r="G3943" i="3"/>
  <c r="D3943" i="3"/>
  <c r="C3943" i="3"/>
  <c r="M3942" i="3"/>
  <c r="K3942" i="3"/>
  <c r="G3942" i="3"/>
  <c r="D3942" i="3"/>
  <c r="C3942" i="3"/>
  <c r="M3941" i="3"/>
  <c r="K3941" i="3"/>
  <c r="G3941" i="3"/>
  <c r="D3941" i="3"/>
  <c r="C3941" i="3"/>
  <c r="M3940" i="3"/>
  <c r="K3940" i="3"/>
  <c r="G3940" i="3"/>
  <c r="D3940" i="3"/>
  <c r="C3940" i="3"/>
  <c r="M3939" i="3"/>
  <c r="K3939" i="3"/>
  <c r="G3939" i="3"/>
  <c r="D3939" i="3"/>
  <c r="C3939" i="3"/>
  <c r="M3938" i="3"/>
  <c r="K3938" i="3"/>
  <c r="G3938" i="3"/>
  <c r="D3938" i="3"/>
  <c r="C3938" i="3"/>
  <c r="M3937" i="3"/>
  <c r="K3937" i="3"/>
  <c r="G3937" i="3"/>
  <c r="D3937" i="3"/>
  <c r="C3937" i="3"/>
  <c r="M3936" i="3"/>
  <c r="K3936" i="3"/>
  <c r="G3936" i="3"/>
  <c r="D3936" i="3"/>
  <c r="C3936" i="3"/>
  <c r="M3935" i="3"/>
  <c r="K3935" i="3"/>
  <c r="G3935" i="3"/>
  <c r="D3935" i="3"/>
  <c r="C3935" i="3"/>
  <c r="M3934" i="3"/>
  <c r="K3934" i="3"/>
  <c r="G3934" i="3"/>
  <c r="D3934" i="3"/>
  <c r="C3934" i="3"/>
  <c r="M3933" i="3"/>
  <c r="K3933" i="3"/>
  <c r="G3933" i="3"/>
  <c r="D3933" i="3"/>
  <c r="C3933" i="3"/>
  <c r="M3932" i="3"/>
  <c r="K3932" i="3"/>
  <c r="G3932" i="3"/>
  <c r="D3932" i="3"/>
  <c r="C3932" i="3"/>
  <c r="M3931" i="3"/>
  <c r="K3931" i="3"/>
  <c r="G3931" i="3"/>
  <c r="D3931" i="3"/>
  <c r="C3931" i="3"/>
  <c r="M3930" i="3"/>
  <c r="K3930" i="3"/>
  <c r="G3930" i="3"/>
  <c r="D3930" i="3"/>
  <c r="C3930" i="3"/>
  <c r="M3929" i="3"/>
  <c r="K3929" i="3"/>
  <c r="G3929" i="3"/>
  <c r="D3929" i="3"/>
  <c r="C3929" i="3"/>
  <c r="M3928" i="3"/>
  <c r="K3928" i="3"/>
  <c r="G3928" i="3"/>
  <c r="D3928" i="3"/>
  <c r="C3928" i="3"/>
  <c r="M3927" i="3"/>
  <c r="K3927" i="3"/>
  <c r="G3927" i="3"/>
  <c r="D3927" i="3"/>
  <c r="C3927" i="3"/>
  <c r="M3926" i="3"/>
  <c r="K3926" i="3"/>
  <c r="G3926" i="3"/>
  <c r="D3926" i="3"/>
  <c r="C3926" i="3"/>
  <c r="M3925" i="3"/>
  <c r="K3925" i="3"/>
  <c r="G3925" i="3"/>
  <c r="D3925" i="3"/>
  <c r="C3925" i="3"/>
  <c r="M3924" i="3"/>
  <c r="K3924" i="3"/>
  <c r="G3924" i="3"/>
  <c r="D3924" i="3"/>
  <c r="C3924" i="3"/>
  <c r="M3923" i="3"/>
  <c r="K3923" i="3"/>
  <c r="G3923" i="3"/>
  <c r="D3923" i="3"/>
  <c r="C3923" i="3"/>
  <c r="M3922" i="3"/>
  <c r="K3922" i="3"/>
  <c r="G3922" i="3"/>
  <c r="D3922" i="3"/>
  <c r="C3922" i="3"/>
  <c r="M3921" i="3"/>
  <c r="K3921" i="3"/>
  <c r="G3921" i="3"/>
  <c r="D3921" i="3"/>
  <c r="C3921" i="3"/>
  <c r="M3920" i="3"/>
  <c r="K3920" i="3"/>
  <c r="G3920" i="3"/>
  <c r="D3920" i="3"/>
  <c r="C3920" i="3"/>
  <c r="M3919" i="3"/>
  <c r="K3919" i="3"/>
  <c r="G3919" i="3"/>
  <c r="D3919" i="3"/>
  <c r="C3919" i="3"/>
  <c r="M3918" i="3"/>
  <c r="K3918" i="3"/>
  <c r="G3918" i="3"/>
  <c r="D3918" i="3"/>
  <c r="C3918" i="3"/>
  <c r="M3917" i="3"/>
  <c r="K3917" i="3"/>
  <c r="G3917" i="3"/>
  <c r="D3917" i="3"/>
  <c r="C3917" i="3"/>
  <c r="M3916" i="3"/>
  <c r="K3916" i="3"/>
  <c r="G3916" i="3"/>
  <c r="D3916" i="3"/>
  <c r="C3916" i="3"/>
  <c r="M3915" i="3"/>
  <c r="K3915" i="3"/>
  <c r="G3915" i="3"/>
  <c r="D3915" i="3"/>
  <c r="C3915" i="3"/>
  <c r="M3914" i="3"/>
  <c r="K3914" i="3"/>
  <c r="G3914" i="3"/>
  <c r="D3914" i="3"/>
  <c r="C3914" i="3"/>
  <c r="M3913" i="3"/>
  <c r="K3913" i="3"/>
  <c r="G3913" i="3"/>
  <c r="D3913" i="3"/>
  <c r="C3913" i="3"/>
  <c r="M3912" i="3"/>
  <c r="K3912" i="3"/>
  <c r="G3912" i="3"/>
  <c r="D3912" i="3"/>
  <c r="C3912" i="3"/>
  <c r="M3911" i="3"/>
  <c r="K3911" i="3"/>
  <c r="G3911" i="3"/>
  <c r="D3911" i="3"/>
  <c r="C3911" i="3"/>
  <c r="M3910" i="3"/>
  <c r="K3910" i="3"/>
  <c r="G3910" i="3"/>
  <c r="D3910" i="3"/>
  <c r="C3910" i="3"/>
  <c r="M3909" i="3"/>
  <c r="K3909" i="3"/>
  <c r="G3909" i="3"/>
  <c r="D3909" i="3"/>
  <c r="C3909" i="3"/>
  <c r="M3908" i="3"/>
  <c r="K3908" i="3"/>
  <c r="G3908" i="3"/>
  <c r="D3908" i="3"/>
  <c r="C3908" i="3"/>
  <c r="M3907" i="3"/>
  <c r="K3907" i="3"/>
  <c r="G3907" i="3"/>
  <c r="D3907" i="3"/>
  <c r="C3907" i="3"/>
  <c r="M3906" i="3"/>
  <c r="K3906" i="3"/>
  <c r="G3906" i="3"/>
  <c r="D3906" i="3"/>
  <c r="C3906" i="3"/>
  <c r="M3905" i="3"/>
  <c r="K3905" i="3"/>
  <c r="G3905" i="3"/>
  <c r="D3905" i="3"/>
  <c r="C3905" i="3"/>
  <c r="M3904" i="3"/>
  <c r="K3904" i="3"/>
  <c r="G3904" i="3"/>
  <c r="D3904" i="3"/>
  <c r="C3904" i="3"/>
  <c r="M3903" i="3"/>
  <c r="K3903" i="3"/>
  <c r="G3903" i="3"/>
  <c r="D3903" i="3"/>
  <c r="C3903" i="3"/>
  <c r="M3902" i="3"/>
  <c r="K3902" i="3"/>
  <c r="G3902" i="3"/>
  <c r="D3902" i="3"/>
  <c r="C3902" i="3"/>
  <c r="M3901" i="3"/>
  <c r="K3901" i="3"/>
  <c r="G3901" i="3"/>
  <c r="D3901" i="3"/>
  <c r="C3901" i="3"/>
  <c r="M3900" i="3"/>
  <c r="K3900" i="3"/>
  <c r="G3900" i="3"/>
  <c r="D3900" i="3"/>
  <c r="C3900" i="3"/>
  <c r="M3899" i="3"/>
  <c r="K3899" i="3"/>
  <c r="G3899" i="3"/>
  <c r="D3899" i="3"/>
  <c r="C3899" i="3"/>
  <c r="M3898" i="3"/>
  <c r="K3898" i="3"/>
  <c r="G3898" i="3"/>
  <c r="D3898" i="3"/>
  <c r="C3898" i="3"/>
  <c r="M3897" i="3"/>
  <c r="K3897" i="3"/>
  <c r="G3897" i="3"/>
  <c r="D3897" i="3"/>
  <c r="C3897" i="3"/>
  <c r="M3896" i="3"/>
  <c r="K3896" i="3"/>
  <c r="G3896" i="3"/>
  <c r="D3896" i="3"/>
  <c r="C3896" i="3"/>
  <c r="M3895" i="3"/>
  <c r="K3895" i="3"/>
  <c r="G3895" i="3"/>
  <c r="D3895" i="3"/>
  <c r="C3895" i="3"/>
  <c r="M3894" i="3"/>
  <c r="K3894" i="3"/>
  <c r="G3894" i="3"/>
  <c r="D3894" i="3"/>
  <c r="C3894" i="3"/>
  <c r="M3893" i="3"/>
  <c r="K3893" i="3"/>
  <c r="G3893" i="3"/>
  <c r="D3893" i="3"/>
  <c r="C3893" i="3"/>
  <c r="M3892" i="3"/>
  <c r="K3892" i="3"/>
  <c r="G3892" i="3"/>
  <c r="D3892" i="3"/>
  <c r="C3892" i="3"/>
  <c r="M3891" i="3"/>
  <c r="K3891" i="3"/>
  <c r="G3891" i="3"/>
  <c r="D3891" i="3"/>
  <c r="C3891" i="3"/>
  <c r="M3890" i="3"/>
  <c r="K3890" i="3"/>
  <c r="G3890" i="3"/>
  <c r="D3890" i="3"/>
  <c r="C3890" i="3"/>
  <c r="M3889" i="3"/>
  <c r="K3889" i="3"/>
  <c r="G3889" i="3"/>
  <c r="D3889" i="3"/>
  <c r="C3889" i="3"/>
  <c r="M3888" i="3"/>
  <c r="K3888" i="3"/>
  <c r="G3888" i="3"/>
  <c r="D3888" i="3"/>
  <c r="C3888" i="3"/>
  <c r="M3887" i="3"/>
  <c r="K3887" i="3"/>
  <c r="G3887" i="3"/>
  <c r="D3887" i="3"/>
  <c r="C3887" i="3"/>
  <c r="M3886" i="3"/>
  <c r="K3886" i="3"/>
  <c r="G3886" i="3"/>
  <c r="D3886" i="3"/>
  <c r="C3886" i="3"/>
  <c r="M3885" i="3"/>
  <c r="K3885" i="3"/>
  <c r="G3885" i="3"/>
  <c r="D3885" i="3"/>
  <c r="C3885" i="3"/>
  <c r="M3884" i="3"/>
  <c r="K3884" i="3"/>
  <c r="G3884" i="3"/>
  <c r="D3884" i="3"/>
  <c r="C3884" i="3"/>
  <c r="M3883" i="3"/>
  <c r="K3883" i="3"/>
  <c r="G3883" i="3"/>
  <c r="D3883" i="3"/>
  <c r="C3883" i="3"/>
  <c r="M3882" i="3"/>
  <c r="K3882" i="3"/>
  <c r="G3882" i="3"/>
  <c r="D3882" i="3"/>
  <c r="C3882" i="3"/>
  <c r="M3881" i="3"/>
  <c r="K3881" i="3"/>
  <c r="G3881" i="3"/>
  <c r="D3881" i="3"/>
  <c r="C3881" i="3"/>
  <c r="M3880" i="3"/>
  <c r="K3880" i="3"/>
  <c r="G3880" i="3"/>
  <c r="D3880" i="3"/>
  <c r="C3880" i="3"/>
  <c r="M3879" i="3"/>
  <c r="K3879" i="3"/>
  <c r="G3879" i="3"/>
  <c r="D3879" i="3"/>
  <c r="C3879" i="3"/>
  <c r="M3878" i="3"/>
  <c r="K3878" i="3"/>
  <c r="G3878" i="3"/>
  <c r="D3878" i="3"/>
  <c r="C3878" i="3"/>
  <c r="M3877" i="3"/>
  <c r="K3877" i="3"/>
  <c r="G3877" i="3"/>
  <c r="D3877" i="3"/>
  <c r="C3877" i="3"/>
  <c r="M3876" i="3"/>
  <c r="K3876" i="3"/>
  <c r="G3876" i="3"/>
  <c r="D3876" i="3"/>
  <c r="C3876" i="3"/>
  <c r="M3875" i="3"/>
  <c r="K3875" i="3"/>
  <c r="G3875" i="3"/>
  <c r="D3875" i="3"/>
  <c r="C3875" i="3"/>
  <c r="M3874" i="3"/>
  <c r="K3874" i="3"/>
  <c r="G3874" i="3"/>
  <c r="D3874" i="3"/>
  <c r="C3874" i="3"/>
  <c r="M3873" i="3"/>
  <c r="K3873" i="3"/>
  <c r="G3873" i="3"/>
  <c r="D3873" i="3"/>
  <c r="C3873" i="3"/>
  <c r="M3872" i="3"/>
  <c r="K3872" i="3"/>
  <c r="G3872" i="3"/>
  <c r="D3872" i="3"/>
  <c r="C3872" i="3"/>
  <c r="M3871" i="3"/>
  <c r="K3871" i="3"/>
  <c r="G3871" i="3"/>
  <c r="D3871" i="3"/>
  <c r="C3871" i="3"/>
  <c r="M3870" i="3"/>
  <c r="K3870" i="3"/>
  <c r="G3870" i="3"/>
  <c r="D3870" i="3"/>
  <c r="C3870" i="3"/>
  <c r="M3869" i="3"/>
  <c r="K3869" i="3"/>
  <c r="G3869" i="3"/>
  <c r="D3869" i="3"/>
  <c r="C3869" i="3"/>
  <c r="M3868" i="3"/>
  <c r="K3868" i="3"/>
  <c r="G3868" i="3"/>
  <c r="D3868" i="3"/>
  <c r="C3868" i="3"/>
  <c r="M3867" i="3"/>
  <c r="K3867" i="3"/>
  <c r="G3867" i="3"/>
  <c r="D3867" i="3"/>
  <c r="C3867" i="3"/>
  <c r="M3866" i="3"/>
  <c r="K3866" i="3"/>
  <c r="G3866" i="3"/>
  <c r="D3866" i="3"/>
  <c r="C3866" i="3"/>
  <c r="M3865" i="3"/>
  <c r="K3865" i="3"/>
  <c r="G3865" i="3"/>
  <c r="D3865" i="3"/>
  <c r="C3865" i="3"/>
  <c r="M3864" i="3"/>
  <c r="K3864" i="3"/>
  <c r="G3864" i="3"/>
  <c r="D3864" i="3"/>
  <c r="C3864" i="3"/>
  <c r="M3863" i="3"/>
  <c r="K3863" i="3"/>
  <c r="G3863" i="3"/>
  <c r="D3863" i="3"/>
  <c r="C3863" i="3"/>
  <c r="M3862" i="3"/>
  <c r="K3862" i="3"/>
  <c r="G3862" i="3"/>
  <c r="D3862" i="3"/>
  <c r="C3862" i="3"/>
  <c r="M3861" i="3"/>
  <c r="K3861" i="3"/>
  <c r="G3861" i="3"/>
  <c r="D3861" i="3"/>
  <c r="C3861" i="3"/>
  <c r="M3860" i="3"/>
  <c r="K3860" i="3"/>
  <c r="G3860" i="3"/>
  <c r="D3860" i="3"/>
  <c r="C3860" i="3"/>
  <c r="M3859" i="3"/>
  <c r="K3859" i="3"/>
  <c r="G3859" i="3"/>
  <c r="D3859" i="3"/>
  <c r="C3859" i="3"/>
  <c r="M3858" i="3"/>
  <c r="K3858" i="3"/>
  <c r="G3858" i="3"/>
  <c r="D3858" i="3"/>
  <c r="C3858" i="3"/>
  <c r="M3857" i="3"/>
  <c r="K3857" i="3"/>
  <c r="G3857" i="3"/>
  <c r="D3857" i="3"/>
  <c r="C3857" i="3"/>
  <c r="M3856" i="3"/>
  <c r="K3856" i="3"/>
  <c r="G3856" i="3"/>
  <c r="D3856" i="3"/>
  <c r="C3856" i="3"/>
  <c r="M3855" i="3"/>
  <c r="K3855" i="3"/>
  <c r="G3855" i="3"/>
  <c r="D3855" i="3"/>
  <c r="C3855" i="3"/>
  <c r="M3854" i="3"/>
  <c r="K3854" i="3"/>
  <c r="G3854" i="3"/>
  <c r="D3854" i="3"/>
  <c r="C3854" i="3"/>
  <c r="M3853" i="3"/>
  <c r="K3853" i="3"/>
  <c r="G3853" i="3"/>
  <c r="D3853" i="3"/>
  <c r="C3853" i="3"/>
  <c r="M3852" i="3"/>
  <c r="K3852" i="3"/>
  <c r="G3852" i="3"/>
  <c r="D3852" i="3"/>
  <c r="C3852" i="3"/>
  <c r="M3851" i="3"/>
  <c r="K3851" i="3"/>
  <c r="G3851" i="3"/>
  <c r="D3851" i="3"/>
  <c r="C3851" i="3"/>
  <c r="M3850" i="3"/>
  <c r="K3850" i="3"/>
  <c r="G3850" i="3"/>
  <c r="D3850" i="3"/>
  <c r="C3850" i="3"/>
  <c r="M3849" i="3"/>
  <c r="K3849" i="3"/>
  <c r="G3849" i="3"/>
  <c r="D3849" i="3"/>
  <c r="C3849" i="3"/>
  <c r="M3848" i="3"/>
  <c r="K3848" i="3"/>
  <c r="G3848" i="3"/>
  <c r="D3848" i="3"/>
  <c r="C3848" i="3"/>
  <c r="M3847" i="3"/>
  <c r="K3847" i="3"/>
  <c r="G3847" i="3"/>
  <c r="D3847" i="3"/>
  <c r="C3847" i="3"/>
  <c r="M3846" i="3"/>
  <c r="K3846" i="3"/>
  <c r="G3846" i="3"/>
  <c r="D3846" i="3"/>
  <c r="C3846" i="3"/>
  <c r="M3845" i="3"/>
  <c r="K3845" i="3"/>
  <c r="G3845" i="3"/>
  <c r="D3845" i="3"/>
  <c r="C3845" i="3"/>
  <c r="M3844" i="3"/>
  <c r="K3844" i="3"/>
  <c r="G3844" i="3"/>
  <c r="D3844" i="3"/>
  <c r="C3844" i="3"/>
  <c r="M3843" i="3"/>
  <c r="K3843" i="3"/>
  <c r="G3843" i="3"/>
  <c r="D3843" i="3"/>
  <c r="C3843" i="3"/>
  <c r="M3842" i="3"/>
  <c r="K3842" i="3"/>
  <c r="G3842" i="3"/>
  <c r="D3842" i="3"/>
  <c r="C3842" i="3"/>
  <c r="M3841" i="3"/>
  <c r="K3841" i="3"/>
  <c r="G3841" i="3"/>
  <c r="D3841" i="3"/>
  <c r="C3841" i="3"/>
  <c r="M3840" i="3"/>
  <c r="K3840" i="3"/>
  <c r="G3840" i="3"/>
  <c r="D3840" i="3"/>
  <c r="C3840" i="3"/>
  <c r="M3839" i="3"/>
  <c r="K3839" i="3"/>
  <c r="G3839" i="3"/>
  <c r="D3839" i="3"/>
  <c r="C3839" i="3"/>
  <c r="M3838" i="3"/>
  <c r="K3838" i="3"/>
  <c r="G3838" i="3"/>
  <c r="D3838" i="3"/>
  <c r="C3838" i="3"/>
  <c r="M3837" i="3"/>
  <c r="K3837" i="3"/>
  <c r="G3837" i="3"/>
  <c r="D3837" i="3"/>
  <c r="C3837" i="3"/>
  <c r="M3836" i="3"/>
  <c r="K3836" i="3"/>
  <c r="G3836" i="3"/>
  <c r="D3836" i="3"/>
  <c r="C3836" i="3"/>
  <c r="M3835" i="3"/>
  <c r="K3835" i="3"/>
  <c r="G3835" i="3"/>
  <c r="D3835" i="3"/>
  <c r="C3835" i="3"/>
  <c r="M3834" i="3"/>
  <c r="K3834" i="3"/>
  <c r="G3834" i="3"/>
  <c r="D3834" i="3"/>
  <c r="C3834" i="3"/>
  <c r="M3833" i="3"/>
  <c r="K3833" i="3"/>
  <c r="G3833" i="3"/>
  <c r="D3833" i="3"/>
  <c r="C3833" i="3"/>
  <c r="M3832" i="3"/>
  <c r="K3832" i="3"/>
  <c r="G3832" i="3"/>
  <c r="D3832" i="3"/>
  <c r="C3832" i="3"/>
  <c r="M3831" i="3"/>
  <c r="K3831" i="3"/>
  <c r="G3831" i="3"/>
  <c r="D3831" i="3"/>
  <c r="C3831" i="3"/>
  <c r="M3830" i="3"/>
  <c r="K3830" i="3"/>
  <c r="G3830" i="3"/>
  <c r="D3830" i="3"/>
  <c r="C3830" i="3"/>
  <c r="M3829" i="3"/>
  <c r="K3829" i="3"/>
  <c r="G3829" i="3"/>
  <c r="D3829" i="3"/>
  <c r="C3829" i="3"/>
  <c r="M3828" i="3"/>
  <c r="K3828" i="3"/>
  <c r="G3828" i="3"/>
  <c r="D3828" i="3"/>
  <c r="C3828" i="3"/>
  <c r="M3827" i="3"/>
  <c r="K3827" i="3"/>
  <c r="G3827" i="3"/>
  <c r="D3827" i="3"/>
  <c r="C3827" i="3"/>
  <c r="M3826" i="3"/>
  <c r="K3826" i="3"/>
  <c r="G3826" i="3"/>
  <c r="D3826" i="3"/>
  <c r="C3826" i="3"/>
  <c r="M3825" i="3"/>
  <c r="K3825" i="3"/>
  <c r="G3825" i="3"/>
  <c r="D3825" i="3"/>
  <c r="C3825" i="3"/>
  <c r="M3824" i="3"/>
  <c r="K3824" i="3"/>
  <c r="G3824" i="3"/>
  <c r="D3824" i="3"/>
  <c r="C3824" i="3"/>
  <c r="M3823" i="3"/>
  <c r="K3823" i="3"/>
  <c r="G3823" i="3"/>
  <c r="D3823" i="3"/>
  <c r="C3823" i="3"/>
  <c r="M3822" i="3"/>
  <c r="K3822" i="3"/>
  <c r="G3822" i="3"/>
  <c r="D3822" i="3"/>
  <c r="C3822" i="3"/>
  <c r="M3821" i="3"/>
  <c r="K3821" i="3"/>
  <c r="G3821" i="3"/>
  <c r="D3821" i="3"/>
  <c r="C3821" i="3"/>
  <c r="M3820" i="3"/>
  <c r="K3820" i="3"/>
  <c r="G3820" i="3"/>
  <c r="D3820" i="3"/>
  <c r="C3820" i="3"/>
  <c r="M3819" i="3"/>
  <c r="K3819" i="3"/>
  <c r="G3819" i="3"/>
  <c r="D3819" i="3"/>
  <c r="C3819" i="3"/>
  <c r="M3818" i="3"/>
  <c r="K3818" i="3"/>
  <c r="G3818" i="3"/>
  <c r="D3818" i="3"/>
  <c r="C3818" i="3"/>
  <c r="M3817" i="3"/>
  <c r="K3817" i="3"/>
  <c r="G3817" i="3"/>
  <c r="D3817" i="3"/>
  <c r="C3817" i="3"/>
  <c r="M3816" i="3"/>
  <c r="K3816" i="3"/>
  <c r="G3816" i="3"/>
  <c r="D3816" i="3"/>
  <c r="C3816" i="3"/>
  <c r="M3815" i="3"/>
  <c r="K3815" i="3"/>
  <c r="G3815" i="3"/>
  <c r="D3815" i="3"/>
  <c r="C3815" i="3"/>
  <c r="M3814" i="3"/>
  <c r="K3814" i="3"/>
  <c r="G3814" i="3"/>
  <c r="D3814" i="3"/>
  <c r="C3814" i="3"/>
  <c r="M3813" i="3"/>
  <c r="K3813" i="3"/>
  <c r="G3813" i="3"/>
  <c r="D3813" i="3"/>
  <c r="C3813" i="3"/>
  <c r="M3812" i="3"/>
  <c r="K3812" i="3"/>
  <c r="G3812" i="3"/>
  <c r="D3812" i="3"/>
  <c r="C3812" i="3"/>
  <c r="M3811" i="3"/>
  <c r="K3811" i="3"/>
  <c r="G3811" i="3"/>
  <c r="D3811" i="3"/>
  <c r="C3811" i="3"/>
  <c r="M3810" i="3"/>
  <c r="K3810" i="3"/>
  <c r="G3810" i="3"/>
  <c r="D3810" i="3"/>
  <c r="C3810" i="3"/>
  <c r="M3809" i="3"/>
  <c r="K3809" i="3"/>
  <c r="G3809" i="3"/>
  <c r="D3809" i="3"/>
  <c r="C3809" i="3"/>
  <c r="M3808" i="3"/>
  <c r="K3808" i="3"/>
  <c r="G3808" i="3"/>
  <c r="D3808" i="3"/>
  <c r="C3808" i="3"/>
  <c r="M3807" i="3"/>
  <c r="K3807" i="3"/>
  <c r="G3807" i="3"/>
  <c r="D3807" i="3"/>
  <c r="C3807" i="3"/>
  <c r="M3806" i="3"/>
  <c r="K3806" i="3"/>
  <c r="G3806" i="3"/>
  <c r="D3806" i="3"/>
  <c r="C3806" i="3"/>
  <c r="M3805" i="3"/>
  <c r="K3805" i="3"/>
  <c r="G3805" i="3"/>
  <c r="D3805" i="3"/>
  <c r="C3805" i="3"/>
  <c r="M3804" i="3"/>
  <c r="K3804" i="3"/>
  <c r="G3804" i="3"/>
  <c r="D3804" i="3"/>
  <c r="C3804" i="3"/>
  <c r="M3803" i="3"/>
  <c r="K3803" i="3"/>
  <c r="G3803" i="3"/>
  <c r="D3803" i="3"/>
  <c r="C3803" i="3"/>
  <c r="M3802" i="3"/>
  <c r="K3802" i="3"/>
  <c r="G3802" i="3"/>
  <c r="D3802" i="3"/>
  <c r="C3802" i="3"/>
  <c r="M3801" i="3"/>
  <c r="K3801" i="3"/>
  <c r="G3801" i="3"/>
  <c r="D3801" i="3"/>
  <c r="C3801" i="3"/>
  <c r="M3800" i="3"/>
  <c r="K3800" i="3"/>
  <c r="G3800" i="3"/>
  <c r="D3800" i="3"/>
  <c r="C3800" i="3"/>
  <c r="M3799" i="3"/>
  <c r="K3799" i="3"/>
  <c r="G3799" i="3"/>
  <c r="D3799" i="3"/>
  <c r="C3799" i="3"/>
  <c r="M3798" i="3"/>
  <c r="K3798" i="3"/>
  <c r="G3798" i="3"/>
  <c r="D3798" i="3"/>
  <c r="C3798" i="3"/>
  <c r="M3797" i="3"/>
  <c r="K3797" i="3"/>
  <c r="G3797" i="3"/>
  <c r="D3797" i="3"/>
  <c r="C3797" i="3"/>
  <c r="M3796" i="3"/>
  <c r="K3796" i="3"/>
  <c r="G3796" i="3"/>
  <c r="D3796" i="3"/>
  <c r="C3796" i="3"/>
  <c r="M3795" i="3"/>
  <c r="K3795" i="3"/>
  <c r="G3795" i="3"/>
  <c r="D3795" i="3"/>
  <c r="C3795" i="3"/>
  <c r="M3794" i="3"/>
  <c r="K3794" i="3"/>
  <c r="G3794" i="3"/>
  <c r="D3794" i="3"/>
  <c r="C3794" i="3"/>
  <c r="M3793" i="3"/>
  <c r="K3793" i="3"/>
  <c r="G3793" i="3"/>
  <c r="D3793" i="3"/>
  <c r="C3793" i="3"/>
  <c r="M3792" i="3"/>
  <c r="K3792" i="3"/>
  <c r="G3792" i="3"/>
  <c r="D3792" i="3"/>
  <c r="C3792" i="3"/>
  <c r="M3791" i="3"/>
  <c r="K3791" i="3"/>
  <c r="G3791" i="3"/>
  <c r="D3791" i="3"/>
  <c r="C3791" i="3"/>
  <c r="M3790" i="3"/>
  <c r="K3790" i="3"/>
  <c r="G3790" i="3"/>
  <c r="D3790" i="3"/>
  <c r="C3790" i="3"/>
  <c r="M3789" i="3"/>
  <c r="K3789" i="3"/>
  <c r="G3789" i="3"/>
  <c r="D3789" i="3"/>
  <c r="C3789" i="3"/>
  <c r="M3788" i="3"/>
  <c r="K3788" i="3"/>
  <c r="G3788" i="3"/>
  <c r="D3788" i="3"/>
  <c r="C3788" i="3"/>
  <c r="M3787" i="3"/>
  <c r="K3787" i="3"/>
  <c r="G3787" i="3"/>
  <c r="D3787" i="3"/>
  <c r="C3787" i="3"/>
  <c r="M3786" i="3"/>
  <c r="K3786" i="3"/>
  <c r="G3786" i="3"/>
  <c r="D3786" i="3"/>
  <c r="C3786" i="3"/>
  <c r="M3785" i="3"/>
  <c r="K3785" i="3"/>
  <c r="G3785" i="3"/>
  <c r="D3785" i="3"/>
  <c r="C3785" i="3"/>
  <c r="M3784" i="3"/>
  <c r="K3784" i="3"/>
  <c r="G3784" i="3"/>
  <c r="D3784" i="3"/>
  <c r="C3784" i="3"/>
  <c r="M3783" i="3"/>
  <c r="K3783" i="3"/>
  <c r="G3783" i="3"/>
  <c r="D3783" i="3"/>
  <c r="C3783" i="3"/>
  <c r="M3782" i="3"/>
  <c r="K3782" i="3"/>
  <c r="G3782" i="3"/>
  <c r="D3782" i="3"/>
  <c r="C3782" i="3"/>
  <c r="M3781" i="3"/>
  <c r="K3781" i="3"/>
  <c r="G3781" i="3"/>
  <c r="D3781" i="3"/>
  <c r="C3781" i="3"/>
  <c r="M3780" i="3"/>
  <c r="K3780" i="3"/>
  <c r="G3780" i="3"/>
  <c r="D3780" i="3"/>
  <c r="C3780" i="3"/>
  <c r="M3779" i="3"/>
  <c r="K3779" i="3"/>
  <c r="G3779" i="3"/>
  <c r="D3779" i="3"/>
  <c r="C3779" i="3"/>
  <c r="M3778" i="3"/>
  <c r="K3778" i="3"/>
  <c r="G3778" i="3"/>
  <c r="D3778" i="3"/>
  <c r="C3778" i="3"/>
  <c r="M3777" i="3"/>
  <c r="K3777" i="3"/>
  <c r="G3777" i="3"/>
  <c r="D3777" i="3"/>
  <c r="C3777" i="3"/>
  <c r="M3776" i="3"/>
  <c r="K3776" i="3"/>
  <c r="G3776" i="3"/>
  <c r="D3776" i="3"/>
  <c r="C3776" i="3"/>
  <c r="M3775" i="3"/>
  <c r="K3775" i="3"/>
  <c r="G3775" i="3"/>
  <c r="D3775" i="3"/>
  <c r="C3775" i="3"/>
  <c r="M3774" i="3"/>
  <c r="K3774" i="3"/>
  <c r="G3774" i="3"/>
  <c r="D3774" i="3"/>
  <c r="C3774" i="3"/>
  <c r="M3773" i="3"/>
  <c r="K3773" i="3"/>
  <c r="G3773" i="3"/>
  <c r="D3773" i="3"/>
  <c r="C3773" i="3"/>
  <c r="M3772" i="3"/>
  <c r="K3772" i="3"/>
  <c r="G3772" i="3"/>
  <c r="D3772" i="3"/>
  <c r="C3772" i="3"/>
  <c r="M3771" i="3"/>
  <c r="K3771" i="3"/>
  <c r="G3771" i="3"/>
  <c r="D3771" i="3"/>
  <c r="C3771" i="3"/>
  <c r="M3770" i="3"/>
  <c r="K3770" i="3"/>
  <c r="G3770" i="3"/>
  <c r="D3770" i="3"/>
  <c r="C3770" i="3"/>
  <c r="M3769" i="3"/>
  <c r="K3769" i="3"/>
  <c r="G3769" i="3"/>
  <c r="D3769" i="3"/>
  <c r="C3769" i="3"/>
  <c r="M3768" i="3"/>
  <c r="K3768" i="3"/>
  <c r="G3768" i="3"/>
  <c r="D3768" i="3"/>
  <c r="C3768" i="3"/>
  <c r="M3767" i="3"/>
  <c r="K3767" i="3"/>
  <c r="G3767" i="3"/>
  <c r="D3767" i="3"/>
  <c r="C3767" i="3"/>
  <c r="M3766" i="3"/>
  <c r="K3766" i="3"/>
  <c r="G3766" i="3"/>
  <c r="D3766" i="3"/>
  <c r="C3766" i="3"/>
  <c r="M3765" i="3"/>
  <c r="K3765" i="3"/>
  <c r="G3765" i="3"/>
  <c r="D3765" i="3"/>
  <c r="C3765" i="3"/>
  <c r="M3764" i="3"/>
  <c r="K3764" i="3"/>
  <c r="G3764" i="3"/>
  <c r="D3764" i="3"/>
  <c r="C3764" i="3"/>
  <c r="M3763" i="3"/>
  <c r="K3763" i="3"/>
  <c r="G3763" i="3"/>
  <c r="D3763" i="3"/>
  <c r="C3763" i="3"/>
  <c r="M3762" i="3"/>
  <c r="K3762" i="3"/>
  <c r="G3762" i="3"/>
  <c r="D3762" i="3"/>
  <c r="C3762" i="3"/>
  <c r="M3761" i="3"/>
  <c r="K3761" i="3"/>
  <c r="G3761" i="3"/>
  <c r="D3761" i="3"/>
  <c r="C3761" i="3"/>
  <c r="M3760" i="3"/>
  <c r="K3760" i="3"/>
  <c r="G3760" i="3"/>
  <c r="D3760" i="3"/>
  <c r="C3760" i="3"/>
  <c r="M3759" i="3"/>
  <c r="K3759" i="3"/>
  <c r="G3759" i="3"/>
  <c r="D3759" i="3"/>
  <c r="C3759" i="3"/>
  <c r="M3758" i="3"/>
  <c r="K3758" i="3"/>
  <c r="G3758" i="3"/>
  <c r="D3758" i="3"/>
  <c r="C3758" i="3"/>
  <c r="M3757" i="3"/>
  <c r="K3757" i="3"/>
  <c r="G3757" i="3"/>
  <c r="D3757" i="3"/>
  <c r="C3757" i="3"/>
  <c r="M3756" i="3"/>
  <c r="K3756" i="3"/>
  <c r="G3756" i="3"/>
  <c r="D3756" i="3"/>
  <c r="C3756" i="3"/>
  <c r="M3755" i="3"/>
  <c r="K3755" i="3"/>
  <c r="G3755" i="3"/>
  <c r="D3755" i="3"/>
  <c r="C3755" i="3"/>
  <c r="M3754" i="3"/>
  <c r="K3754" i="3"/>
  <c r="G3754" i="3"/>
  <c r="D3754" i="3"/>
  <c r="C3754" i="3"/>
  <c r="M3753" i="3"/>
  <c r="K3753" i="3"/>
  <c r="G3753" i="3"/>
  <c r="D3753" i="3"/>
  <c r="C3753" i="3"/>
  <c r="M3752" i="3"/>
  <c r="K3752" i="3"/>
  <c r="G3752" i="3"/>
  <c r="D3752" i="3"/>
  <c r="C3752" i="3"/>
  <c r="M3751" i="3"/>
  <c r="K3751" i="3"/>
  <c r="G3751" i="3"/>
  <c r="D3751" i="3"/>
  <c r="C3751" i="3"/>
  <c r="M3750" i="3"/>
  <c r="K3750" i="3"/>
  <c r="G3750" i="3"/>
  <c r="D3750" i="3"/>
  <c r="C3750" i="3"/>
  <c r="M3749" i="3"/>
  <c r="K3749" i="3"/>
  <c r="G3749" i="3"/>
  <c r="D3749" i="3"/>
  <c r="C3749" i="3"/>
  <c r="M3748" i="3"/>
  <c r="K3748" i="3"/>
  <c r="G3748" i="3"/>
  <c r="D3748" i="3"/>
  <c r="C3748" i="3"/>
  <c r="M3747" i="3"/>
  <c r="K3747" i="3"/>
  <c r="G3747" i="3"/>
  <c r="D3747" i="3"/>
  <c r="C3747" i="3"/>
  <c r="M3746" i="3"/>
  <c r="K3746" i="3"/>
  <c r="G3746" i="3"/>
  <c r="D3746" i="3"/>
  <c r="C3746" i="3"/>
  <c r="M3745" i="3"/>
  <c r="K3745" i="3"/>
  <c r="G3745" i="3"/>
  <c r="D3745" i="3"/>
  <c r="C3745" i="3"/>
  <c r="M3744" i="3"/>
  <c r="K3744" i="3"/>
  <c r="G3744" i="3"/>
  <c r="D3744" i="3"/>
  <c r="C3744" i="3"/>
  <c r="M3743" i="3"/>
  <c r="K3743" i="3"/>
  <c r="G3743" i="3"/>
  <c r="D3743" i="3"/>
  <c r="C3743" i="3"/>
  <c r="M3742" i="3"/>
  <c r="K3742" i="3"/>
  <c r="G3742" i="3"/>
  <c r="D3742" i="3"/>
  <c r="C3742" i="3"/>
  <c r="M3741" i="3"/>
  <c r="K3741" i="3"/>
  <c r="G3741" i="3"/>
  <c r="D3741" i="3"/>
  <c r="C3741" i="3"/>
  <c r="M3740" i="3"/>
  <c r="K3740" i="3"/>
  <c r="G3740" i="3"/>
  <c r="D3740" i="3"/>
  <c r="C3740" i="3"/>
  <c r="M3739" i="3"/>
  <c r="K3739" i="3"/>
  <c r="G3739" i="3"/>
  <c r="D3739" i="3"/>
  <c r="C3739" i="3"/>
  <c r="M3738" i="3"/>
  <c r="K3738" i="3"/>
  <c r="G3738" i="3"/>
  <c r="D3738" i="3"/>
  <c r="C3738" i="3"/>
  <c r="M3737" i="3"/>
  <c r="K3737" i="3"/>
  <c r="G3737" i="3"/>
  <c r="D3737" i="3"/>
  <c r="C3737" i="3"/>
  <c r="M3736" i="3"/>
  <c r="K3736" i="3"/>
  <c r="G3736" i="3"/>
  <c r="D3736" i="3"/>
  <c r="C3736" i="3"/>
  <c r="M3735" i="3"/>
  <c r="K3735" i="3"/>
  <c r="G3735" i="3"/>
  <c r="D3735" i="3"/>
  <c r="C3735" i="3"/>
  <c r="M3734" i="3"/>
  <c r="K3734" i="3"/>
  <c r="G3734" i="3"/>
  <c r="D3734" i="3"/>
  <c r="C3734" i="3"/>
  <c r="M3733" i="3"/>
  <c r="K3733" i="3"/>
  <c r="G3733" i="3"/>
  <c r="D3733" i="3"/>
  <c r="C3733" i="3"/>
  <c r="M3732" i="3"/>
  <c r="K3732" i="3"/>
  <c r="G3732" i="3"/>
  <c r="D3732" i="3"/>
  <c r="C3732" i="3"/>
  <c r="M3731" i="3"/>
  <c r="K3731" i="3"/>
  <c r="G3731" i="3"/>
  <c r="D3731" i="3"/>
  <c r="C3731" i="3"/>
  <c r="M3730" i="3"/>
  <c r="K3730" i="3"/>
  <c r="G3730" i="3"/>
  <c r="D3730" i="3"/>
  <c r="C3730" i="3"/>
  <c r="M3729" i="3"/>
  <c r="K3729" i="3"/>
  <c r="G3729" i="3"/>
  <c r="D3729" i="3"/>
  <c r="C3729" i="3"/>
  <c r="M3728" i="3"/>
  <c r="K3728" i="3"/>
  <c r="G3728" i="3"/>
  <c r="D3728" i="3"/>
  <c r="C3728" i="3"/>
  <c r="M3727" i="3"/>
  <c r="K3727" i="3"/>
  <c r="G3727" i="3"/>
  <c r="D3727" i="3"/>
  <c r="C3727" i="3"/>
  <c r="M3726" i="3"/>
  <c r="K3726" i="3"/>
  <c r="G3726" i="3"/>
  <c r="D3726" i="3"/>
  <c r="C3726" i="3"/>
  <c r="M3725" i="3"/>
  <c r="K3725" i="3"/>
  <c r="G3725" i="3"/>
  <c r="D3725" i="3"/>
  <c r="C3725" i="3"/>
  <c r="M3724" i="3"/>
  <c r="K3724" i="3"/>
  <c r="G3724" i="3"/>
  <c r="D3724" i="3"/>
  <c r="C3724" i="3"/>
  <c r="M3723" i="3"/>
  <c r="K3723" i="3"/>
  <c r="G3723" i="3"/>
  <c r="D3723" i="3"/>
  <c r="C3723" i="3"/>
  <c r="M3722" i="3"/>
  <c r="K3722" i="3"/>
  <c r="G3722" i="3"/>
  <c r="D3722" i="3"/>
  <c r="C3722" i="3"/>
  <c r="M3721" i="3"/>
  <c r="K3721" i="3"/>
  <c r="G3721" i="3"/>
  <c r="D3721" i="3"/>
  <c r="C3721" i="3"/>
  <c r="M3720" i="3"/>
  <c r="K3720" i="3"/>
  <c r="G3720" i="3"/>
  <c r="D3720" i="3"/>
  <c r="C3720" i="3"/>
  <c r="M3719" i="3"/>
  <c r="K3719" i="3"/>
  <c r="G3719" i="3"/>
  <c r="D3719" i="3"/>
  <c r="C3719" i="3"/>
  <c r="M3718" i="3"/>
  <c r="K3718" i="3"/>
  <c r="G3718" i="3"/>
  <c r="D3718" i="3"/>
  <c r="C3718" i="3"/>
  <c r="M3717" i="3"/>
  <c r="K3717" i="3"/>
  <c r="G3717" i="3"/>
  <c r="D3717" i="3"/>
  <c r="C3717" i="3"/>
  <c r="M3716" i="3"/>
  <c r="K3716" i="3"/>
  <c r="G3716" i="3"/>
  <c r="D3716" i="3"/>
  <c r="C3716" i="3"/>
  <c r="M3715" i="3"/>
  <c r="K3715" i="3"/>
  <c r="G3715" i="3"/>
  <c r="D3715" i="3"/>
  <c r="C3715" i="3"/>
  <c r="M3714" i="3"/>
  <c r="K3714" i="3"/>
  <c r="G3714" i="3"/>
  <c r="D3714" i="3"/>
  <c r="C3714" i="3"/>
  <c r="M3713" i="3"/>
  <c r="K3713" i="3"/>
  <c r="G3713" i="3"/>
  <c r="D3713" i="3"/>
  <c r="C3713" i="3"/>
  <c r="M3712" i="3"/>
  <c r="K3712" i="3"/>
  <c r="G3712" i="3"/>
  <c r="D3712" i="3"/>
  <c r="C3712" i="3"/>
  <c r="M3711" i="3"/>
  <c r="K3711" i="3"/>
  <c r="G3711" i="3"/>
  <c r="D3711" i="3"/>
  <c r="C3711" i="3"/>
  <c r="M3710" i="3"/>
  <c r="K3710" i="3"/>
  <c r="G3710" i="3"/>
  <c r="D3710" i="3"/>
  <c r="C3710" i="3"/>
  <c r="M3709" i="3"/>
  <c r="K3709" i="3"/>
  <c r="G3709" i="3"/>
  <c r="D3709" i="3"/>
  <c r="C3709" i="3"/>
  <c r="M3708" i="3"/>
  <c r="K3708" i="3"/>
  <c r="G3708" i="3"/>
  <c r="D3708" i="3"/>
  <c r="C3708" i="3"/>
  <c r="M3707" i="3"/>
  <c r="K3707" i="3"/>
  <c r="G3707" i="3"/>
  <c r="D3707" i="3"/>
  <c r="C3707" i="3"/>
  <c r="M3706" i="3"/>
  <c r="K3706" i="3"/>
  <c r="G3706" i="3"/>
  <c r="D3706" i="3"/>
  <c r="C3706" i="3"/>
  <c r="M3705" i="3"/>
  <c r="K3705" i="3"/>
  <c r="G3705" i="3"/>
  <c r="D3705" i="3"/>
  <c r="C3705" i="3"/>
  <c r="M3704" i="3"/>
  <c r="K3704" i="3"/>
  <c r="G3704" i="3"/>
  <c r="D3704" i="3"/>
  <c r="C3704" i="3"/>
  <c r="M3703" i="3"/>
  <c r="K3703" i="3"/>
  <c r="G3703" i="3"/>
  <c r="D3703" i="3"/>
  <c r="C3703" i="3"/>
  <c r="M3702" i="3"/>
  <c r="K3702" i="3"/>
  <c r="G3702" i="3"/>
  <c r="D3702" i="3"/>
  <c r="C3702" i="3"/>
  <c r="M3701" i="3"/>
  <c r="K3701" i="3"/>
  <c r="G3701" i="3"/>
  <c r="D3701" i="3"/>
  <c r="C3701" i="3"/>
  <c r="M3700" i="3"/>
  <c r="K3700" i="3"/>
  <c r="G3700" i="3"/>
  <c r="D3700" i="3"/>
  <c r="C3700" i="3"/>
  <c r="M3699" i="3"/>
  <c r="K3699" i="3"/>
  <c r="G3699" i="3"/>
  <c r="D3699" i="3"/>
  <c r="C3699" i="3"/>
  <c r="M3698" i="3"/>
  <c r="K3698" i="3"/>
  <c r="G3698" i="3"/>
  <c r="D3698" i="3"/>
  <c r="C3698" i="3"/>
  <c r="M3697" i="3"/>
  <c r="K3697" i="3"/>
  <c r="G3697" i="3"/>
  <c r="D3697" i="3"/>
  <c r="C3697" i="3"/>
  <c r="M3696" i="3"/>
  <c r="K3696" i="3"/>
  <c r="G3696" i="3"/>
  <c r="D3696" i="3"/>
  <c r="C3696" i="3"/>
  <c r="M3695" i="3"/>
  <c r="K3695" i="3"/>
  <c r="G3695" i="3"/>
  <c r="D3695" i="3"/>
  <c r="C3695" i="3"/>
  <c r="M3694" i="3"/>
  <c r="K3694" i="3"/>
  <c r="G3694" i="3"/>
  <c r="D3694" i="3"/>
  <c r="C3694" i="3"/>
  <c r="M3693" i="3"/>
  <c r="K3693" i="3"/>
  <c r="G3693" i="3"/>
  <c r="D3693" i="3"/>
  <c r="C3693" i="3"/>
  <c r="M3692" i="3"/>
  <c r="K3692" i="3"/>
  <c r="G3692" i="3"/>
  <c r="D3692" i="3"/>
  <c r="C3692" i="3"/>
  <c r="M3691" i="3"/>
  <c r="K3691" i="3"/>
  <c r="G3691" i="3"/>
  <c r="D3691" i="3"/>
  <c r="C3691" i="3"/>
  <c r="M3690" i="3"/>
  <c r="K3690" i="3"/>
  <c r="G3690" i="3"/>
  <c r="D3690" i="3"/>
  <c r="C3690" i="3"/>
  <c r="M3689" i="3"/>
  <c r="K3689" i="3"/>
  <c r="G3689" i="3"/>
  <c r="D3689" i="3"/>
  <c r="C3689" i="3"/>
  <c r="M3688" i="3"/>
  <c r="K3688" i="3"/>
  <c r="G3688" i="3"/>
  <c r="D3688" i="3"/>
  <c r="C3688" i="3"/>
  <c r="M3687" i="3"/>
  <c r="K3687" i="3"/>
  <c r="G3687" i="3"/>
  <c r="D3687" i="3"/>
  <c r="C3687" i="3"/>
  <c r="M3686" i="3"/>
  <c r="K3686" i="3"/>
  <c r="G3686" i="3"/>
  <c r="D3686" i="3"/>
  <c r="C3686" i="3"/>
  <c r="M3685" i="3"/>
  <c r="K3685" i="3"/>
  <c r="G3685" i="3"/>
  <c r="D3685" i="3"/>
  <c r="C3685" i="3"/>
  <c r="M3684" i="3"/>
  <c r="K3684" i="3"/>
  <c r="G3684" i="3"/>
  <c r="D3684" i="3"/>
  <c r="C3684" i="3"/>
  <c r="M3683" i="3"/>
  <c r="K3683" i="3"/>
  <c r="G3683" i="3"/>
  <c r="D3683" i="3"/>
  <c r="C3683" i="3"/>
  <c r="M3682" i="3"/>
  <c r="K3682" i="3"/>
  <c r="G3682" i="3"/>
  <c r="D3682" i="3"/>
  <c r="C3682" i="3"/>
  <c r="M3681" i="3"/>
  <c r="K3681" i="3"/>
  <c r="G3681" i="3"/>
  <c r="D3681" i="3"/>
  <c r="C3681" i="3"/>
  <c r="M3680" i="3"/>
  <c r="K3680" i="3"/>
  <c r="G3680" i="3"/>
  <c r="D3680" i="3"/>
  <c r="C3680" i="3"/>
  <c r="M3679" i="3"/>
  <c r="K3679" i="3"/>
  <c r="G3679" i="3"/>
  <c r="D3679" i="3"/>
  <c r="C3679" i="3"/>
  <c r="M3678" i="3"/>
  <c r="K3678" i="3"/>
  <c r="G3678" i="3"/>
  <c r="D3678" i="3"/>
  <c r="C3678" i="3"/>
  <c r="M3677" i="3"/>
  <c r="K3677" i="3"/>
  <c r="G3677" i="3"/>
  <c r="D3677" i="3"/>
  <c r="C3677" i="3"/>
  <c r="M3676" i="3"/>
  <c r="K3676" i="3"/>
  <c r="G3676" i="3"/>
  <c r="D3676" i="3"/>
  <c r="C3676" i="3"/>
  <c r="M3675" i="3"/>
  <c r="K3675" i="3"/>
  <c r="G3675" i="3"/>
  <c r="D3675" i="3"/>
  <c r="C3675" i="3"/>
  <c r="M3674" i="3"/>
  <c r="K3674" i="3"/>
  <c r="G3674" i="3"/>
  <c r="D3674" i="3"/>
  <c r="C3674" i="3"/>
  <c r="M3673" i="3"/>
  <c r="K3673" i="3"/>
  <c r="G3673" i="3"/>
  <c r="D3673" i="3"/>
  <c r="C3673" i="3"/>
  <c r="M3672" i="3"/>
  <c r="K3672" i="3"/>
  <c r="G3672" i="3"/>
  <c r="D3672" i="3"/>
  <c r="C3672" i="3"/>
  <c r="M3671" i="3"/>
  <c r="K3671" i="3"/>
  <c r="G3671" i="3"/>
  <c r="D3671" i="3"/>
  <c r="C3671" i="3"/>
  <c r="M3670" i="3"/>
  <c r="K3670" i="3"/>
  <c r="G3670" i="3"/>
  <c r="D3670" i="3"/>
  <c r="C3670" i="3"/>
  <c r="M3669" i="3"/>
  <c r="K3669" i="3"/>
  <c r="G3669" i="3"/>
  <c r="D3669" i="3"/>
  <c r="C3669" i="3"/>
  <c r="M3668" i="3"/>
  <c r="K3668" i="3"/>
  <c r="G3668" i="3"/>
  <c r="D3668" i="3"/>
  <c r="C3668" i="3"/>
  <c r="M3667" i="3"/>
  <c r="K3667" i="3"/>
  <c r="G3667" i="3"/>
  <c r="D3667" i="3"/>
  <c r="C3667" i="3"/>
  <c r="M3666" i="3"/>
  <c r="K3666" i="3"/>
  <c r="G3666" i="3"/>
  <c r="D3666" i="3"/>
  <c r="C3666" i="3"/>
  <c r="M3665" i="3"/>
  <c r="K3665" i="3"/>
  <c r="G3665" i="3"/>
  <c r="D3665" i="3"/>
  <c r="C3665" i="3"/>
  <c r="M3664" i="3"/>
  <c r="K3664" i="3"/>
  <c r="G3664" i="3"/>
  <c r="D3664" i="3"/>
  <c r="C3664" i="3"/>
  <c r="M3663" i="3"/>
  <c r="K3663" i="3"/>
  <c r="G3663" i="3"/>
  <c r="D3663" i="3"/>
  <c r="C3663" i="3"/>
  <c r="M3662" i="3"/>
  <c r="K3662" i="3"/>
  <c r="G3662" i="3"/>
  <c r="D3662" i="3"/>
  <c r="C3662" i="3"/>
  <c r="M3661" i="3"/>
  <c r="K3661" i="3"/>
  <c r="G3661" i="3"/>
  <c r="D3661" i="3"/>
  <c r="C3661" i="3"/>
  <c r="M3660" i="3"/>
  <c r="K3660" i="3"/>
  <c r="G3660" i="3"/>
  <c r="D3660" i="3"/>
  <c r="C3660" i="3"/>
  <c r="M3659" i="3"/>
  <c r="K3659" i="3"/>
  <c r="G3659" i="3"/>
  <c r="D3659" i="3"/>
  <c r="C3659" i="3"/>
  <c r="M3658" i="3"/>
  <c r="K3658" i="3"/>
  <c r="G3658" i="3"/>
  <c r="D3658" i="3"/>
  <c r="C3658" i="3"/>
  <c r="M3657" i="3"/>
  <c r="K3657" i="3"/>
  <c r="G3657" i="3"/>
  <c r="D3657" i="3"/>
  <c r="C3657" i="3"/>
  <c r="M3656" i="3"/>
  <c r="K3656" i="3"/>
  <c r="G3656" i="3"/>
  <c r="D3656" i="3"/>
  <c r="C3656" i="3"/>
  <c r="M3655" i="3"/>
  <c r="K3655" i="3"/>
  <c r="G3655" i="3"/>
  <c r="D3655" i="3"/>
  <c r="C3655" i="3"/>
  <c r="M3654" i="3"/>
  <c r="K3654" i="3"/>
  <c r="G3654" i="3"/>
  <c r="D3654" i="3"/>
  <c r="C3654" i="3"/>
  <c r="M3653" i="3"/>
  <c r="K3653" i="3"/>
  <c r="G3653" i="3"/>
  <c r="D3653" i="3"/>
  <c r="C3653" i="3"/>
  <c r="M3652" i="3"/>
  <c r="K3652" i="3"/>
  <c r="G3652" i="3"/>
  <c r="D3652" i="3"/>
  <c r="C3652" i="3"/>
  <c r="M3651" i="3"/>
  <c r="K3651" i="3"/>
  <c r="G3651" i="3"/>
  <c r="D3651" i="3"/>
  <c r="C3651" i="3"/>
  <c r="M3650" i="3"/>
  <c r="K3650" i="3"/>
  <c r="G3650" i="3"/>
  <c r="D3650" i="3"/>
  <c r="C3650" i="3"/>
  <c r="M3649" i="3"/>
  <c r="K3649" i="3"/>
  <c r="G3649" i="3"/>
  <c r="D3649" i="3"/>
  <c r="C3649" i="3"/>
  <c r="M3648" i="3"/>
  <c r="K3648" i="3"/>
  <c r="G3648" i="3"/>
  <c r="D3648" i="3"/>
  <c r="C3648" i="3"/>
  <c r="M3647" i="3"/>
  <c r="K3647" i="3"/>
  <c r="G3647" i="3"/>
  <c r="D3647" i="3"/>
  <c r="C3647" i="3"/>
  <c r="M3646" i="3"/>
  <c r="K3646" i="3"/>
  <c r="G3646" i="3"/>
  <c r="D3646" i="3"/>
  <c r="C3646" i="3"/>
  <c r="M3645" i="3"/>
  <c r="K3645" i="3"/>
  <c r="G3645" i="3"/>
  <c r="D3645" i="3"/>
  <c r="C3645" i="3"/>
  <c r="M3644" i="3"/>
  <c r="K3644" i="3"/>
  <c r="G3644" i="3"/>
  <c r="D3644" i="3"/>
  <c r="C3644" i="3"/>
  <c r="M3643" i="3"/>
  <c r="K3643" i="3"/>
  <c r="G3643" i="3"/>
  <c r="D3643" i="3"/>
  <c r="C3643" i="3"/>
  <c r="M3642" i="3"/>
  <c r="K3642" i="3"/>
  <c r="G3642" i="3"/>
  <c r="D3642" i="3"/>
  <c r="C3642" i="3"/>
  <c r="M3641" i="3"/>
  <c r="K3641" i="3"/>
  <c r="G3641" i="3"/>
  <c r="D3641" i="3"/>
  <c r="C3641" i="3"/>
  <c r="M3640" i="3"/>
  <c r="K3640" i="3"/>
  <c r="G3640" i="3"/>
  <c r="D3640" i="3"/>
  <c r="C3640" i="3"/>
  <c r="M3639" i="3"/>
  <c r="K3639" i="3"/>
  <c r="G3639" i="3"/>
  <c r="D3639" i="3"/>
  <c r="C3639" i="3"/>
  <c r="M3638" i="3"/>
  <c r="K3638" i="3"/>
  <c r="G3638" i="3"/>
  <c r="D3638" i="3"/>
  <c r="C3638" i="3"/>
  <c r="M3637" i="3"/>
  <c r="K3637" i="3"/>
  <c r="G3637" i="3"/>
  <c r="D3637" i="3"/>
  <c r="C3637" i="3"/>
  <c r="M3636" i="3"/>
  <c r="K3636" i="3"/>
  <c r="G3636" i="3"/>
  <c r="D3636" i="3"/>
  <c r="C3636" i="3"/>
  <c r="M3635" i="3"/>
  <c r="K3635" i="3"/>
  <c r="G3635" i="3"/>
  <c r="D3635" i="3"/>
  <c r="C3635" i="3"/>
  <c r="M3634" i="3"/>
  <c r="K3634" i="3"/>
  <c r="G3634" i="3"/>
  <c r="D3634" i="3"/>
  <c r="C3634" i="3"/>
  <c r="M3633" i="3"/>
  <c r="K3633" i="3"/>
  <c r="G3633" i="3"/>
  <c r="D3633" i="3"/>
  <c r="C3633" i="3"/>
  <c r="M3632" i="3"/>
  <c r="K3632" i="3"/>
  <c r="G3632" i="3"/>
  <c r="D3632" i="3"/>
  <c r="C3632" i="3"/>
  <c r="M3631" i="3"/>
  <c r="K3631" i="3"/>
  <c r="G3631" i="3"/>
  <c r="D3631" i="3"/>
  <c r="C3631" i="3"/>
  <c r="M3630" i="3"/>
  <c r="K3630" i="3"/>
  <c r="G3630" i="3"/>
  <c r="D3630" i="3"/>
  <c r="C3630" i="3"/>
  <c r="M3629" i="3"/>
  <c r="K3629" i="3"/>
  <c r="G3629" i="3"/>
  <c r="D3629" i="3"/>
  <c r="C3629" i="3"/>
  <c r="M3628" i="3"/>
  <c r="K3628" i="3"/>
  <c r="G3628" i="3"/>
  <c r="D3628" i="3"/>
  <c r="C3628" i="3"/>
  <c r="M3627" i="3"/>
  <c r="K3627" i="3"/>
  <c r="G3627" i="3"/>
  <c r="D3627" i="3"/>
  <c r="C3627" i="3"/>
  <c r="M3626" i="3"/>
  <c r="K3626" i="3"/>
  <c r="G3626" i="3"/>
  <c r="D3626" i="3"/>
  <c r="C3626" i="3"/>
  <c r="M3625" i="3"/>
  <c r="K3625" i="3"/>
  <c r="G3625" i="3"/>
  <c r="D3625" i="3"/>
  <c r="C3625" i="3"/>
  <c r="M3624" i="3"/>
  <c r="K3624" i="3"/>
  <c r="G3624" i="3"/>
  <c r="D3624" i="3"/>
  <c r="C3624" i="3"/>
  <c r="M3623" i="3"/>
  <c r="K3623" i="3"/>
  <c r="G3623" i="3"/>
  <c r="D3623" i="3"/>
  <c r="C3623" i="3"/>
  <c r="M3622" i="3"/>
  <c r="K3622" i="3"/>
  <c r="G3622" i="3"/>
  <c r="D3622" i="3"/>
  <c r="C3622" i="3"/>
  <c r="M3621" i="3"/>
  <c r="K3621" i="3"/>
  <c r="G3621" i="3"/>
  <c r="D3621" i="3"/>
  <c r="C3621" i="3"/>
  <c r="M3620" i="3"/>
  <c r="K3620" i="3"/>
  <c r="G3620" i="3"/>
  <c r="D3620" i="3"/>
  <c r="C3620" i="3"/>
  <c r="M3619" i="3"/>
  <c r="K3619" i="3"/>
  <c r="G3619" i="3"/>
  <c r="D3619" i="3"/>
  <c r="C3619" i="3"/>
  <c r="M3618" i="3"/>
  <c r="K3618" i="3"/>
  <c r="G3618" i="3"/>
  <c r="D3618" i="3"/>
  <c r="C3618" i="3"/>
  <c r="M3617" i="3"/>
  <c r="K3617" i="3"/>
  <c r="G3617" i="3"/>
  <c r="D3617" i="3"/>
  <c r="C3617" i="3"/>
  <c r="M3616" i="3"/>
  <c r="K3616" i="3"/>
  <c r="G3616" i="3"/>
  <c r="D3616" i="3"/>
  <c r="C3616" i="3"/>
  <c r="M3615" i="3"/>
  <c r="K3615" i="3"/>
  <c r="G3615" i="3"/>
  <c r="D3615" i="3"/>
  <c r="C3615" i="3"/>
  <c r="M3614" i="3"/>
  <c r="K3614" i="3"/>
  <c r="G3614" i="3"/>
  <c r="D3614" i="3"/>
  <c r="C3614" i="3"/>
  <c r="M3613" i="3"/>
  <c r="K3613" i="3"/>
  <c r="G3613" i="3"/>
  <c r="D3613" i="3"/>
  <c r="C3613" i="3"/>
  <c r="M3612" i="3"/>
  <c r="K3612" i="3"/>
  <c r="G3612" i="3"/>
  <c r="D3612" i="3"/>
  <c r="C3612" i="3"/>
  <c r="M3611" i="3"/>
  <c r="K3611" i="3"/>
  <c r="G3611" i="3"/>
  <c r="D3611" i="3"/>
  <c r="C3611" i="3"/>
  <c r="M3610" i="3"/>
  <c r="K3610" i="3"/>
  <c r="G3610" i="3"/>
  <c r="D3610" i="3"/>
  <c r="C3610" i="3"/>
  <c r="M3609" i="3"/>
  <c r="K3609" i="3"/>
  <c r="G3609" i="3"/>
  <c r="D3609" i="3"/>
  <c r="C3609" i="3"/>
  <c r="M3608" i="3"/>
  <c r="K3608" i="3"/>
  <c r="G3608" i="3"/>
  <c r="D3608" i="3"/>
  <c r="C3608" i="3"/>
  <c r="M3607" i="3"/>
  <c r="K3607" i="3"/>
  <c r="G3607" i="3"/>
  <c r="D3607" i="3"/>
  <c r="C3607" i="3"/>
  <c r="M3606" i="3"/>
  <c r="K3606" i="3"/>
  <c r="G3606" i="3"/>
  <c r="D3606" i="3"/>
  <c r="C3606" i="3"/>
  <c r="M3605" i="3"/>
  <c r="K3605" i="3"/>
  <c r="G3605" i="3"/>
  <c r="D3605" i="3"/>
  <c r="C3605" i="3"/>
  <c r="M3604" i="3"/>
  <c r="K3604" i="3"/>
  <c r="G3604" i="3"/>
  <c r="D3604" i="3"/>
  <c r="C3604" i="3"/>
  <c r="M3603" i="3"/>
  <c r="K3603" i="3"/>
  <c r="G3603" i="3"/>
  <c r="D3603" i="3"/>
  <c r="C3603" i="3"/>
  <c r="M3602" i="3"/>
  <c r="K3602" i="3"/>
  <c r="G3602" i="3"/>
  <c r="D3602" i="3"/>
  <c r="C3602" i="3"/>
  <c r="M3601" i="3"/>
  <c r="K3601" i="3"/>
  <c r="G3601" i="3"/>
  <c r="D3601" i="3"/>
  <c r="C3601" i="3"/>
  <c r="M3600" i="3"/>
  <c r="K3600" i="3"/>
  <c r="G3600" i="3"/>
  <c r="D3600" i="3"/>
  <c r="C3600" i="3"/>
  <c r="M3599" i="3"/>
  <c r="K3599" i="3"/>
  <c r="G3599" i="3"/>
  <c r="D3599" i="3"/>
  <c r="C3599" i="3"/>
  <c r="M3598" i="3"/>
  <c r="K3598" i="3"/>
  <c r="G3598" i="3"/>
  <c r="D3598" i="3"/>
  <c r="C3598" i="3"/>
  <c r="M3597" i="3"/>
  <c r="K3597" i="3"/>
  <c r="G3597" i="3"/>
  <c r="D3597" i="3"/>
  <c r="C3597" i="3"/>
  <c r="M3596" i="3"/>
  <c r="K3596" i="3"/>
  <c r="G3596" i="3"/>
  <c r="D3596" i="3"/>
  <c r="C3596" i="3"/>
  <c r="M3595" i="3"/>
  <c r="K3595" i="3"/>
  <c r="G3595" i="3"/>
  <c r="D3595" i="3"/>
  <c r="C3595" i="3"/>
  <c r="M3594" i="3"/>
  <c r="K3594" i="3"/>
  <c r="G3594" i="3"/>
  <c r="D3594" i="3"/>
  <c r="C3594" i="3"/>
  <c r="M3593" i="3"/>
  <c r="K3593" i="3"/>
  <c r="G3593" i="3"/>
  <c r="D3593" i="3"/>
  <c r="C3593" i="3"/>
  <c r="M3592" i="3"/>
  <c r="K3592" i="3"/>
  <c r="G3592" i="3"/>
  <c r="D3592" i="3"/>
  <c r="C3592" i="3"/>
  <c r="M3591" i="3"/>
  <c r="K3591" i="3"/>
  <c r="G3591" i="3"/>
  <c r="D3591" i="3"/>
  <c r="C3591" i="3"/>
  <c r="M3590" i="3"/>
  <c r="K3590" i="3"/>
  <c r="G3590" i="3"/>
  <c r="D3590" i="3"/>
  <c r="C3590" i="3"/>
  <c r="M3589" i="3"/>
  <c r="K3589" i="3"/>
  <c r="G3589" i="3"/>
  <c r="D3589" i="3"/>
  <c r="C3589" i="3"/>
  <c r="M3588" i="3"/>
  <c r="K3588" i="3"/>
  <c r="G3588" i="3"/>
  <c r="D3588" i="3"/>
  <c r="C3588" i="3"/>
  <c r="M3587" i="3"/>
  <c r="K3587" i="3"/>
  <c r="G3587" i="3"/>
  <c r="D3587" i="3"/>
  <c r="C3587" i="3"/>
  <c r="M3586" i="3"/>
  <c r="K3586" i="3"/>
  <c r="G3586" i="3"/>
  <c r="D3586" i="3"/>
  <c r="C3586" i="3"/>
  <c r="M3585" i="3"/>
  <c r="K3585" i="3"/>
  <c r="G3585" i="3"/>
  <c r="D3585" i="3"/>
  <c r="C3585" i="3"/>
  <c r="M3584" i="3"/>
  <c r="K3584" i="3"/>
  <c r="G3584" i="3"/>
  <c r="D3584" i="3"/>
  <c r="C3584" i="3"/>
  <c r="M3583" i="3"/>
  <c r="K3583" i="3"/>
  <c r="G3583" i="3"/>
  <c r="D3583" i="3"/>
  <c r="C3583" i="3"/>
  <c r="M3582" i="3"/>
  <c r="K3582" i="3"/>
  <c r="G3582" i="3"/>
  <c r="D3582" i="3"/>
  <c r="C3582" i="3"/>
  <c r="M3581" i="3"/>
  <c r="K3581" i="3"/>
  <c r="G3581" i="3"/>
  <c r="D3581" i="3"/>
  <c r="C3581" i="3"/>
  <c r="M3580" i="3"/>
  <c r="K3580" i="3"/>
  <c r="G3580" i="3"/>
  <c r="D3580" i="3"/>
  <c r="C3580" i="3"/>
  <c r="M3579" i="3"/>
  <c r="K3579" i="3"/>
  <c r="G3579" i="3"/>
  <c r="D3579" i="3"/>
  <c r="C3579" i="3"/>
  <c r="M3578" i="3"/>
  <c r="K3578" i="3"/>
  <c r="G3578" i="3"/>
  <c r="D3578" i="3"/>
  <c r="C3578" i="3"/>
  <c r="M3577" i="3"/>
  <c r="K3577" i="3"/>
  <c r="G3577" i="3"/>
  <c r="D3577" i="3"/>
  <c r="C3577" i="3"/>
  <c r="M3576" i="3"/>
  <c r="K3576" i="3"/>
  <c r="G3576" i="3"/>
  <c r="D3576" i="3"/>
  <c r="C3576" i="3"/>
  <c r="M3575" i="3"/>
  <c r="K3575" i="3"/>
  <c r="G3575" i="3"/>
  <c r="D3575" i="3"/>
  <c r="C3575" i="3"/>
  <c r="M3574" i="3"/>
  <c r="K3574" i="3"/>
  <c r="G3574" i="3"/>
  <c r="D3574" i="3"/>
  <c r="C3574" i="3"/>
  <c r="M3573" i="3"/>
  <c r="K3573" i="3"/>
  <c r="G3573" i="3"/>
  <c r="D3573" i="3"/>
  <c r="C3573" i="3"/>
  <c r="M3572" i="3"/>
  <c r="K3572" i="3"/>
  <c r="G3572" i="3"/>
  <c r="D3572" i="3"/>
  <c r="C3572" i="3"/>
  <c r="M3571" i="3"/>
  <c r="K3571" i="3"/>
  <c r="G3571" i="3"/>
  <c r="D3571" i="3"/>
  <c r="C3571" i="3"/>
  <c r="M3570" i="3"/>
  <c r="K3570" i="3"/>
  <c r="G3570" i="3"/>
  <c r="D3570" i="3"/>
  <c r="C3570" i="3"/>
  <c r="M3569" i="3"/>
  <c r="K3569" i="3"/>
  <c r="G3569" i="3"/>
  <c r="D3569" i="3"/>
  <c r="C3569" i="3"/>
  <c r="M3568" i="3"/>
  <c r="K3568" i="3"/>
  <c r="G3568" i="3"/>
  <c r="D3568" i="3"/>
  <c r="C3568" i="3"/>
  <c r="M3567" i="3"/>
  <c r="K3567" i="3"/>
  <c r="G3567" i="3"/>
  <c r="D3567" i="3"/>
  <c r="C3567" i="3"/>
  <c r="M3566" i="3"/>
  <c r="K3566" i="3"/>
  <c r="G3566" i="3"/>
  <c r="D3566" i="3"/>
  <c r="C3566" i="3"/>
  <c r="M3565" i="3"/>
  <c r="K3565" i="3"/>
  <c r="G3565" i="3"/>
  <c r="D3565" i="3"/>
  <c r="C3565" i="3"/>
  <c r="M3564" i="3"/>
  <c r="K3564" i="3"/>
  <c r="G3564" i="3"/>
  <c r="D3564" i="3"/>
  <c r="C3564" i="3"/>
  <c r="M3563" i="3"/>
  <c r="K3563" i="3"/>
  <c r="G3563" i="3"/>
  <c r="D3563" i="3"/>
  <c r="C3563" i="3"/>
  <c r="M3562" i="3"/>
  <c r="K3562" i="3"/>
  <c r="G3562" i="3"/>
  <c r="D3562" i="3"/>
  <c r="C3562" i="3"/>
  <c r="M3561" i="3"/>
  <c r="K3561" i="3"/>
  <c r="G3561" i="3"/>
  <c r="D3561" i="3"/>
  <c r="C3561" i="3"/>
  <c r="M3560" i="3"/>
  <c r="K3560" i="3"/>
  <c r="G3560" i="3"/>
  <c r="D3560" i="3"/>
  <c r="C3560" i="3"/>
  <c r="M3559" i="3"/>
  <c r="K3559" i="3"/>
  <c r="G3559" i="3"/>
  <c r="D3559" i="3"/>
  <c r="C3559" i="3"/>
  <c r="M3558" i="3"/>
  <c r="K3558" i="3"/>
  <c r="G3558" i="3"/>
  <c r="D3558" i="3"/>
  <c r="C3558" i="3"/>
  <c r="M3557" i="3"/>
  <c r="K3557" i="3"/>
  <c r="G3557" i="3"/>
  <c r="D3557" i="3"/>
  <c r="C3557" i="3"/>
  <c r="M3556" i="3"/>
  <c r="K3556" i="3"/>
  <c r="G3556" i="3"/>
  <c r="D3556" i="3"/>
  <c r="C3556" i="3"/>
  <c r="M3555" i="3"/>
  <c r="K3555" i="3"/>
  <c r="G3555" i="3"/>
  <c r="D3555" i="3"/>
  <c r="C3555" i="3"/>
  <c r="M3554" i="3"/>
  <c r="K3554" i="3"/>
  <c r="G3554" i="3"/>
  <c r="D3554" i="3"/>
  <c r="C3554" i="3"/>
  <c r="M3553" i="3"/>
  <c r="K3553" i="3"/>
  <c r="G3553" i="3"/>
  <c r="D3553" i="3"/>
  <c r="C3553" i="3"/>
  <c r="M3552" i="3"/>
  <c r="K3552" i="3"/>
  <c r="G3552" i="3"/>
  <c r="D3552" i="3"/>
  <c r="C3552" i="3"/>
  <c r="M3551" i="3"/>
  <c r="K3551" i="3"/>
  <c r="G3551" i="3"/>
  <c r="D3551" i="3"/>
  <c r="C3551" i="3"/>
  <c r="M3550" i="3"/>
  <c r="K3550" i="3"/>
  <c r="G3550" i="3"/>
  <c r="D3550" i="3"/>
  <c r="C3550" i="3"/>
  <c r="M3549" i="3"/>
  <c r="K3549" i="3"/>
  <c r="G3549" i="3"/>
  <c r="D3549" i="3"/>
  <c r="C3549" i="3"/>
  <c r="M3548" i="3"/>
  <c r="K3548" i="3"/>
  <c r="G3548" i="3"/>
  <c r="D3548" i="3"/>
  <c r="C3548" i="3"/>
  <c r="M3547" i="3"/>
  <c r="K3547" i="3"/>
  <c r="G3547" i="3"/>
  <c r="D3547" i="3"/>
  <c r="C3547" i="3"/>
  <c r="M3546" i="3"/>
  <c r="K3546" i="3"/>
  <c r="G3546" i="3"/>
  <c r="D3546" i="3"/>
  <c r="C3546" i="3"/>
  <c r="M3545" i="3"/>
  <c r="K3545" i="3"/>
  <c r="G3545" i="3"/>
  <c r="D3545" i="3"/>
  <c r="C3545" i="3"/>
  <c r="M3544" i="3"/>
  <c r="K3544" i="3"/>
  <c r="G3544" i="3"/>
  <c r="D3544" i="3"/>
  <c r="C3544" i="3"/>
  <c r="M3543" i="3"/>
  <c r="K3543" i="3"/>
  <c r="G3543" i="3"/>
  <c r="D3543" i="3"/>
  <c r="C3543" i="3"/>
  <c r="M3542" i="3"/>
  <c r="K3542" i="3"/>
  <c r="G3542" i="3"/>
  <c r="D3542" i="3"/>
  <c r="C3542" i="3"/>
  <c r="M3541" i="3"/>
  <c r="K3541" i="3"/>
  <c r="G3541" i="3"/>
  <c r="D3541" i="3"/>
  <c r="C3541" i="3"/>
  <c r="M3540" i="3"/>
  <c r="K3540" i="3"/>
  <c r="G3540" i="3"/>
  <c r="D3540" i="3"/>
  <c r="C3540" i="3"/>
  <c r="M3539" i="3"/>
  <c r="K3539" i="3"/>
  <c r="G3539" i="3"/>
  <c r="D3539" i="3"/>
  <c r="C3539" i="3"/>
  <c r="M3538" i="3"/>
  <c r="K3538" i="3"/>
  <c r="G3538" i="3"/>
  <c r="D3538" i="3"/>
  <c r="C3538" i="3"/>
  <c r="M3537" i="3"/>
  <c r="K3537" i="3"/>
  <c r="G3537" i="3"/>
  <c r="D3537" i="3"/>
  <c r="C3537" i="3"/>
  <c r="M3536" i="3"/>
  <c r="K3536" i="3"/>
  <c r="G3536" i="3"/>
  <c r="D3536" i="3"/>
  <c r="C3536" i="3"/>
  <c r="M3535" i="3"/>
  <c r="K3535" i="3"/>
  <c r="G3535" i="3"/>
  <c r="D3535" i="3"/>
  <c r="C3535" i="3"/>
  <c r="M3534" i="3"/>
  <c r="K3534" i="3"/>
  <c r="G3534" i="3"/>
  <c r="D3534" i="3"/>
  <c r="C3534" i="3"/>
  <c r="M3533" i="3"/>
  <c r="K3533" i="3"/>
  <c r="G3533" i="3"/>
  <c r="D3533" i="3"/>
  <c r="C3533" i="3"/>
  <c r="M3532" i="3"/>
  <c r="K3532" i="3"/>
  <c r="G3532" i="3"/>
  <c r="D3532" i="3"/>
  <c r="C3532" i="3"/>
  <c r="M3531" i="3"/>
  <c r="K3531" i="3"/>
  <c r="G3531" i="3"/>
  <c r="D3531" i="3"/>
  <c r="C3531" i="3"/>
  <c r="M3530" i="3"/>
  <c r="K3530" i="3"/>
  <c r="G3530" i="3"/>
  <c r="D3530" i="3"/>
  <c r="C3530" i="3"/>
  <c r="M3529" i="3"/>
  <c r="K3529" i="3"/>
  <c r="G3529" i="3"/>
  <c r="D3529" i="3"/>
  <c r="C3529" i="3"/>
  <c r="M3528" i="3"/>
  <c r="K3528" i="3"/>
  <c r="G3528" i="3"/>
  <c r="D3528" i="3"/>
  <c r="C3528" i="3"/>
  <c r="M3527" i="3"/>
  <c r="K3527" i="3"/>
  <c r="G3527" i="3"/>
  <c r="D3527" i="3"/>
  <c r="C3527" i="3"/>
  <c r="M3526" i="3"/>
  <c r="K3526" i="3"/>
  <c r="G3526" i="3"/>
  <c r="D3526" i="3"/>
  <c r="C3526" i="3"/>
  <c r="M3525" i="3"/>
  <c r="K3525" i="3"/>
  <c r="G3525" i="3"/>
  <c r="D3525" i="3"/>
  <c r="C3525" i="3"/>
  <c r="M3524" i="3"/>
  <c r="K3524" i="3"/>
  <c r="G3524" i="3"/>
  <c r="D3524" i="3"/>
  <c r="C3524" i="3"/>
  <c r="M3523" i="3"/>
  <c r="K3523" i="3"/>
  <c r="G3523" i="3"/>
  <c r="D3523" i="3"/>
  <c r="C3523" i="3"/>
  <c r="M3522" i="3"/>
  <c r="K3522" i="3"/>
  <c r="G3522" i="3"/>
  <c r="D3522" i="3"/>
  <c r="C3522" i="3"/>
  <c r="M3521" i="3"/>
  <c r="K3521" i="3"/>
  <c r="G3521" i="3"/>
  <c r="D3521" i="3"/>
  <c r="C3521" i="3"/>
  <c r="M3520" i="3"/>
  <c r="K3520" i="3"/>
  <c r="G3520" i="3"/>
  <c r="D3520" i="3"/>
  <c r="C3520" i="3"/>
  <c r="M3519" i="3"/>
  <c r="K3519" i="3"/>
  <c r="G3519" i="3"/>
  <c r="D3519" i="3"/>
  <c r="C3519" i="3"/>
  <c r="M3518" i="3"/>
  <c r="K3518" i="3"/>
  <c r="G3518" i="3"/>
  <c r="D3518" i="3"/>
  <c r="C3518" i="3"/>
  <c r="M3517" i="3"/>
  <c r="K3517" i="3"/>
  <c r="G3517" i="3"/>
  <c r="D3517" i="3"/>
  <c r="C3517" i="3"/>
  <c r="M3516" i="3"/>
  <c r="K3516" i="3"/>
  <c r="G3516" i="3"/>
  <c r="D3516" i="3"/>
  <c r="C3516" i="3"/>
  <c r="M3515" i="3"/>
  <c r="K3515" i="3"/>
  <c r="G3515" i="3"/>
  <c r="D3515" i="3"/>
  <c r="C3515" i="3"/>
  <c r="M3514" i="3"/>
  <c r="K3514" i="3"/>
  <c r="G3514" i="3"/>
  <c r="D3514" i="3"/>
  <c r="C3514" i="3"/>
  <c r="M3513" i="3"/>
  <c r="K3513" i="3"/>
  <c r="G3513" i="3"/>
  <c r="D3513" i="3"/>
  <c r="C3513" i="3"/>
  <c r="M3512" i="3"/>
  <c r="K3512" i="3"/>
  <c r="G3512" i="3"/>
  <c r="D3512" i="3"/>
  <c r="C3512" i="3"/>
  <c r="M3511" i="3"/>
  <c r="K3511" i="3"/>
  <c r="G3511" i="3"/>
  <c r="D3511" i="3"/>
  <c r="C3511" i="3"/>
  <c r="M3510" i="3"/>
  <c r="K3510" i="3"/>
  <c r="G3510" i="3"/>
  <c r="D3510" i="3"/>
  <c r="C3510" i="3"/>
  <c r="M3509" i="3"/>
  <c r="K3509" i="3"/>
  <c r="G3509" i="3"/>
  <c r="D3509" i="3"/>
  <c r="C3509" i="3"/>
  <c r="M3508" i="3"/>
  <c r="K3508" i="3"/>
  <c r="G3508" i="3"/>
  <c r="D3508" i="3"/>
  <c r="C3508" i="3"/>
  <c r="M3507" i="3"/>
  <c r="K3507" i="3"/>
  <c r="G3507" i="3"/>
  <c r="D3507" i="3"/>
  <c r="C3507" i="3"/>
  <c r="M3506" i="3"/>
  <c r="K3506" i="3"/>
  <c r="G3506" i="3"/>
  <c r="D3506" i="3"/>
  <c r="C3506" i="3"/>
  <c r="M3505" i="3"/>
  <c r="K3505" i="3"/>
  <c r="G3505" i="3"/>
  <c r="D3505" i="3"/>
  <c r="C3505" i="3"/>
  <c r="M3504" i="3"/>
  <c r="K3504" i="3"/>
  <c r="G3504" i="3"/>
  <c r="D3504" i="3"/>
  <c r="C3504" i="3"/>
  <c r="M3503" i="3"/>
  <c r="K3503" i="3"/>
  <c r="G3503" i="3"/>
  <c r="D3503" i="3"/>
  <c r="C3503" i="3"/>
  <c r="M3502" i="3"/>
  <c r="K3502" i="3"/>
  <c r="G3502" i="3"/>
  <c r="D3502" i="3"/>
  <c r="C3502" i="3"/>
  <c r="M3501" i="3"/>
  <c r="K3501" i="3"/>
  <c r="G3501" i="3"/>
  <c r="D3501" i="3"/>
  <c r="C3501" i="3"/>
  <c r="M3500" i="3"/>
  <c r="K3500" i="3"/>
  <c r="G3500" i="3"/>
  <c r="D3500" i="3"/>
  <c r="C3500" i="3"/>
  <c r="M3499" i="3"/>
  <c r="K3499" i="3"/>
  <c r="G3499" i="3"/>
  <c r="D3499" i="3"/>
  <c r="C3499" i="3"/>
  <c r="M3498" i="3"/>
  <c r="K3498" i="3"/>
  <c r="G3498" i="3"/>
  <c r="D3498" i="3"/>
  <c r="C3498" i="3"/>
  <c r="M3497" i="3"/>
  <c r="K3497" i="3"/>
  <c r="G3497" i="3"/>
  <c r="D3497" i="3"/>
  <c r="C3497" i="3"/>
  <c r="M3496" i="3"/>
  <c r="K3496" i="3"/>
  <c r="G3496" i="3"/>
  <c r="D3496" i="3"/>
  <c r="C3496" i="3"/>
  <c r="M3495" i="3"/>
  <c r="K3495" i="3"/>
  <c r="G3495" i="3"/>
  <c r="D3495" i="3"/>
  <c r="C3495" i="3"/>
  <c r="M3494" i="3"/>
  <c r="K3494" i="3"/>
  <c r="G3494" i="3"/>
  <c r="D3494" i="3"/>
  <c r="C3494" i="3"/>
  <c r="M3493" i="3"/>
  <c r="K3493" i="3"/>
  <c r="G3493" i="3"/>
  <c r="D3493" i="3"/>
  <c r="C3493" i="3"/>
  <c r="M3492" i="3"/>
  <c r="K3492" i="3"/>
  <c r="G3492" i="3"/>
  <c r="D3492" i="3"/>
  <c r="C3492" i="3"/>
  <c r="M3491" i="3"/>
  <c r="K3491" i="3"/>
  <c r="G3491" i="3"/>
  <c r="D3491" i="3"/>
  <c r="C3491" i="3"/>
  <c r="M3490" i="3"/>
  <c r="K3490" i="3"/>
  <c r="G3490" i="3"/>
  <c r="D3490" i="3"/>
  <c r="C3490" i="3"/>
  <c r="M3489" i="3"/>
  <c r="K3489" i="3"/>
  <c r="G3489" i="3"/>
  <c r="D3489" i="3"/>
  <c r="C3489" i="3"/>
  <c r="M3488" i="3"/>
  <c r="K3488" i="3"/>
  <c r="G3488" i="3"/>
  <c r="D3488" i="3"/>
  <c r="C3488" i="3"/>
  <c r="M3487" i="3"/>
  <c r="K3487" i="3"/>
  <c r="G3487" i="3"/>
  <c r="D3487" i="3"/>
  <c r="C3487" i="3"/>
  <c r="M3486" i="3"/>
  <c r="K3486" i="3"/>
  <c r="G3486" i="3"/>
  <c r="D3486" i="3"/>
  <c r="C3486" i="3"/>
  <c r="M3485" i="3"/>
  <c r="K3485" i="3"/>
  <c r="G3485" i="3"/>
  <c r="D3485" i="3"/>
  <c r="C3485" i="3"/>
  <c r="M3484" i="3"/>
  <c r="K3484" i="3"/>
  <c r="G3484" i="3"/>
  <c r="D3484" i="3"/>
  <c r="C3484" i="3"/>
  <c r="M3483" i="3"/>
  <c r="K3483" i="3"/>
  <c r="G3483" i="3"/>
  <c r="D3483" i="3"/>
  <c r="C3483" i="3"/>
  <c r="M3482" i="3"/>
  <c r="K3482" i="3"/>
  <c r="G3482" i="3"/>
  <c r="D3482" i="3"/>
  <c r="C3482" i="3"/>
  <c r="M3481" i="3"/>
  <c r="K3481" i="3"/>
  <c r="G3481" i="3"/>
  <c r="D3481" i="3"/>
  <c r="C3481" i="3"/>
  <c r="M3480" i="3"/>
  <c r="K3480" i="3"/>
  <c r="G3480" i="3"/>
  <c r="D3480" i="3"/>
  <c r="C3480" i="3"/>
  <c r="M3479" i="3"/>
  <c r="K3479" i="3"/>
  <c r="G3479" i="3"/>
  <c r="D3479" i="3"/>
  <c r="C3479" i="3"/>
  <c r="M3478" i="3"/>
  <c r="K3478" i="3"/>
  <c r="G3478" i="3"/>
  <c r="D3478" i="3"/>
  <c r="C3478" i="3"/>
  <c r="M3477" i="3"/>
  <c r="K3477" i="3"/>
  <c r="G3477" i="3"/>
  <c r="D3477" i="3"/>
  <c r="C3477" i="3"/>
  <c r="M3476" i="3"/>
  <c r="K3476" i="3"/>
  <c r="G3476" i="3"/>
  <c r="D3476" i="3"/>
  <c r="C3476" i="3"/>
  <c r="M3475" i="3"/>
  <c r="K3475" i="3"/>
  <c r="G3475" i="3"/>
  <c r="D3475" i="3"/>
  <c r="C3475" i="3"/>
  <c r="M3474" i="3"/>
  <c r="K3474" i="3"/>
  <c r="G3474" i="3"/>
  <c r="D3474" i="3"/>
  <c r="C3474" i="3"/>
  <c r="M3473" i="3"/>
  <c r="K3473" i="3"/>
  <c r="G3473" i="3"/>
  <c r="D3473" i="3"/>
  <c r="C3473" i="3"/>
  <c r="M3472" i="3"/>
  <c r="K3472" i="3"/>
  <c r="G3472" i="3"/>
  <c r="D3472" i="3"/>
  <c r="C3472" i="3"/>
  <c r="M3471" i="3"/>
  <c r="K3471" i="3"/>
  <c r="G3471" i="3"/>
  <c r="D3471" i="3"/>
  <c r="C3471" i="3"/>
  <c r="M3470" i="3"/>
  <c r="K3470" i="3"/>
  <c r="G3470" i="3"/>
  <c r="D3470" i="3"/>
  <c r="C3470" i="3"/>
  <c r="M3469" i="3"/>
  <c r="K3469" i="3"/>
  <c r="G3469" i="3"/>
  <c r="D3469" i="3"/>
  <c r="C3469" i="3"/>
  <c r="M3468" i="3"/>
  <c r="K3468" i="3"/>
  <c r="G3468" i="3"/>
  <c r="D3468" i="3"/>
  <c r="C3468" i="3"/>
  <c r="M3467" i="3"/>
  <c r="K3467" i="3"/>
  <c r="G3467" i="3"/>
  <c r="D3467" i="3"/>
  <c r="C3467" i="3"/>
  <c r="M3466" i="3"/>
  <c r="K3466" i="3"/>
  <c r="G3466" i="3"/>
  <c r="D3466" i="3"/>
  <c r="C3466" i="3"/>
  <c r="M3465" i="3"/>
  <c r="K3465" i="3"/>
  <c r="G3465" i="3"/>
  <c r="D3465" i="3"/>
  <c r="C3465" i="3"/>
  <c r="M3464" i="3"/>
  <c r="K3464" i="3"/>
  <c r="G3464" i="3"/>
  <c r="D3464" i="3"/>
  <c r="C3464" i="3"/>
  <c r="M3463" i="3"/>
  <c r="K3463" i="3"/>
  <c r="G3463" i="3"/>
  <c r="D3463" i="3"/>
  <c r="C3463" i="3"/>
  <c r="M3462" i="3"/>
  <c r="K3462" i="3"/>
  <c r="G3462" i="3"/>
  <c r="D3462" i="3"/>
  <c r="C3462" i="3"/>
  <c r="M3461" i="3"/>
  <c r="K3461" i="3"/>
  <c r="G3461" i="3"/>
  <c r="D3461" i="3"/>
  <c r="C3461" i="3"/>
  <c r="M3460" i="3"/>
  <c r="K3460" i="3"/>
  <c r="G3460" i="3"/>
  <c r="D3460" i="3"/>
  <c r="C3460" i="3"/>
  <c r="M3459" i="3"/>
  <c r="K3459" i="3"/>
  <c r="G3459" i="3"/>
  <c r="D3459" i="3"/>
  <c r="C3459" i="3"/>
  <c r="M3458" i="3"/>
  <c r="K3458" i="3"/>
  <c r="G3458" i="3"/>
  <c r="D3458" i="3"/>
  <c r="C3458" i="3"/>
  <c r="M3457" i="3"/>
  <c r="K3457" i="3"/>
  <c r="G3457" i="3"/>
  <c r="D3457" i="3"/>
  <c r="C3457" i="3"/>
  <c r="M3456" i="3"/>
  <c r="K3456" i="3"/>
  <c r="G3456" i="3"/>
  <c r="D3456" i="3"/>
  <c r="C3456" i="3"/>
  <c r="M3455" i="3"/>
  <c r="K3455" i="3"/>
  <c r="G3455" i="3"/>
  <c r="D3455" i="3"/>
  <c r="C3455" i="3"/>
  <c r="M3454" i="3"/>
  <c r="K3454" i="3"/>
  <c r="G3454" i="3"/>
  <c r="D3454" i="3"/>
  <c r="C3454" i="3"/>
  <c r="M3453" i="3"/>
  <c r="K3453" i="3"/>
  <c r="G3453" i="3"/>
  <c r="D3453" i="3"/>
  <c r="C3453" i="3"/>
  <c r="M3452" i="3"/>
  <c r="K3452" i="3"/>
  <c r="G3452" i="3"/>
  <c r="D3452" i="3"/>
  <c r="C3452" i="3"/>
  <c r="M3451" i="3"/>
  <c r="K3451" i="3"/>
  <c r="G3451" i="3"/>
  <c r="D3451" i="3"/>
  <c r="C3451" i="3"/>
  <c r="M3450" i="3"/>
  <c r="K3450" i="3"/>
  <c r="G3450" i="3"/>
  <c r="D3450" i="3"/>
  <c r="C3450" i="3"/>
  <c r="M3449" i="3"/>
  <c r="K3449" i="3"/>
  <c r="G3449" i="3"/>
  <c r="D3449" i="3"/>
  <c r="C3449" i="3"/>
  <c r="M3448" i="3"/>
  <c r="K3448" i="3"/>
  <c r="G3448" i="3"/>
  <c r="D3448" i="3"/>
  <c r="C3448" i="3"/>
  <c r="M3447" i="3"/>
  <c r="K3447" i="3"/>
  <c r="G3447" i="3"/>
  <c r="D3447" i="3"/>
  <c r="C3447" i="3"/>
  <c r="M3446" i="3"/>
  <c r="K3446" i="3"/>
  <c r="G3446" i="3"/>
  <c r="D3446" i="3"/>
  <c r="C3446" i="3"/>
  <c r="M3445" i="3"/>
  <c r="K3445" i="3"/>
  <c r="G3445" i="3"/>
  <c r="D3445" i="3"/>
  <c r="C3445" i="3"/>
  <c r="M3444" i="3"/>
  <c r="K3444" i="3"/>
  <c r="G3444" i="3"/>
  <c r="D3444" i="3"/>
  <c r="C3444" i="3"/>
  <c r="M3443" i="3"/>
  <c r="K3443" i="3"/>
  <c r="G3443" i="3"/>
  <c r="D3443" i="3"/>
  <c r="C3443" i="3"/>
  <c r="M3442" i="3"/>
  <c r="K3442" i="3"/>
  <c r="G3442" i="3"/>
  <c r="D3442" i="3"/>
  <c r="C3442" i="3"/>
  <c r="M3441" i="3"/>
  <c r="K3441" i="3"/>
  <c r="G3441" i="3"/>
  <c r="D3441" i="3"/>
  <c r="C3441" i="3"/>
  <c r="M3440" i="3"/>
  <c r="K3440" i="3"/>
  <c r="G3440" i="3"/>
  <c r="D3440" i="3"/>
  <c r="C3440" i="3"/>
  <c r="M3439" i="3"/>
  <c r="K3439" i="3"/>
  <c r="G3439" i="3"/>
  <c r="D3439" i="3"/>
  <c r="C3439" i="3"/>
  <c r="M3438" i="3"/>
  <c r="K3438" i="3"/>
  <c r="G3438" i="3"/>
  <c r="D3438" i="3"/>
  <c r="C3438" i="3"/>
  <c r="M3437" i="3"/>
  <c r="K3437" i="3"/>
  <c r="G3437" i="3"/>
  <c r="D3437" i="3"/>
  <c r="C3437" i="3"/>
  <c r="M3436" i="3"/>
  <c r="K3436" i="3"/>
  <c r="G3436" i="3"/>
  <c r="D3436" i="3"/>
  <c r="C3436" i="3"/>
  <c r="M3435" i="3"/>
  <c r="K3435" i="3"/>
  <c r="G3435" i="3"/>
  <c r="D3435" i="3"/>
  <c r="C3435" i="3"/>
  <c r="M3434" i="3"/>
  <c r="K3434" i="3"/>
  <c r="G3434" i="3"/>
  <c r="D3434" i="3"/>
  <c r="C3434" i="3"/>
  <c r="M3433" i="3"/>
  <c r="K3433" i="3"/>
  <c r="G3433" i="3"/>
  <c r="D3433" i="3"/>
  <c r="C3433" i="3"/>
  <c r="M3432" i="3"/>
  <c r="K3432" i="3"/>
  <c r="G3432" i="3"/>
  <c r="D3432" i="3"/>
  <c r="C3432" i="3"/>
  <c r="M3431" i="3"/>
  <c r="K3431" i="3"/>
  <c r="G3431" i="3"/>
  <c r="D3431" i="3"/>
  <c r="C3431" i="3"/>
  <c r="M3430" i="3"/>
  <c r="K3430" i="3"/>
  <c r="G3430" i="3"/>
  <c r="D3430" i="3"/>
  <c r="C3430" i="3"/>
  <c r="M3429" i="3"/>
  <c r="K3429" i="3"/>
  <c r="G3429" i="3"/>
  <c r="D3429" i="3"/>
  <c r="C3429" i="3"/>
  <c r="M3428" i="3"/>
  <c r="K3428" i="3"/>
  <c r="G3428" i="3"/>
  <c r="D3428" i="3"/>
  <c r="C3428" i="3"/>
  <c r="M3427" i="3"/>
  <c r="K3427" i="3"/>
  <c r="G3427" i="3"/>
  <c r="D3427" i="3"/>
  <c r="C3427" i="3"/>
  <c r="M3426" i="3"/>
  <c r="K3426" i="3"/>
  <c r="G3426" i="3"/>
  <c r="D3426" i="3"/>
  <c r="C3426" i="3"/>
  <c r="M3425" i="3"/>
  <c r="K3425" i="3"/>
  <c r="G3425" i="3"/>
  <c r="D3425" i="3"/>
  <c r="C3425" i="3"/>
  <c r="M3424" i="3"/>
  <c r="K3424" i="3"/>
  <c r="G3424" i="3"/>
  <c r="D3424" i="3"/>
  <c r="C3424" i="3"/>
  <c r="M3423" i="3"/>
  <c r="K3423" i="3"/>
  <c r="G3423" i="3"/>
  <c r="D3423" i="3"/>
  <c r="C3423" i="3"/>
  <c r="M3422" i="3"/>
  <c r="K3422" i="3"/>
  <c r="G3422" i="3"/>
  <c r="D3422" i="3"/>
  <c r="C3422" i="3"/>
  <c r="M3421" i="3"/>
  <c r="K3421" i="3"/>
  <c r="G3421" i="3"/>
  <c r="D3421" i="3"/>
  <c r="C3421" i="3"/>
  <c r="M3420" i="3"/>
  <c r="K3420" i="3"/>
  <c r="G3420" i="3"/>
  <c r="D3420" i="3"/>
  <c r="C3420" i="3"/>
  <c r="M3419" i="3"/>
  <c r="K3419" i="3"/>
  <c r="G3419" i="3"/>
  <c r="D3419" i="3"/>
  <c r="C3419" i="3"/>
  <c r="M3418" i="3"/>
  <c r="K3418" i="3"/>
  <c r="G3418" i="3"/>
  <c r="D3418" i="3"/>
  <c r="C3418" i="3"/>
  <c r="M3417" i="3"/>
  <c r="K3417" i="3"/>
  <c r="G3417" i="3"/>
  <c r="D3417" i="3"/>
  <c r="C3417" i="3"/>
  <c r="M3416" i="3"/>
  <c r="K3416" i="3"/>
  <c r="G3416" i="3"/>
  <c r="D3416" i="3"/>
  <c r="C3416" i="3"/>
  <c r="M3415" i="3"/>
  <c r="K3415" i="3"/>
  <c r="G3415" i="3"/>
  <c r="D3415" i="3"/>
  <c r="C3415" i="3"/>
  <c r="M3414" i="3"/>
  <c r="K3414" i="3"/>
  <c r="G3414" i="3"/>
  <c r="D3414" i="3"/>
  <c r="C3414" i="3"/>
  <c r="M3413" i="3"/>
  <c r="K3413" i="3"/>
  <c r="G3413" i="3"/>
  <c r="D3413" i="3"/>
  <c r="C3413" i="3"/>
  <c r="M3412" i="3"/>
  <c r="K3412" i="3"/>
  <c r="G3412" i="3"/>
  <c r="D3412" i="3"/>
  <c r="C3412" i="3"/>
  <c r="M3411" i="3"/>
  <c r="K3411" i="3"/>
  <c r="G3411" i="3"/>
  <c r="D3411" i="3"/>
  <c r="C3411" i="3"/>
  <c r="M3410" i="3"/>
  <c r="K3410" i="3"/>
  <c r="G3410" i="3"/>
  <c r="D3410" i="3"/>
  <c r="C3410" i="3"/>
  <c r="M3409" i="3"/>
  <c r="K3409" i="3"/>
  <c r="G3409" i="3"/>
  <c r="D3409" i="3"/>
  <c r="C3409" i="3"/>
  <c r="M3408" i="3"/>
  <c r="K3408" i="3"/>
  <c r="G3408" i="3"/>
  <c r="D3408" i="3"/>
  <c r="C3408" i="3"/>
  <c r="M3407" i="3"/>
  <c r="K3407" i="3"/>
  <c r="G3407" i="3"/>
  <c r="D3407" i="3"/>
  <c r="C3407" i="3"/>
  <c r="M3406" i="3"/>
  <c r="K3406" i="3"/>
  <c r="G3406" i="3"/>
  <c r="D3406" i="3"/>
  <c r="C3406" i="3"/>
  <c r="M3405" i="3"/>
  <c r="K3405" i="3"/>
  <c r="G3405" i="3"/>
  <c r="D3405" i="3"/>
  <c r="C3405" i="3"/>
  <c r="M3404" i="3"/>
  <c r="K3404" i="3"/>
  <c r="G3404" i="3"/>
  <c r="D3404" i="3"/>
  <c r="C3404" i="3"/>
  <c r="M3403" i="3"/>
  <c r="K3403" i="3"/>
  <c r="G3403" i="3"/>
  <c r="D3403" i="3"/>
  <c r="C3403" i="3"/>
  <c r="M3402" i="3"/>
  <c r="K3402" i="3"/>
  <c r="G3402" i="3"/>
  <c r="D3402" i="3"/>
  <c r="C3402" i="3"/>
  <c r="M3401" i="3"/>
  <c r="K3401" i="3"/>
  <c r="G3401" i="3"/>
  <c r="D3401" i="3"/>
  <c r="C3401" i="3"/>
  <c r="M3400" i="3"/>
  <c r="K3400" i="3"/>
  <c r="G3400" i="3"/>
  <c r="D3400" i="3"/>
  <c r="C3400" i="3"/>
  <c r="M3399" i="3"/>
  <c r="K3399" i="3"/>
  <c r="G3399" i="3"/>
  <c r="D3399" i="3"/>
  <c r="C3399" i="3"/>
  <c r="M3398" i="3"/>
  <c r="K3398" i="3"/>
  <c r="G3398" i="3"/>
  <c r="D3398" i="3"/>
  <c r="C3398" i="3"/>
  <c r="M3397" i="3"/>
  <c r="K3397" i="3"/>
  <c r="G3397" i="3"/>
  <c r="D3397" i="3"/>
  <c r="C3397" i="3"/>
  <c r="M3396" i="3"/>
  <c r="K3396" i="3"/>
  <c r="G3396" i="3"/>
  <c r="D3396" i="3"/>
  <c r="C3396" i="3"/>
  <c r="M3395" i="3"/>
  <c r="K3395" i="3"/>
  <c r="G3395" i="3"/>
  <c r="D3395" i="3"/>
  <c r="C3395" i="3"/>
  <c r="M3394" i="3"/>
  <c r="K3394" i="3"/>
  <c r="G3394" i="3"/>
  <c r="D3394" i="3"/>
  <c r="C3394" i="3"/>
  <c r="M3393" i="3"/>
  <c r="K3393" i="3"/>
  <c r="G3393" i="3"/>
  <c r="D3393" i="3"/>
  <c r="C3393" i="3"/>
  <c r="M3392" i="3"/>
  <c r="K3392" i="3"/>
  <c r="G3392" i="3"/>
  <c r="D3392" i="3"/>
  <c r="C3392" i="3"/>
  <c r="M3391" i="3"/>
  <c r="K3391" i="3"/>
  <c r="G3391" i="3"/>
  <c r="D3391" i="3"/>
  <c r="C3391" i="3"/>
  <c r="M3390" i="3"/>
  <c r="K3390" i="3"/>
  <c r="G3390" i="3"/>
  <c r="D3390" i="3"/>
  <c r="C3390" i="3"/>
  <c r="M3389" i="3"/>
  <c r="K3389" i="3"/>
  <c r="G3389" i="3"/>
  <c r="D3389" i="3"/>
  <c r="C3389" i="3"/>
  <c r="M3388" i="3"/>
  <c r="K3388" i="3"/>
  <c r="G3388" i="3"/>
  <c r="D3388" i="3"/>
  <c r="C3388" i="3"/>
  <c r="M3387" i="3"/>
  <c r="K3387" i="3"/>
  <c r="G3387" i="3"/>
  <c r="D3387" i="3"/>
  <c r="C3387" i="3"/>
  <c r="M3386" i="3"/>
  <c r="K3386" i="3"/>
  <c r="G3386" i="3"/>
  <c r="D3386" i="3"/>
  <c r="C3386" i="3"/>
  <c r="M3385" i="3"/>
  <c r="K3385" i="3"/>
  <c r="G3385" i="3"/>
  <c r="D3385" i="3"/>
  <c r="C3385" i="3"/>
  <c r="M3384" i="3"/>
  <c r="K3384" i="3"/>
  <c r="G3384" i="3"/>
  <c r="D3384" i="3"/>
  <c r="C3384" i="3"/>
  <c r="M3383" i="3"/>
  <c r="K3383" i="3"/>
  <c r="G3383" i="3"/>
  <c r="D3383" i="3"/>
  <c r="C3383" i="3"/>
  <c r="M3382" i="3"/>
  <c r="K3382" i="3"/>
  <c r="G3382" i="3"/>
  <c r="D3382" i="3"/>
  <c r="C3382" i="3"/>
  <c r="M3381" i="3"/>
  <c r="K3381" i="3"/>
  <c r="G3381" i="3"/>
  <c r="D3381" i="3"/>
  <c r="C3381" i="3"/>
  <c r="M3380" i="3"/>
  <c r="K3380" i="3"/>
  <c r="G3380" i="3"/>
  <c r="D3380" i="3"/>
  <c r="C3380" i="3"/>
  <c r="M3379" i="3"/>
  <c r="K3379" i="3"/>
  <c r="G3379" i="3"/>
  <c r="D3379" i="3"/>
  <c r="C3379" i="3"/>
  <c r="M3378" i="3"/>
  <c r="K3378" i="3"/>
  <c r="G3378" i="3"/>
  <c r="D3378" i="3"/>
  <c r="C3378" i="3"/>
  <c r="M3377" i="3"/>
  <c r="K3377" i="3"/>
  <c r="G3377" i="3"/>
  <c r="D3377" i="3"/>
  <c r="C3377" i="3"/>
  <c r="M3376" i="3"/>
  <c r="K3376" i="3"/>
  <c r="G3376" i="3"/>
  <c r="D3376" i="3"/>
  <c r="C3376" i="3"/>
  <c r="M3375" i="3"/>
  <c r="K3375" i="3"/>
  <c r="G3375" i="3"/>
  <c r="D3375" i="3"/>
  <c r="C3375" i="3"/>
  <c r="M3374" i="3"/>
  <c r="K3374" i="3"/>
  <c r="G3374" i="3"/>
  <c r="D3374" i="3"/>
  <c r="C3374" i="3"/>
  <c r="M3373" i="3"/>
  <c r="K3373" i="3"/>
  <c r="G3373" i="3"/>
  <c r="D3373" i="3"/>
  <c r="C3373" i="3"/>
  <c r="M3372" i="3"/>
  <c r="K3372" i="3"/>
  <c r="G3372" i="3"/>
  <c r="D3372" i="3"/>
  <c r="C3372" i="3"/>
  <c r="M3371" i="3"/>
  <c r="K3371" i="3"/>
  <c r="G3371" i="3"/>
  <c r="D3371" i="3"/>
  <c r="C3371" i="3"/>
  <c r="M3370" i="3"/>
  <c r="K3370" i="3"/>
  <c r="G3370" i="3"/>
  <c r="D3370" i="3"/>
  <c r="C3370" i="3"/>
  <c r="M3369" i="3"/>
  <c r="K3369" i="3"/>
  <c r="G3369" i="3"/>
  <c r="D3369" i="3"/>
  <c r="C3369" i="3"/>
  <c r="M3368" i="3"/>
  <c r="K3368" i="3"/>
  <c r="G3368" i="3"/>
  <c r="D3368" i="3"/>
  <c r="C3368" i="3"/>
  <c r="M3367" i="3"/>
  <c r="K3367" i="3"/>
  <c r="G3367" i="3"/>
  <c r="D3367" i="3"/>
  <c r="C3367" i="3"/>
  <c r="M3366" i="3"/>
  <c r="K3366" i="3"/>
  <c r="G3366" i="3"/>
  <c r="D3366" i="3"/>
  <c r="C3366" i="3"/>
  <c r="M3365" i="3"/>
  <c r="K3365" i="3"/>
  <c r="G3365" i="3"/>
  <c r="D3365" i="3"/>
  <c r="C3365" i="3"/>
  <c r="M3364" i="3"/>
  <c r="K3364" i="3"/>
  <c r="G3364" i="3"/>
  <c r="D3364" i="3"/>
  <c r="C3364" i="3"/>
  <c r="M3363" i="3"/>
  <c r="K3363" i="3"/>
  <c r="G3363" i="3"/>
  <c r="D3363" i="3"/>
  <c r="C3363" i="3"/>
  <c r="M3362" i="3"/>
  <c r="K3362" i="3"/>
  <c r="G3362" i="3"/>
  <c r="D3362" i="3"/>
  <c r="C3362" i="3"/>
  <c r="M3361" i="3"/>
  <c r="K3361" i="3"/>
  <c r="G3361" i="3"/>
  <c r="D3361" i="3"/>
  <c r="C3361" i="3"/>
  <c r="M3360" i="3"/>
  <c r="K3360" i="3"/>
  <c r="G3360" i="3"/>
  <c r="D3360" i="3"/>
  <c r="C3360" i="3"/>
  <c r="M3359" i="3"/>
  <c r="K3359" i="3"/>
  <c r="G3359" i="3"/>
  <c r="D3359" i="3"/>
  <c r="C3359" i="3"/>
  <c r="M3358" i="3"/>
  <c r="K3358" i="3"/>
  <c r="G3358" i="3"/>
  <c r="D3358" i="3"/>
  <c r="C3358" i="3"/>
  <c r="M3357" i="3"/>
  <c r="K3357" i="3"/>
  <c r="G3357" i="3"/>
  <c r="D3357" i="3"/>
  <c r="C3357" i="3"/>
  <c r="M3356" i="3"/>
  <c r="K3356" i="3"/>
  <c r="G3356" i="3"/>
  <c r="D3356" i="3"/>
  <c r="C3356" i="3"/>
  <c r="M3355" i="3"/>
  <c r="K3355" i="3"/>
  <c r="G3355" i="3"/>
  <c r="D3355" i="3"/>
  <c r="C3355" i="3"/>
  <c r="M3354" i="3"/>
  <c r="K3354" i="3"/>
  <c r="G3354" i="3"/>
  <c r="D3354" i="3"/>
  <c r="C3354" i="3"/>
  <c r="M3353" i="3"/>
  <c r="K3353" i="3"/>
  <c r="G3353" i="3"/>
  <c r="D3353" i="3"/>
  <c r="C3353" i="3"/>
  <c r="M3352" i="3"/>
  <c r="K3352" i="3"/>
  <c r="G3352" i="3"/>
  <c r="D3352" i="3"/>
  <c r="C3352" i="3"/>
  <c r="M3351" i="3"/>
  <c r="K3351" i="3"/>
  <c r="G3351" i="3"/>
  <c r="D3351" i="3"/>
  <c r="C3351" i="3"/>
  <c r="M3350" i="3"/>
  <c r="K3350" i="3"/>
  <c r="G3350" i="3"/>
  <c r="D3350" i="3"/>
  <c r="C3350" i="3"/>
  <c r="M3349" i="3"/>
  <c r="K3349" i="3"/>
  <c r="G3349" i="3"/>
  <c r="D3349" i="3"/>
  <c r="C3349" i="3"/>
  <c r="M3348" i="3"/>
  <c r="K3348" i="3"/>
  <c r="G3348" i="3"/>
  <c r="D3348" i="3"/>
  <c r="C3348" i="3"/>
  <c r="M3347" i="3"/>
  <c r="K3347" i="3"/>
  <c r="G3347" i="3"/>
  <c r="D3347" i="3"/>
  <c r="C3347" i="3"/>
  <c r="M3346" i="3"/>
  <c r="K3346" i="3"/>
  <c r="G3346" i="3"/>
  <c r="D3346" i="3"/>
  <c r="C3346" i="3"/>
  <c r="M3345" i="3"/>
  <c r="K3345" i="3"/>
  <c r="G3345" i="3"/>
  <c r="D3345" i="3"/>
  <c r="C3345" i="3"/>
  <c r="M3344" i="3"/>
  <c r="K3344" i="3"/>
  <c r="G3344" i="3"/>
  <c r="D3344" i="3"/>
  <c r="C3344" i="3"/>
  <c r="M3343" i="3"/>
  <c r="K3343" i="3"/>
  <c r="G3343" i="3"/>
  <c r="D3343" i="3"/>
  <c r="C3343" i="3"/>
  <c r="M3342" i="3"/>
  <c r="K3342" i="3"/>
  <c r="G3342" i="3"/>
  <c r="D3342" i="3"/>
  <c r="C3342" i="3"/>
  <c r="M3341" i="3"/>
  <c r="K3341" i="3"/>
  <c r="G3341" i="3"/>
  <c r="D3341" i="3"/>
  <c r="C3341" i="3"/>
  <c r="M3340" i="3"/>
  <c r="K3340" i="3"/>
  <c r="G3340" i="3"/>
  <c r="D3340" i="3"/>
  <c r="C3340" i="3"/>
  <c r="M3339" i="3"/>
  <c r="K3339" i="3"/>
  <c r="G3339" i="3"/>
  <c r="D3339" i="3"/>
  <c r="C3339" i="3"/>
  <c r="M3338" i="3"/>
  <c r="K3338" i="3"/>
  <c r="G3338" i="3"/>
  <c r="D3338" i="3"/>
  <c r="C3338" i="3"/>
  <c r="M3337" i="3"/>
  <c r="K3337" i="3"/>
  <c r="G3337" i="3"/>
  <c r="D3337" i="3"/>
  <c r="C3337" i="3"/>
  <c r="M3336" i="3"/>
  <c r="K3336" i="3"/>
  <c r="G3336" i="3"/>
  <c r="D3336" i="3"/>
  <c r="C3336" i="3"/>
  <c r="M3335" i="3"/>
  <c r="K3335" i="3"/>
  <c r="G3335" i="3"/>
  <c r="D3335" i="3"/>
  <c r="C3335" i="3"/>
  <c r="M3334" i="3"/>
  <c r="K3334" i="3"/>
  <c r="G3334" i="3"/>
  <c r="D3334" i="3"/>
  <c r="C3334" i="3"/>
  <c r="M3333" i="3"/>
  <c r="K3333" i="3"/>
  <c r="G3333" i="3"/>
  <c r="D3333" i="3"/>
  <c r="C3333" i="3"/>
  <c r="M3332" i="3"/>
  <c r="K3332" i="3"/>
  <c r="G3332" i="3"/>
  <c r="D3332" i="3"/>
  <c r="C3332" i="3"/>
  <c r="M3331" i="3"/>
  <c r="K3331" i="3"/>
  <c r="G3331" i="3"/>
  <c r="D3331" i="3"/>
  <c r="C3331" i="3"/>
  <c r="M3330" i="3"/>
  <c r="K3330" i="3"/>
  <c r="G3330" i="3"/>
  <c r="D3330" i="3"/>
  <c r="C3330" i="3"/>
  <c r="M3329" i="3"/>
  <c r="K3329" i="3"/>
  <c r="G3329" i="3"/>
  <c r="D3329" i="3"/>
  <c r="C3329" i="3"/>
  <c r="M3328" i="3"/>
  <c r="K3328" i="3"/>
  <c r="G3328" i="3"/>
  <c r="D3328" i="3"/>
  <c r="C3328" i="3"/>
  <c r="M3327" i="3"/>
  <c r="K3327" i="3"/>
  <c r="G3327" i="3"/>
  <c r="D3327" i="3"/>
  <c r="C3327" i="3"/>
  <c r="M3326" i="3"/>
  <c r="K3326" i="3"/>
  <c r="G3326" i="3"/>
  <c r="D3326" i="3"/>
  <c r="C3326" i="3"/>
  <c r="M3325" i="3"/>
  <c r="K3325" i="3"/>
  <c r="G3325" i="3"/>
  <c r="D3325" i="3"/>
  <c r="C3325" i="3"/>
  <c r="M3324" i="3"/>
  <c r="K3324" i="3"/>
  <c r="G3324" i="3"/>
  <c r="D3324" i="3"/>
  <c r="C3324" i="3"/>
  <c r="M3323" i="3"/>
  <c r="K3323" i="3"/>
  <c r="G3323" i="3"/>
  <c r="D3323" i="3"/>
  <c r="C3323" i="3"/>
  <c r="M3322" i="3"/>
  <c r="K3322" i="3"/>
  <c r="G3322" i="3"/>
  <c r="D3322" i="3"/>
  <c r="C3322" i="3"/>
  <c r="M3321" i="3"/>
  <c r="K3321" i="3"/>
  <c r="G3321" i="3"/>
  <c r="D3321" i="3"/>
  <c r="C3321" i="3"/>
  <c r="M3320" i="3"/>
  <c r="K3320" i="3"/>
  <c r="G3320" i="3"/>
  <c r="D3320" i="3"/>
  <c r="C3320" i="3"/>
  <c r="M3319" i="3"/>
  <c r="K3319" i="3"/>
  <c r="G3319" i="3"/>
  <c r="D3319" i="3"/>
  <c r="C3319" i="3"/>
  <c r="M3318" i="3"/>
  <c r="K3318" i="3"/>
  <c r="G3318" i="3"/>
  <c r="D3318" i="3"/>
  <c r="C3318" i="3"/>
  <c r="M3317" i="3"/>
  <c r="K3317" i="3"/>
  <c r="G3317" i="3"/>
  <c r="D3317" i="3"/>
  <c r="C3317" i="3"/>
  <c r="M3316" i="3"/>
  <c r="K3316" i="3"/>
  <c r="G3316" i="3"/>
  <c r="D3316" i="3"/>
  <c r="C3316" i="3"/>
  <c r="M3315" i="3"/>
  <c r="K3315" i="3"/>
  <c r="G3315" i="3"/>
  <c r="D3315" i="3"/>
  <c r="C3315" i="3"/>
  <c r="M3314" i="3"/>
  <c r="K3314" i="3"/>
  <c r="G3314" i="3"/>
  <c r="D3314" i="3"/>
  <c r="C3314" i="3"/>
  <c r="M3313" i="3"/>
  <c r="K3313" i="3"/>
  <c r="G3313" i="3"/>
  <c r="D3313" i="3"/>
  <c r="C3313" i="3"/>
  <c r="M3312" i="3"/>
  <c r="K3312" i="3"/>
  <c r="G3312" i="3"/>
  <c r="D3312" i="3"/>
  <c r="C3312" i="3"/>
  <c r="M3311" i="3"/>
  <c r="K3311" i="3"/>
  <c r="G3311" i="3"/>
  <c r="D3311" i="3"/>
  <c r="C3311" i="3"/>
  <c r="M3310" i="3"/>
  <c r="K3310" i="3"/>
  <c r="G3310" i="3"/>
  <c r="D3310" i="3"/>
  <c r="C3310" i="3"/>
  <c r="M3309" i="3"/>
  <c r="K3309" i="3"/>
  <c r="G3309" i="3"/>
  <c r="D3309" i="3"/>
  <c r="C3309" i="3"/>
  <c r="M3308" i="3"/>
  <c r="K3308" i="3"/>
  <c r="G3308" i="3"/>
  <c r="D3308" i="3"/>
  <c r="C3308" i="3"/>
  <c r="M3307" i="3"/>
  <c r="K3307" i="3"/>
  <c r="G3307" i="3"/>
  <c r="D3307" i="3"/>
  <c r="C3307" i="3"/>
  <c r="M3306" i="3"/>
  <c r="K3306" i="3"/>
  <c r="G3306" i="3"/>
  <c r="D3306" i="3"/>
  <c r="C3306" i="3"/>
  <c r="M3305" i="3"/>
  <c r="K3305" i="3"/>
  <c r="G3305" i="3"/>
  <c r="D3305" i="3"/>
  <c r="C3305" i="3"/>
  <c r="M3304" i="3"/>
  <c r="K3304" i="3"/>
  <c r="G3304" i="3"/>
  <c r="D3304" i="3"/>
  <c r="C3304" i="3"/>
  <c r="M3303" i="3"/>
  <c r="K3303" i="3"/>
  <c r="G3303" i="3"/>
  <c r="D3303" i="3"/>
  <c r="C3303" i="3"/>
  <c r="M3302" i="3"/>
  <c r="K3302" i="3"/>
  <c r="G3302" i="3"/>
  <c r="D3302" i="3"/>
  <c r="C3302" i="3"/>
  <c r="M3301" i="3"/>
  <c r="K3301" i="3"/>
  <c r="G3301" i="3"/>
  <c r="D3301" i="3"/>
  <c r="C3301" i="3"/>
  <c r="M3300" i="3"/>
  <c r="K3300" i="3"/>
  <c r="G3300" i="3"/>
  <c r="D3300" i="3"/>
  <c r="C3300" i="3"/>
  <c r="M3299" i="3"/>
  <c r="K3299" i="3"/>
  <c r="G3299" i="3"/>
  <c r="D3299" i="3"/>
  <c r="C3299" i="3"/>
  <c r="M3298" i="3"/>
  <c r="K3298" i="3"/>
  <c r="G3298" i="3"/>
  <c r="D3298" i="3"/>
  <c r="C3298" i="3"/>
  <c r="M3297" i="3"/>
  <c r="K3297" i="3"/>
  <c r="G3297" i="3"/>
  <c r="D3297" i="3"/>
  <c r="C3297" i="3"/>
  <c r="M3296" i="3"/>
  <c r="K3296" i="3"/>
  <c r="G3296" i="3"/>
  <c r="D3296" i="3"/>
  <c r="C3296" i="3"/>
  <c r="M3295" i="3"/>
  <c r="K3295" i="3"/>
  <c r="G3295" i="3"/>
  <c r="D3295" i="3"/>
  <c r="C3295" i="3"/>
  <c r="M3294" i="3"/>
  <c r="K3294" i="3"/>
  <c r="G3294" i="3"/>
  <c r="D3294" i="3"/>
  <c r="C3294" i="3"/>
  <c r="M3293" i="3"/>
  <c r="K3293" i="3"/>
  <c r="G3293" i="3"/>
  <c r="D3293" i="3"/>
  <c r="C3293" i="3"/>
  <c r="M3292" i="3"/>
  <c r="K3292" i="3"/>
  <c r="G3292" i="3"/>
  <c r="D3292" i="3"/>
  <c r="C3292" i="3"/>
  <c r="M3291" i="3"/>
  <c r="K3291" i="3"/>
  <c r="G3291" i="3"/>
  <c r="D3291" i="3"/>
  <c r="C3291" i="3"/>
  <c r="M3290" i="3"/>
  <c r="K3290" i="3"/>
  <c r="G3290" i="3"/>
  <c r="D3290" i="3"/>
  <c r="C3290" i="3"/>
  <c r="M3289" i="3"/>
  <c r="K3289" i="3"/>
  <c r="G3289" i="3"/>
  <c r="D3289" i="3"/>
  <c r="C3289" i="3"/>
  <c r="M3288" i="3"/>
  <c r="K3288" i="3"/>
  <c r="G3288" i="3"/>
  <c r="D3288" i="3"/>
  <c r="C3288" i="3"/>
  <c r="M3287" i="3"/>
  <c r="K3287" i="3"/>
  <c r="G3287" i="3"/>
  <c r="D3287" i="3"/>
  <c r="C3287" i="3"/>
  <c r="M3286" i="3"/>
  <c r="K3286" i="3"/>
  <c r="G3286" i="3"/>
  <c r="D3286" i="3"/>
  <c r="C3286" i="3"/>
  <c r="M3285" i="3"/>
  <c r="K3285" i="3"/>
  <c r="G3285" i="3"/>
  <c r="D3285" i="3"/>
  <c r="C3285" i="3"/>
  <c r="M3284" i="3"/>
  <c r="K3284" i="3"/>
  <c r="G3284" i="3"/>
  <c r="D3284" i="3"/>
  <c r="C3284" i="3"/>
  <c r="M3283" i="3"/>
  <c r="K3283" i="3"/>
  <c r="G3283" i="3"/>
  <c r="D3283" i="3"/>
  <c r="C3283" i="3"/>
  <c r="M3282" i="3"/>
  <c r="K3282" i="3"/>
  <c r="G3282" i="3"/>
  <c r="D3282" i="3"/>
  <c r="C3282" i="3"/>
  <c r="M3281" i="3"/>
  <c r="K3281" i="3"/>
  <c r="G3281" i="3"/>
  <c r="D3281" i="3"/>
  <c r="C3281" i="3"/>
  <c r="M3280" i="3"/>
  <c r="K3280" i="3"/>
  <c r="G3280" i="3"/>
  <c r="D3280" i="3"/>
  <c r="C3280" i="3"/>
  <c r="M3279" i="3"/>
  <c r="K3279" i="3"/>
  <c r="G3279" i="3"/>
  <c r="D3279" i="3"/>
  <c r="C3279" i="3"/>
  <c r="M3278" i="3"/>
  <c r="K3278" i="3"/>
  <c r="G3278" i="3"/>
  <c r="D3278" i="3"/>
  <c r="C3278" i="3"/>
  <c r="M3277" i="3"/>
  <c r="K3277" i="3"/>
  <c r="G3277" i="3"/>
  <c r="D3277" i="3"/>
  <c r="C3277" i="3"/>
  <c r="M3276" i="3"/>
  <c r="K3276" i="3"/>
  <c r="G3276" i="3"/>
  <c r="D3276" i="3"/>
  <c r="C3276" i="3"/>
  <c r="M3275" i="3"/>
  <c r="K3275" i="3"/>
  <c r="G3275" i="3"/>
  <c r="D3275" i="3"/>
  <c r="C3275" i="3"/>
  <c r="M3274" i="3"/>
  <c r="K3274" i="3"/>
  <c r="G3274" i="3"/>
  <c r="D3274" i="3"/>
  <c r="C3274" i="3"/>
  <c r="M3273" i="3"/>
  <c r="K3273" i="3"/>
  <c r="G3273" i="3"/>
  <c r="D3273" i="3"/>
  <c r="C3273" i="3"/>
  <c r="M3272" i="3"/>
  <c r="K3272" i="3"/>
  <c r="G3272" i="3"/>
  <c r="D3272" i="3"/>
  <c r="C3272" i="3"/>
  <c r="M3271" i="3"/>
  <c r="K3271" i="3"/>
  <c r="G3271" i="3"/>
  <c r="D3271" i="3"/>
  <c r="C3271" i="3"/>
  <c r="M3270" i="3"/>
  <c r="K3270" i="3"/>
  <c r="G3270" i="3"/>
  <c r="D3270" i="3"/>
  <c r="C3270" i="3"/>
  <c r="M3269" i="3"/>
  <c r="K3269" i="3"/>
  <c r="G3269" i="3"/>
  <c r="D3269" i="3"/>
  <c r="C3269" i="3"/>
  <c r="M3268" i="3"/>
  <c r="K3268" i="3"/>
  <c r="G3268" i="3"/>
  <c r="D3268" i="3"/>
  <c r="C3268" i="3"/>
  <c r="M3267" i="3"/>
  <c r="K3267" i="3"/>
  <c r="G3267" i="3"/>
  <c r="D3267" i="3"/>
  <c r="C3267" i="3"/>
  <c r="M3266" i="3"/>
  <c r="K3266" i="3"/>
  <c r="G3266" i="3"/>
  <c r="D3266" i="3"/>
  <c r="C3266" i="3"/>
  <c r="M3265" i="3"/>
  <c r="K3265" i="3"/>
  <c r="G3265" i="3"/>
  <c r="D3265" i="3"/>
  <c r="C3265" i="3"/>
  <c r="M3264" i="3"/>
  <c r="K3264" i="3"/>
  <c r="G3264" i="3"/>
  <c r="D3264" i="3"/>
  <c r="C3264" i="3"/>
  <c r="M3263" i="3"/>
  <c r="K3263" i="3"/>
  <c r="G3263" i="3"/>
  <c r="D3263" i="3"/>
  <c r="C3263" i="3"/>
  <c r="M3262" i="3"/>
  <c r="K3262" i="3"/>
  <c r="G3262" i="3"/>
  <c r="D3262" i="3"/>
  <c r="C3262" i="3"/>
  <c r="M3261" i="3"/>
  <c r="K3261" i="3"/>
  <c r="G3261" i="3"/>
  <c r="D3261" i="3"/>
  <c r="C3261" i="3"/>
  <c r="M3260" i="3"/>
  <c r="K3260" i="3"/>
  <c r="G3260" i="3"/>
  <c r="D3260" i="3"/>
  <c r="C3260" i="3"/>
  <c r="M3259" i="3"/>
  <c r="K3259" i="3"/>
  <c r="G3259" i="3"/>
  <c r="D3259" i="3"/>
  <c r="C3259" i="3"/>
  <c r="M3258" i="3"/>
  <c r="K3258" i="3"/>
  <c r="G3258" i="3"/>
  <c r="D3258" i="3"/>
  <c r="C3258" i="3"/>
  <c r="M3257" i="3"/>
  <c r="K3257" i="3"/>
  <c r="G3257" i="3"/>
  <c r="D3257" i="3"/>
  <c r="C3257" i="3"/>
  <c r="M3256" i="3"/>
  <c r="K3256" i="3"/>
  <c r="G3256" i="3"/>
  <c r="D3256" i="3"/>
  <c r="C3256" i="3"/>
  <c r="M3255" i="3"/>
  <c r="K3255" i="3"/>
  <c r="G3255" i="3"/>
  <c r="D3255" i="3"/>
  <c r="C3255" i="3"/>
  <c r="M3254" i="3"/>
  <c r="K3254" i="3"/>
  <c r="G3254" i="3"/>
  <c r="D3254" i="3"/>
  <c r="C3254" i="3"/>
  <c r="M3253" i="3"/>
  <c r="K3253" i="3"/>
  <c r="G3253" i="3"/>
  <c r="D3253" i="3"/>
  <c r="C3253" i="3"/>
  <c r="M3252" i="3"/>
  <c r="K3252" i="3"/>
  <c r="G3252" i="3"/>
  <c r="D3252" i="3"/>
  <c r="C3252" i="3"/>
  <c r="M3251" i="3"/>
  <c r="K3251" i="3"/>
  <c r="G3251" i="3"/>
  <c r="D3251" i="3"/>
  <c r="C3251" i="3"/>
  <c r="M3250" i="3"/>
  <c r="K3250" i="3"/>
  <c r="G3250" i="3"/>
  <c r="D3250" i="3"/>
  <c r="C3250" i="3"/>
  <c r="M3249" i="3"/>
  <c r="K3249" i="3"/>
  <c r="G3249" i="3"/>
  <c r="D3249" i="3"/>
  <c r="C3249" i="3"/>
  <c r="M3248" i="3"/>
  <c r="K3248" i="3"/>
  <c r="G3248" i="3"/>
  <c r="D3248" i="3"/>
  <c r="C3248" i="3"/>
  <c r="M3247" i="3"/>
  <c r="K3247" i="3"/>
  <c r="G3247" i="3"/>
  <c r="D3247" i="3"/>
  <c r="C3247" i="3"/>
  <c r="M3246" i="3"/>
  <c r="K3246" i="3"/>
  <c r="G3246" i="3"/>
  <c r="D3246" i="3"/>
  <c r="C3246" i="3"/>
  <c r="M3245" i="3"/>
  <c r="K3245" i="3"/>
  <c r="G3245" i="3"/>
  <c r="D3245" i="3"/>
  <c r="C3245" i="3"/>
  <c r="M3244" i="3"/>
  <c r="K3244" i="3"/>
  <c r="G3244" i="3"/>
  <c r="D3244" i="3"/>
  <c r="C3244" i="3"/>
  <c r="M3243" i="3"/>
  <c r="K3243" i="3"/>
  <c r="G3243" i="3"/>
  <c r="D3243" i="3"/>
  <c r="C3243" i="3"/>
  <c r="M3242" i="3"/>
  <c r="K3242" i="3"/>
  <c r="G3242" i="3"/>
  <c r="D3242" i="3"/>
  <c r="C3242" i="3"/>
  <c r="M3241" i="3"/>
  <c r="K3241" i="3"/>
  <c r="G3241" i="3"/>
  <c r="D3241" i="3"/>
  <c r="C3241" i="3"/>
  <c r="M3240" i="3"/>
  <c r="K3240" i="3"/>
  <c r="G3240" i="3"/>
  <c r="D3240" i="3"/>
  <c r="C3240" i="3"/>
  <c r="M3239" i="3"/>
  <c r="K3239" i="3"/>
  <c r="G3239" i="3"/>
  <c r="D3239" i="3"/>
  <c r="C3239" i="3"/>
  <c r="M3238" i="3"/>
  <c r="K3238" i="3"/>
  <c r="G3238" i="3"/>
  <c r="D3238" i="3"/>
  <c r="C3238" i="3"/>
  <c r="M3237" i="3"/>
  <c r="K3237" i="3"/>
  <c r="G3237" i="3"/>
  <c r="D3237" i="3"/>
  <c r="C3237" i="3"/>
  <c r="M3236" i="3"/>
  <c r="K3236" i="3"/>
  <c r="G3236" i="3"/>
  <c r="D3236" i="3"/>
  <c r="C3236" i="3"/>
  <c r="M3235" i="3"/>
  <c r="K3235" i="3"/>
  <c r="G3235" i="3"/>
  <c r="D3235" i="3"/>
  <c r="C3235" i="3"/>
  <c r="M3234" i="3"/>
  <c r="K3234" i="3"/>
  <c r="G3234" i="3"/>
  <c r="D3234" i="3"/>
  <c r="C3234" i="3"/>
  <c r="M3233" i="3"/>
  <c r="K3233" i="3"/>
  <c r="G3233" i="3"/>
  <c r="D3233" i="3"/>
  <c r="C3233" i="3"/>
  <c r="M3232" i="3"/>
  <c r="K3232" i="3"/>
  <c r="G3232" i="3"/>
  <c r="D3232" i="3"/>
  <c r="C3232" i="3"/>
  <c r="M3231" i="3"/>
  <c r="K3231" i="3"/>
  <c r="G3231" i="3"/>
  <c r="D3231" i="3"/>
  <c r="C3231" i="3"/>
  <c r="M3230" i="3"/>
  <c r="K3230" i="3"/>
  <c r="G3230" i="3"/>
  <c r="D3230" i="3"/>
  <c r="C3230" i="3"/>
  <c r="M3229" i="3"/>
  <c r="K3229" i="3"/>
  <c r="G3229" i="3"/>
  <c r="D3229" i="3"/>
  <c r="C3229" i="3"/>
  <c r="M3228" i="3"/>
  <c r="K3228" i="3"/>
  <c r="G3228" i="3"/>
  <c r="D3228" i="3"/>
  <c r="C3228" i="3"/>
  <c r="M3227" i="3"/>
  <c r="K3227" i="3"/>
  <c r="G3227" i="3"/>
  <c r="D3227" i="3"/>
  <c r="C3227" i="3"/>
  <c r="M3226" i="3"/>
  <c r="K3226" i="3"/>
  <c r="G3226" i="3"/>
  <c r="D3226" i="3"/>
  <c r="C3226" i="3"/>
  <c r="M3225" i="3"/>
  <c r="K3225" i="3"/>
  <c r="G3225" i="3"/>
  <c r="D3225" i="3"/>
  <c r="C3225" i="3"/>
  <c r="M3224" i="3"/>
  <c r="K3224" i="3"/>
  <c r="G3224" i="3"/>
  <c r="D3224" i="3"/>
  <c r="C3224" i="3"/>
  <c r="M3223" i="3"/>
  <c r="K3223" i="3"/>
  <c r="G3223" i="3"/>
  <c r="D3223" i="3"/>
  <c r="C3223" i="3"/>
  <c r="M3222" i="3"/>
  <c r="K3222" i="3"/>
  <c r="G3222" i="3"/>
  <c r="D3222" i="3"/>
  <c r="C3222" i="3"/>
  <c r="M3221" i="3"/>
  <c r="K3221" i="3"/>
  <c r="G3221" i="3"/>
  <c r="D3221" i="3"/>
  <c r="C3221" i="3"/>
  <c r="M3220" i="3"/>
  <c r="K3220" i="3"/>
  <c r="G3220" i="3"/>
  <c r="D3220" i="3"/>
  <c r="C3220" i="3"/>
  <c r="M3219" i="3"/>
  <c r="K3219" i="3"/>
  <c r="G3219" i="3"/>
  <c r="D3219" i="3"/>
  <c r="C3219" i="3"/>
  <c r="M3218" i="3"/>
  <c r="K3218" i="3"/>
  <c r="G3218" i="3"/>
  <c r="D3218" i="3"/>
  <c r="C3218" i="3"/>
  <c r="M3217" i="3"/>
  <c r="K3217" i="3"/>
  <c r="G3217" i="3"/>
  <c r="D3217" i="3"/>
  <c r="C3217" i="3"/>
  <c r="M3216" i="3"/>
  <c r="K3216" i="3"/>
  <c r="G3216" i="3"/>
  <c r="D3216" i="3"/>
  <c r="C3216" i="3"/>
  <c r="M3215" i="3"/>
  <c r="K3215" i="3"/>
  <c r="G3215" i="3"/>
  <c r="D3215" i="3"/>
  <c r="C3215" i="3"/>
  <c r="M3214" i="3"/>
  <c r="K3214" i="3"/>
  <c r="G3214" i="3"/>
  <c r="D3214" i="3"/>
  <c r="C3214" i="3"/>
  <c r="M3213" i="3"/>
  <c r="K3213" i="3"/>
  <c r="G3213" i="3"/>
  <c r="D3213" i="3"/>
  <c r="C3213" i="3"/>
  <c r="M3212" i="3"/>
  <c r="K3212" i="3"/>
  <c r="G3212" i="3"/>
  <c r="D3212" i="3"/>
  <c r="C3212" i="3"/>
  <c r="M3211" i="3"/>
  <c r="K3211" i="3"/>
  <c r="G3211" i="3"/>
  <c r="D3211" i="3"/>
  <c r="C3211" i="3"/>
  <c r="M3210" i="3"/>
  <c r="K3210" i="3"/>
  <c r="G3210" i="3"/>
  <c r="D3210" i="3"/>
  <c r="C3210" i="3"/>
  <c r="M3209" i="3"/>
  <c r="K3209" i="3"/>
  <c r="G3209" i="3"/>
  <c r="D3209" i="3"/>
  <c r="C3209" i="3"/>
  <c r="M3208" i="3"/>
  <c r="K3208" i="3"/>
  <c r="G3208" i="3"/>
  <c r="D3208" i="3"/>
  <c r="C3208" i="3"/>
  <c r="M3207" i="3"/>
  <c r="K3207" i="3"/>
  <c r="G3207" i="3"/>
  <c r="D3207" i="3"/>
  <c r="C3207" i="3"/>
  <c r="M3206" i="3"/>
  <c r="K3206" i="3"/>
  <c r="G3206" i="3"/>
  <c r="D3206" i="3"/>
  <c r="C3206" i="3"/>
  <c r="M3205" i="3"/>
  <c r="K3205" i="3"/>
  <c r="G3205" i="3"/>
  <c r="D3205" i="3"/>
  <c r="C3205" i="3"/>
  <c r="M3204" i="3"/>
  <c r="K3204" i="3"/>
  <c r="G3204" i="3"/>
  <c r="D3204" i="3"/>
  <c r="C3204" i="3"/>
  <c r="M3203" i="3"/>
  <c r="K3203" i="3"/>
  <c r="G3203" i="3"/>
  <c r="D3203" i="3"/>
  <c r="C3203" i="3"/>
  <c r="M3202" i="3"/>
  <c r="K3202" i="3"/>
  <c r="G3202" i="3"/>
  <c r="D3202" i="3"/>
  <c r="C3202" i="3"/>
  <c r="M3201" i="3"/>
  <c r="K3201" i="3"/>
  <c r="G3201" i="3"/>
  <c r="D3201" i="3"/>
  <c r="C3201" i="3"/>
  <c r="M3200" i="3"/>
  <c r="K3200" i="3"/>
  <c r="G3200" i="3"/>
  <c r="D3200" i="3"/>
  <c r="C3200" i="3"/>
  <c r="M3199" i="3"/>
  <c r="K3199" i="3"/>
  <c r="G3199" i="3"/>
  <c r="D3199" i="3"/>
  <c r="C3199" i="3"/>
  <c r="M3198" i="3"/>
  <c r="K3198" i="3"/>
  <c r="G3198" i="3"/>
  <c r="D3198" i="3"/>
  <c r="C3198" i="3"/>
  <c r="M3197" i="3"/>
  <c r="K3197" i="3"/>
  <c r="G3197" i="3"/>
  <c r="D3197" i="3"/>
  <c r="C3197" i="3"/>
  <c r="M3196" i="3"/>
  <c r="K3196" i="3"/>
  <c r="G3196" i="3"/>
  <c r="D3196" i="3"/>
  <c r="C3196" i="3"/>
  <c r="M3195" i="3"/>
  <c r="K3195" i="3"/>
  <c r="G3195" i="3"/>
  <c r="D3195" i="3"/>
  <c r="C3195" i="3"/>
  <c r="M3194" i="3"/>
  <c r="K3194" i="3"/>
  <c r="G3194" i="3"/>
  <c r="D3194" i="3"/>
  <c r="C3194" i="3"/>
  <c r="M3193" i="3"/>
  <c r="K3193" i="3"/>
  <c r="G3193" i="3"/>
  <c r="D3193" i="3"/>
  <c r="C3193" i="3"/>
  <c r="M3192" i="3"/>
  <c r="K3192" i="3"/>
  <c r="G3192" i="3"/>
  <c r="D3192" i="3"/>
  <c r="C3192" i="3"/>
  <c r="M3191" i="3"/>
  <c r="K3191" i="3"/>
  <c r="G3191" i="3"/>
  <c r="D3191" i="3"/>
  <c r="C3191" i="3"/>
  <c r="M3190" i="3"/>
  <c r="K3190" i="3"/>
  <c r="G3190" i="3"/>
  <c r="D3190" i="3"/>
  <c r="C3190" i="3"/>
  <c r="M3189" i="3"/>
  <c r="K3189" i="3"/>
  <c r="G3189" i="3"/>
  <c r="D3189" i="3"/>
  <c r="C3189" i="3"/>
  <c r="M3188" i="3"/>
  <c r="K3188" i="3"/>
  <c r="G3188" i="3"/>
  <c r="D3188" i="3"/>
  <c r="C3188" i="3"/>
  <c r="M3187" i="3"/>
  <c r="K3187" i="3"/>
  <c r="G3187" i="3"/>
  <c r="D3187" i="3"/>
  <c r="C3187" i="3"/>
  <c r="M3186" i="3"/>
  <c r="K3186" i="3"/>
  <c r="G3186" i="3"/>
  <c r="D3186" i="3"/>
  <c r="C3186" i="3"/>
  <c r="M3185" i="3"/>
  <c r="K3185" i="3"/>
  <c r="G3185" i="3"/>
  <c r="D3185" i="3"/>
  <c r="C3185" i="3"/>
  <c r="M3184" i="3"/>
  <c r="K3184" i="3"/>
  <c r="G3184" i="3"/>
  <c r="D3184" i="3"/>
  <c r="C3184" i="3"/>
  <c r="M3183" i="3"/>
  <c r="K3183" i="3"/>
  <c r="G3183" i="3"/>
  <c r="D3183" i="3"/>
  <c r="C3183" i="3"/>
  <c r="M3182" i="3"/>
  <c r="K3182" i="3"/>
  <c r="G3182" i="3"/>
  <c r="D3182" i="3"/>
  <c r="C3182" i="3"/>
  <c r="M3181" i="3"/>
  <c r="K3181" i="3"/>
  <c r="G3181" i="3"/>
  <c r="D3181" i="3"/>
  <c r="C3181" i="3"/>
  <c r="M3180" i="3"/>
  <c r="K3180" i="3"/>
  <c r="G3180" i="3"/>
  <c r="D3180" i="3"/>
  <c r="C3180" i="3"/>
  <c r="M3179" i="3"/>
  <c r="K3179" i="3"/>
  <c r="G3179" i="3"/>
  <c r="D3179" i="3"/>
  <c r="C3179" i="3"/>
  <c r="M3178" i="3"/>
  <c r="K3178" i="3"/>
  <c r="G3178" i="3"/>
  <c r="D3178" i="3"/>
  <c r="C3178" i="3"/>
  <c r="M3177" i="3"/>
  <c r="K3177" i="3"/>
  <c r="G3177" i="3"/>
  <c r="D3177" i="3"/>
  <c r="C3177" i="3"/>
  <c r="M3176" i="3"/>
  <c r="K3176" i="3"/>
  <c r="G3176" i="3"/>
  <c r="D3176" i="3"/>
  <c r="C3176" i="3"/>
  <c r="M3175" i="3"/>
  <c r="K3175" i="3"/>
  <c r="G3175" i="3"/>
  <c r="D3175" i="3"/>
  <c r="C3175" i="3"/>
  <c r="M3174" i="3"/>
  <c r="K3174" i="3"/>
  <c r="G3174" i="3"/>
  <c r="D3174" i="3"/>
  <c r="C3174" i="3"/>
  <c r="M3173" i="3"/>
  <c r="K3173" i="3"/>
  <c r="G3173" i="3"/>
  <c r="D3173" i="3"/>
  <c r="C3173" i="3"/>
  <c r="M3172" i="3"/>
  <c r="K3172" i="3"/>
  <c r="G3172" i="3"/>
  <c r="D3172" i="3"/>
  <c r="C3172" i="3"/>
  <c r="M3171" i="3"/>
  <c r="K3171" i="3"/>
  <c r="G3171" i="3"/>
  <c r="D3171" i="3"/>
  <c r="C3171" i="3"/>
  <c r="M3170" i="3"/>
  <c r="K3170" i="3"/>
  <c r="G3170" i="3"/>
  <c r="D3170" i="3"/>
  <c r="C3170" i="3"/>
  <c r="M3169" i="3"/>
  <c r="K3169" i="3"/>
  <c r="G3169" i="3"/>
  <c r="D3169" i="3"/>
  <c r="C3169" i="3"/>
  <c r="M3168" i="3"/>
  <c r="K3168" i="3"/>
  <c r="G3168" i="3"/>
  <c r="D3168" i="3"/>
  <c r="C3168" i="3"/>
  <c r="M3167" i="3"/>
  <c r="K3167" i="3"/>
  <c r="G3167" i="3"/>
  <c r="D3167" i="3"/>
  <c r="C3167" i="3"/>
  <c r="M3166" i="3"/>
  <c r="K3166" i="3"/>
  <c r="G3166" i="3"/>
  <c r="D3166" i="3"/>
  <c r="C3166" i="3"/>
  <c r="M3165" i="3"/>
  <c r="K3165" i="3"/>
  <c r="G3165" i="3"/>
  <c r="D3165" i="3"/>
  <c r="C3165" i="3"/>
  <c r="M3164" i="3"/>
  <c r="K3164" i="3"/>
  <c r="G3164" i="3"/>
  <c r="D3164" i="3"/>
  <c r="C3164" i="3"/>
  <c r="M3163" i="3"/>
  <c r="K3163" i="3"/>
  <c r="G3163" i="3"/>
  <c r="D3163" i="3"/>
  <c r="C3163" i="3"/>
  <c r="M3162" i="3"/>
  <c r="K3162" i="3"/>
  <c r="G3162" i="3"/>
  <c r="D3162" i="3"/>
  <c r="C3162" i="3"/>
  <c r="M3161" i="3"/>
  <c r="K3161" i="3"/>
  <c r="G3161" i="3"/>
  <c r="D3161" i="3"/>
  <c r="C3161" i="3"/>
  <c r="M3160" i="3"/>
  <c r="K3160" i="3"/>
  <c r="G3160" i="3"/>
  <c r="D3160" i="3"/>
  <c r="C3160" i="3"/>
  <c r="M3159" i="3"/>
  <c r="K3159" i="3"/>
  <c r="G3159" i="3"/>
  <c r="D3159" i="3"/>
  <c r="C3159" i="3"/>
  <c r="M3158" i="3"/>
  <c r="K3158" i="3"/>
  <c r="G3158" i="3"/>
  <c r="D3158" i="3"/>
  <c r="C3158" i="3"/>
  <c r="M3157" i="3"/>
  <c r="K3157" i="3"/>
  <c r="G3157" i="3"/>
  <c r="D3157" i="3"/>
  <c r="C3157" i="3"/>
  <c r="M3156" i="3"/>
  <c r="K3156" i="3"/>
  <c r="G3156" i="3"/>
  <c r="D3156" i="3"/>
  <c r="C3156" i="3"/>
  <c r="M3155" i="3"/>
  <c r="K3155" i="3"/>
  <c r="G3155" i="3"/>
  <c r="D3155" i="3"/>
  <c r="C3155" i="3"/>
  <c r="M3154" i="3"/>
  <c r="K3154" i="3"/>
  <c r="G3154" i="3"/>
  <c r="D3154" i="3"/>
  <c r="C3154" i="3"/>
  <c r="M3153" i="3"/>
  <c r="K3153" i="3"/>
  <c r="G3153" i="3"/>
  <c r="D3153" i="3"/>
  <c r="C3153" i="3"/>
  <c r="M3152" i="3"/>
  <c r="K3152" i="3"/>
  <c r="G3152" i="3"/>
  <c r="D3152" i="3"/>
  <c r="C3152" i="3"/>
  <c r="M3151" i="3"/>
  <c r="K3151" i="3"/>
  <c r="G3151" i="3"/>
  <c r="D3151" i="3"/>
  <c r="C3151" i="3"/>
  <c r="M3150" i="3"/>
  <c r="K3150" i="3"/>
  <c r="G3150" i="3"/>
  <c r="D3150" i="3"/>
  <c r="C3150" i="3"/>
  <c r="M3149" i="3"/>
  <c r="K3149" i="3"/>
  <c r="G3149" i="3"/>
  <c r="D3149" i="3"/>
  <c r="C3149" i="3"/>
  <c r="M3148" i="3"/>
  <c r="K3148" i="3"/>
  <c r="G3148" i="3"/>
  <c r="D3148" i="3"/>
  <c r="C3148" i="3"/>
  <c r="M3147" i="3"/>
  <c r="K3147" i="3"/>
  <c r="G3147" i="3"/>
  <c r="D3147" i="3"/>
  <c r="C3147" i="3"/>
  <c r="M3146" i="3"/>
  <c r="K3146" i="3"/>
  <c r="G3146" i="3"/>
  <c r="D3146" i="3"/>
  <c r="C3146" i="3"/>
  <c r="M3145" i="3"/>
  <c r="K3145" i="3"/>
  <c r="G3145" i="3"/>
  <c r="D3145" i="3"/>
  <c r="C3145" i="3"/>
  <c r="M3144" i="3"/>
  <c r="K3144" i="3"/>
  <c r="G3144" i="3"/>
  <c r="D3144" i="3"/>
  <c r="C3144" i="3"/>
  <c r="M3143" i="3"/>
  <c r="K3143" i="3"/>
  <c r="G3143" i="3"/>
  <c r="D3143" i="3"/>
  <c r="C3143" i="3"/>
  <c r="M3142" i="3"/>
  <c r="K3142" i="3"/>
  <c r="G3142" i="3"/>
  <c r="D3142" i="3"/>
  <c r="C3142" i="3"/>
  <c r="M3141" i="3"/>
  <c r="K3141" i="3"/>
  <c r="G3141" i="3"/>
  <c r="D3141" i="3"/>
  <c r="C3141" i="3"/>
  <c r="M3140" i="3"/>
  <c r="K3140" i="3"/>
  <c r="G3140" i="3"/>
  <c r="D3140" i="3"/>
  <c r="C3140" i="3"/>
  <c r="M3139" i="3"/>
  <c r="K3139" i="3"/>
  <c r="G3139" i="3"/>
  <c r="D3139" i="3"/>
  <c r="C3139" i="3"/>
  <c r="M3138" i="3"/>
  <c r="K3138" i="3"/>
  <c r="G3138" i="3"/>
  <c r="D3138" i="3"/>
  <c r="C3138" i="3"/>
  <c r="M3137" i="3"/>
  <c r="K3137" i="3"/>
  <c r="G3137" i="3"/>
  <c r="D3137" i="3"/>
  <c r="C3137" i="3"/>
  <c r="M3136" i="3"/>
  <c r="K3136" i="3"/>
  <c r="G3136" i="3"/>
  <c r="D3136" i="3"/>
  <c r="C3136" i="3"/>
  <c r="M3135" i="3"/>
  <c r="K3135" i="3"/>
  <c r="G3135" i="3"/>
  <c r="D3135" i="3"/>
  <c r="C3135" i="3"/>
  <c r="M3134" i="3"/>
  <c r="K3134" i="3"/>
  <c r="G3134" i="3"/>
  <c r="D3134" i="3"/>
  <c r="C3134" i="3"/>
  <c r="M3133" i="3"/>
  <c r="K3133" i="3"/>
  <c r="G3133" i="3"/>
  <c r="D3133" i="3"/>
  <c r="C3133" i="3"/>
  <c r="M3132" i="3"/>
  <c r="K3132" i="3"/>
  <c r="G3132" i="3"/>
  <c r="D3132" i="3"/>
  <c r="C3132" i="3"/>
  <c r="M3131" i="3"/>
  <c r="K3131" i="3"/>
  <c r="G3131" i="3"/>
  <c r="D3131" i="3"/>
  <c r="C3131" i="3"/>
  <c r="M3130" i="3"/>
  <c r="K3130" i="3"/>
  <c r="G3130" i="3"/>
  <c r="D3130" i="3"/>
  <c r="C3130" i="3"/>
  <c r="M3129" i="3"/>
  <c r="K3129" i="3"/>
  <c r="G3129" i="3"/>
  <c r="D3129" i="3"/>
  <c r="C3129" i="3"/>
  <c r="M3128" i="3"/>
  <c r="K3128" i="3"/>
  <c r="G3128" i="3"/>
  <c r="D3128" i="3"/>
  <c r="C3128" i="3"/>
  <c r="M3127" i="3"/>
  <c r="K3127" i="3"/>
  <c r="G3127" i="3"/>
  <c r="D3127" i="3"/>
  <c r="C3127" i="3"/>
  <c r="M3126" i="3"/>
  <c r="K3126" i="3"/>
  <c r="G3126" i="3"/>
  <c r="D3126" i="3"/>
  <c r="C3126" i="3"/>
  <c r="M3125" i="3"/>
  <c r="K3125" i="3"/>
  <c r="G3125" i="3"/>
  <c r="D3125" i="3"/>
  <c r="C3125" i="3"/>
  <c r="M3124" i="3"/>
  <c r="K3124" i="3"/>
  <c r="G3124" i="3"/>
  <c r="D3124" i="3"/>
  <c r="C3124" i="3"/>
  <c r="M3123" i="3"/>
  <c r="K3123" i="3"/>
  <c r="G3123" i="3"/>
  <c r="D3123" i="3"/>
  <c r="C3123" i="3"/>
  <c r="M3122" i="3"/>
  <c r="K3122" i="3"/>
  <c r="G3122" i="3"/>
  <c r="D3122" i="3"/>
  <c r="C3122" i="3"/>
  <c r="M3121" i="3"/>
  <c r="K3121" i="3"/>
  <c r="G3121" i="3"/>
  <c r="D3121" i="3"/>
  <c r="C3121" i="3"/>
  <c r="M3120" i="3"/>
  <c r="K3120" i="3"/>
  <c r="G3120" i="3"/>
  <c r="D3120" i="3"/>
  <c r="C3120" i="3"/>
  <c r="M3119" i="3"/>
  <c r="K3119" i="3"/>
  <c r="G3119" i="3"/>
  <c r="D3119" i="3"/>
  <c r="C3119" i="3"/>
  <c r="M3118" i="3"/>
  <c r="K3118" i="3"/>
  <c r="G3118" i="3"/>
  <c r="D3118" i="3"/>
  <c r="C3118" i="3"/>
  <c r="M3117" i="3"/>
  <c r="K3117" i="3"/>
  <c r="G3117" i="3"/>
  <c r="D3117" i="3"/>
  <c r="C3117" i="3"/>
  <c r="M3116" i="3"/>
  <c r="K3116" i="3"/>
  <c r="G3116" i="3"/>
  <c r="D3116" i="3"/>
  <c r="C3116" i="3"/>
  <c r="M3115" i="3"/>
  <c r="K3115" i="3"/>
  <c r="G3115" i="3"/>
  <c r="D3115" i="3"/>
  <c r="C3115" i="3"/>
  <c r="M3114" i="3"/>
  <c r="K3114" i="3"/>
  <c r="G3114" i="3"/>
  <c r="D3114" i="3"/>
  <c r="C3114" i="3"/>
  <c r="M3113" i="3"/>
  <c r="K3113" i="3"/>
  <c r="G3113" i="3"/>
  <c r="D3113" i="3"/>
  <c r="C3113" i="3"/>
  <c r="M3112" i="3"/>
  <c r="K3112" i="3"/>
  <c r="G3112" i="3"/>
  <c r="D3112" i="3"/>
  <c r="C3112" i="3"/>
  <c r="M3111" i="3"/>
  <c r="K3111" i="3"/>
  <c r="G3111" i="3"/>
  <c r="D3111" i="3"/>
  <c r="C3111" i="3"/>
  <c r="M3110" i="3"/>
  <c r="K3110" i="3"/>
  <c r="G3110" i="3"/>
  <c r="D3110" i="3"/>
  <c r="C3110" i="3"/>
  <c r="M3109" i="3"/>
  <c r="K3109" i="3"/>
  <c r="G3109" i="3"/>
  <c r="D3109" i="3"/>
  <c r="C3109" i="3"/>
  <c r="M3108" i="3"/>
  <c r="K3108" i="3"/>
  <c r="G3108" i="3"/>
  <c r="D3108" i="3"/>
  <c r="C3108" i="3"/>
  <c r="M3107" i="3"/>
  <c r="K3107" i="3"/>
  <c r="G3107" i="3"/>
  <c r="D3107" i="3"/>
  <c r="C3107" i="3"/>
  <c r="M3106" i="3"/>
  <c r="K3106" i="3"/>
  <c r="G3106" i="3"/>
  <c r="D3106" i="3"/>
  <c r="C3106" i="3"/>
  <c r="M3105" i="3"/>
  <c r="K3105" i="3"/>
  <c r="G3105" i="3"/>
  <c r="D3105" i="3"/>
  <c r="C3105" i="3"/>
  <c r="M3104" i="3"/>
  <c r="K3104" i="3"/>
  <c r="G3104" i="3"/>
  <c r="D3104" i="3"/>
  <c r="C3104" i="3"/>
  <c r="M3103" i="3"/>
  <c r="K3103" i="3"/>
  <c r="G3103" i="3"/>
  <c r="D3103" i="3"/>
  <c r="C3103" i="3"/>
  <c r="M3102" i="3"/>
  <c r="K3102" i="3"/>
  <c r="G3102" i="3"/>
  <c r="D3102" i="3"/>
  <c r="C3102" i="3"/>
  <c r="M3101" i="3"/>
  <c r="K3101" i="3"/>
  <c r="G3101" i="3"/>
  <c r="D3101" i="3"/>
  <c r="C3101" i="3"/>
  <c r="M3100" i="3"/>
  <c r="K3100" i="3"/>
  <c r="G3100" i="3"/>
  <c r="D3100" i="3"/>
  <c r="C3100" i="3"/>
  <c r="M3099" i="3"/>
  <c r="K3099" i="3"/>
  <c r="G3099" i="3"/>
  <c r="D3099" i="3"/>
  <c r="C3099" i="3"/>
  <c r="M3098" i="3"/>
  <c r="K3098" i="3"/>
  <c r="G3098" i="3"/>
  <c r="D3098" i="3"/>
  <c r="C3098" i="3"/>
  <c r="M3097" i="3"/>
  <c r="K3097" i="3"/>
  <c r="G3097" i="3"/>
  <c r="D3097" i="3"/>
  <c r="C3097" i="3"/>
  <c r="M3096" i="3"/>
  <c r="K3096" i="3"/>
  <c r="G3096" i="3"/>
  <c r="D3096" i="3"/>
  <c r="C3096" i="3"/>
  <c r="M3095" i="3"/>
  <c r="K3095" i="3"/>
  <c r="G3095" i="3"/>
  <c r="D3095" i="3"/>
  <c r="C3095" i="3"/>
  <c r="M3094" i="3"/>
  <c r="K3094" i="3"/>
  <c r="G3094" i="3"/>
  <c r="D3094" i="3"/>
  <c r="C3094" i="3"/>
  <c r="M3093" i="3"/>
  <c r="K3093" i="3"/>
  <c r="G3093" i="3"/>
  <c r="D3093" i="3"/>
  <c r="C3093" i="3"/>
  <c r="M3092" i="3"/>
  <c r="K3092" i="3"/>
  <c r="G3092" i="3"/>
  <c r="D3092" i="3"/>
  <c r="C3092" i="3"/>
  <c r="M3091" i="3"/>
  <c r="K3091" i="3"/>
  <c r="G3091" i="3"/>
  <c r="D3091" i="3"/>
  <c r="C3091" i="3"/>
  <c r="M3090" i="3"/>
  <c r="K3090" i="3"/>
  <c r="G3090" i="3"/>
  <c r="D3090" i="3"/>
  <c r="C3090" i="3"/>
  <c r="M3089" i="3"/>
  <c r="K3089" i="3"/>
  <c r="G3089" i="3"/>
  <c r="D3089" i="3"/>
  <c r="C3089" i="3"/>
  <c r="M3088" i="3"/>
  <c r="K3088" i="3"/>
  <c r="G3088" i="3"/>
  <c r="D3088" i="3"/>
  <c r="C3088" i="3"/>
  <c r="M3087" i="3"/>
  <c r="K3087" i="3"/>
  <c r="G3087" i="3"/>
  <c r="D3087" i="3"/>
  <c r="C3087" i="3"/>
  <c r="M3086" i="3"/>
  <c r="K3086" i="3"/>
  <c r="G3086" i="3"/>
  <c r="D3086" i="3"/>
  <c r="C3086" i="3"/>
  <c r="M3085" i="3"/>
  <c r="K3085" i="3"/>
  <c r="G3085" i="3"/>
  <c r="D3085" i="3"/>
  <c r="C3085" i="3"/>
  <c r="M3084" i="3"/>
  <c r="K3084" i="3"/>
  <c r="G3084" i="3"/>
  <c r="D3084" i="3"/>
  <c r="C3084" i="3"/>
  <c r="M3083" i="3"/>
  <c r="K3083" i="3"/>
  <c r="G3083" i="3"/>
  <c r="D3083" i="3"/>
  <c r="C3083" i="3"/>
  <c r="M3082" i="3"/>
  <c r="K3082" i="3"/>
  <c r="G3082" i="3"/>
  <c r="D3082" i="3"/>
  <c r="C3082" i="3"/>
  <c r="M3081" i="3"/>
  <c r="K3081" i="3"/>
  <c r="G3081" i="3"/>
  <c r="D3081" i="3"/>
  <c r="C3081" i="3"/>
  <c r="M3080" i="3"/>
  <c r="K3080" i="3"/>
  <c r="G3080" i="3"/>
  <c r="D3080" i="3"/>
  <c r="C3080" i="3"/>
  <c r="M3079" i="3"/>
  <c r="K3079" i="3"/>
  <c r="G3079" i="3"/>
  <c r="D3079" i="3"/>
  <c r="C3079" i="3"/>
  <c r="M3078" i="3"/>
  <c r="K3078" i="3"/>
  <c r="G3078" i="3"/>
  <c r="D3078" i="3"/>
  <c r="C3078" i="3"/>
  <c r="M3077" i="3"/>
  <c r="K3077" i="3"/>
  <c r="G3077" i="3"/>
  <c r="D3077" i="3"/>
  <c r="C3077" i="3"/>
  <c r="M3076" i="3"/>
  <c r="K3076" i="3"/>
  <c r="G3076" i="3"/>
  <c r="D3076" i="3"/>
  <c r="C3076" i="3"/>
  <c r="M3075" i="3"/>
  <c r="K3075" i="3"/>
  <c r="G3075" i="3"/>
  <c r="D3075" i="3"/>
  <c r="C3075" i="3"/>
  <c r="M3074" i="3"/>
  <c r="K3074" i="3"/>
  <c r="G3074" i="3"/>
  <c r="D3074" i="3"/>
  <c r="C3074" i="3"/>
  <c r="M3073" i="3"/>
  <c r="K3073" i="3"/>
  <c r="G3073" i="3"/>
  <c r="D3073" i="3"/>
  <c r="C3073" i="3"/>
  <c r="M3072" i="3"/>
  <c r="K3072" i="3"/>
  <c r="G3072" i="3"/>
  <c r="D3072" i="3"/>
  <c r="C3072" i="3"/>
  <c r="M3071" i="3"/>
  <c r="K3071" i="3"/>
  <c r="G3071" i="3"/>
  <c r="D3071" i="3"/>
  <c r="C3071" i="3"/>
  <c r="M3070" i="3"/>
  <c r="K3070" i="3"/>
  <c r="G3070" i="3"/>
  <c r="D3070" i="3"/>
  <c r="C3070" i="3"/>
  <c r="M3069" i="3"/>
  <c r="K3069" i="3"/>
  <c r="G3069" i="3"/>
  <c r="D3069" i="3"/>
  <c r="C3069" i="3"/>
  <c r="M3068" i="3"/>
  <c r="K3068" i="3"/>
  <c r="G3068" i="3"/>
  <c r="D3068" i="3"/>
  <c r="C3068" i="3"/>
  <c r="M3067" i="3"/>
  <c r="K3067" i="3"/>
  <c r="G3067" i="3"/>
  <c r="D3067" i="3"/>
  <c r="C3067" i="3"/>
  <c r="M3066" i="3"/>
  <c r="K3066" i="3"/>
  <c r="G3066" i="3"/>
  <c r="D3066" i="3"/>
  <c r="C3066" i="3"/>
  <c r="M3065" i="3"/>
  <c r="K3065" i="3"/>
  <c r="G3065" i="3"/>
  <c r="D3065" i="3"/>
  <c r="C3065" i="3"/>
  <c r="M3064" i="3"/>
  <c r="K3064" i="3"/>
  <c r="G3064" i="3"/>
  <c r="D3064" i="3"/>
  <c r="C3064" i="3"/>
  <c r="M3063" i="3"/>
  <c r="K3063" i="3"/>
  <c r="G3063" i="3"/>
  <c r="D3063" i="3"/>
  <c r="C3063" i="3"/>
  <c r="M3062" i="3"/>
  <c r="K3062" i="3"/>
  <c r="G3062" i="3"/>
  <c r="D3062" i="3"/>
  <c r="C3062" i="3"/>
  <c r="M3061" i="3"/>
  <c r="K3061" i="3"/>
  <c r="G3061" i="3"/>
  <c r="D3061" i="3"/>
  <c r="C3061" i="3"/>
  <c r="M3060" i="3"/>
  <c r="K3060" i="3"/>
  <c r="G3060" i="3"/>
  <c r="D3060" i="3"/>
  <c r="C3060" i="3"/>
  <c r="M3059" i="3"/>
  <c r="K3059" i="3"/>
  <c r="G3059" i="3"/>
  <c r="D3059" i="3"/>
  <c r="C3059" i="3"/>
  <c r="M3058" i="3"/>
  <c r="K3058" i="3"/>
  <c r="G3058" i="3"/>
  <c r="D3058" i="3"/>
  <c r="C3058" i="3"/>
  <c r="M3057" i="3"/>
  <c r="K3057" i="3"/>
  <c r="G3057" i="3"/>
  <c r="D3057" i="3"/>
  <c r="C3057" i="3"/>
  <c r="M3056" i="3"/>
  <c r="K3056" i="3"/>
  <c r="G3056" i="3"/>
  <c r="D3056" i="3"/>
  <c r="C3056" i="3"/>
  <c r="M3055" i="3"/>
  <c r="K3055" i="3"/>
  <c r="G3055" i="3"/>
  <c r="D3055" i="3"/>
  <c r="C3055" i="3"/>
  <c r="M3054" i="3"/>
  <c r="K3054" i="3"/>
  <c r="G3054" i="3"/>
  <c r="D3054" i="3"/>
  <c r="C3054" i="3"/>
  <c r="M3053" i="3"/>
  <c r="K3053" i="3"/>
  <c r="G3053" i="3"/>
  <c r="D3053" i="3"/>
  <c r="C3053" i="3"/>
  <c r="M3052" i="3"/>
  <c r="K3052" i="3"/>
  <c r="G3052" i="3"/>
  <c r="D3052" i="3"/>
  <c r="C3052" i="3"/>
  <c r="M3051" i="3"/>
  <c r="K3051" i="3"/>
  <c r="G3051" i="3"/>
  <c r="D3051" i="3"/>
  <c r="C3051" i="3"/>
  <c r="M3050" i="3"/>
  <c r="K3050" i="3"/>
  <c r="G3050" i="3"/>
  <c r="D3050" i="3"/>
  <c r="C3050" i="3"/>
  <c r="M3049" i="3"/>
  <c r="K3049" i="3"/>
  <c r="G3049" i="3"/>
  <c r="D3049" i="3"/>
  <c r="C3049" i="3"/>
  <c r="M3048" i="3"/>
  <c r="K3048" i="3"/>
  <c r="G3048" i="3"/>
  <c r="D3048" i="3"/>
  <c r="C3048" i="3"/>
  <c r="M3047" i="3"/>
  <c r="K3047" i="3"/>
  <c r="G3047" i="3"/>
  <c r="D3047" i="3"/>
  <c r="C3047" i="3"/>
  <c r="M3046" i="3"/>
  <c r="K3046" i="3"/>
  <c r="G3046" i="3"/>
  <c r="D3046" i="3"/>
  <c r="C3046" i="3"/>
  <c r="M3045" i="3"/>
  <c r="K3045" i="3"/>
  <c r="G3045" i="3"/>
  <c r="D3045" i="3"/>
  <c r="C3045" i="3"/>
  <c r="M3044" i="3"/>
  <c r="K3044" i="3"/>
  <c r="G3044" i="3"/>
  <c r="D3044" i="3"/>
  <c r="C3044" i="3"/>
  <c r="M3043" i="3"/>
  <c r="K3043" i="3"/>
  <c r="G3043" i="3"/>
  <c r="D3043" i="3"/>
  <c r="C3043" i="3"/>
  <c r="M3042" i="3"/>
  <c r="K3042" i="3"/>
  <c r="G3042" i="3"/>
  <c r="D3042" i="3"/>
  <c r="C3042" i="3"/>
  <c r="M3041" i="3"/>
  <c r="K3041" i="3"/>
  <c r="G3041" i="3"/>
  <c r="D3041" i="3"/>
  <c r="C3041" i="3"/>
  <c r="M3040" i="3"/>
  <c r="K3040" i="3"/>
  <c r="G3040" i="3"/>
  <c r="D3040" i="3"/>
  <c r="C3040" i="3"/>
  <c r="M3039" i="3"/>
  <c r="K3039" i="3"/>
  <c r="G3039" i="3"/>
  <c r="D3039" i="3"/>
  <c r="C3039" i="3"/>
  <c r="M3038" i="3"/>
  <c r="K3038" i="3"/>
  <c r="G3038" i="3"/>
  <c r="D3038" i="3"/>
  <c r="C3038" i="3"/>
  <c r="M3037" i="3"/>
  <c r="K3037" i="3"/>
  <c r="G3037" i="3"/>
  <c r="D3037" i="3"/>
  <c r="C3037" i="3"/>
  <c r="M3036" i="3"/>
  <c r="K3036" i="3"/>
  <c r="G3036" i="3"/>
  <c r="D3036" i="3"/>
  <c r="C3036" i="3"/>
  <c r="M3035" i="3"/>
  <c r="K3035" i="3"/>
  <c r="G3035" i="3"/>
  <c r="D3035" i="3"/>
  <c r="C3035" i="3"/>
  <c r="M3034" i="3"/>
  <c r="K3034" i="3"/>
  <c r="G3034" i="3"/>
  <c r="D3034" i="3"/>
  <c r="C3034" i="3"/>
  <c r="M3033" i="3"/>
  <c r="K3033" i="3"/>
  <c r="G3033" i="3"/>
  <c r="D3033" i="3"/>
  <c r="C3033" i="3"/>
  <c r="M3032" i="3"/>
  <c r="K3032" i="3"/>
  <c r="G3032" i="3"/>
  <c r="D3032" i="3"/>
  <c r="C3032" i="3"/>
  <c r="M3031" i="3"/>
  <c r="K3031" i="3"/>
  <c r="G3031" i="3"/>
  <c r="D3031" i="3"/>
  <c r="C3031" i="3"/>
  <c r="M3030" i="3"/>
  <c r="K3030" i="3"/>
  <c r="G3030" i="3"/>
  <c r="D3030" i="3"/>
  <c r="C3030" i="3"/>
  <c r="M3029" i="3"/>
  <c r="K3029" i="3"/>
  <c r="G3029" i="3"/>
  <c r="D3029" i="3"/>
  <c r="C3029" i="3"/>
  <c r="M3028" i="3"/>
  <c r="K3028" i="3"/>
  <c r="G3028" i="3"/>
  <c r="D3028" i="3"/>
  <c r="C3028" i="3"/>
  <c r="M3027" i="3"/>
  <c r="K3027" i="3"/>
  <c r="G3027" i="3"/>
  <c r="D3027" i="3"/>
  <c r="C3027" i="3"/>
  <c r="M3026" i="3"/>
  <c r="K3026" i="3"/>
  <c r="G3026" i="3"/>
  <c r="D3026" i="3"/>
  <c r="C3026" i="3"/>
  <c r="M3025" i="3"/>
  <c r="K3025" i="3"/>
  <c r="G3025" i="3"/>
  <c r="D3025" i="3"/>
  <c r="C3025" i="3"/>
  <c r="M3024" i="3"/>
  <c r="K3024" i="3"/>
  <c r="G3024" i="3"/>
  <c r="D3024" i="3"/>
  <c r="C3024" i="3"/>
  <c r="M3023" i="3"/>
  <c r="K3023" i="3"/>
  <c r="G3023" i="3"/>
  <c r="D3023" i="3"/>
  <c r="C3023" i="3"/>
  <c r="M3022" i="3"/>
  <c r="K3022" i="3"/>
  <c r="G3022" i="3"/>
  <c r="D3022" i="3"/>
  <c r="C3022" i="3"/>
  <c r="M3021" i="3"/>
  <c r="K3021" i="3"/>
  <c r="G3021" i="3"/>
  <c r="D3021" i="3"/>
  <c r="C3021" i="3"/>
  <c r="M3020" i="3"/>
  <c r="K3020" i="3"/>
  <c r="G3020" i="3"/>
  <c r="D3020" i="3"/>
  <c r="C3020" i="3"/>
  <c r="M3019" i="3"/>
  <c r="K3019" i="3"/>
  <c r="G3019" i="3"/>
  <c r="D3019" i="3"/>
  <c r="C3019" i="3"/>
  <c r="M3018" i="3"/>
  <c r="K3018" i="3"/>
  <c r="G3018" i="3"/>
  <c r="D3018" i="3"/>
  <c r="C3018" i="3"/>
  <c r="M3017" i="3"/>
  <c r="K3017" i="3"/>
  <c r="G3017" i="3"/>
  <c r="D3017" i="3"/>
  <c r="C3017" i="3"/>
  <c r="M3016" i="3"/>
  <c r="K3016" i="3"/>
  <c r="G3016" i="3"/>
  <c r="D3016" i="3"/>
  <c r="C3016" i="3"/>
  <c r="M3015" i="3"/>
  <c r="K3015" i="3"/>
  <c r="G3015" i="3"/>
  <c r="D3015" i="3"/>
  <c r="C3015" i="3"/>
  <c r="M3014" i="3"/>
  <c r="K3014" i="3"/>
  <c r="G3014" i="3"/>
  <c r="D3014" i="3"/>
  <c r="C3014" i="3"/>
  <c r="M3013" i="3"/>
  <c r="K3013" i="3"/>
  <c r="G3013" i="3"/>
  <c r="D3013" i="3"/>
  <c r="C3013" i="3"/>
  <c r="M3012" i="3"/>
  <c r="K3012" i="3"/>
  <c r="G3012" i="3"/>
  <c r="D3012" i="3"/>
  <c r="C3012" i="3"/>
  <c r="M3011" i="3"/>
  <c r="K3011" i="3"/>
  <c r="G3011" i="3"/>
  <c r="D3011" i="3"/>
  <c r="C3011" i="3"/>
  <c r="M3010" i="3"/>
  <c r="K3010" i="3"/>
  <c r="G3010" i="3"/>
  <c r="D3010" i="3"/>
  <c r="C3010" i="3"/>
  <c r="M3009" i="3"/>
  <c r="K3009" i="3"/>
  <c r="G3009" i="3"/>
  <c r="D3009" i="3"/>
  <c r="C3009" i="3"/>
  <c r="M3008" i="3"/>
  <c r="K3008" i="3"/>
  <c r="G3008" i="3"/>
  <c r="D3008" i="3"/>
  <c r="C3008" i="3"/>
  <c r="M3007" i="3"/>
  <c r="K3007" i="3"/>
  <c r="G3007" i="3"/>
  <c r="D3007" i="3"/>
  <c r="C3007" i="3"/>
  <c r="M3006" i="3"/>
  <c r="K3006" i="3"/>
  <c r="G3006" i="3"/>
  <c r="D3006" i="3"/>
  <c r="C3006" i="3"/>
  <c r="M3005" i="3"/>
  <c r="K3005" i="3"/>
  <c r="G3005" i="3"/>
  <c r="D3005" i="3"/>
  <c r="C3005" i="3"/>
  <c r="M3004" i="3"/>
  <c r="K3004" i="3"/>
  <c r="G3004" i="3"/>
  <c r="D3004" i="3"/>
  <c r="C3004" i="3"/>
  <c r="M3003" i="3"/>
  <c r="K3003" i="3"/>
  <c r="G3003" i="3"/>
  <c r="D3003" i="3"/>
  <c r="C3003" i="3"/>
  <c r="M3002" i="3"/>
  <c r="K3002" i="3"/>
  <c r="G3002" i="3"/>
  <c r="D3002" i="3"/>
  <c r="C3002" i="3"/>
  <c r="M3001" i="3"/>
  <c r="K3001" i="3"/>
  <c r="G3001" i="3"/>
  <c r="D3001" i="3"/>
  <c r="C3001" i="3"/>
  <c r="M3000" i="3"/>
  <c r="K3000" i="3"/>
  <c r="G3000" i="3"/>
  <c r="D3000" i="3"/>
  <c r="C3000" i="3"/>
  <c r="M2999" i="3"/>
  <c r="K2999" i="3"/>
  <c r="G2999" i="3"/>
  <c r="D2999" i="3"/>
  <c r="C2999" i="3"/>
  <c r="M2998" i="3"/>
  <c r="K2998" i="3"/>
  <c r="G2998" i="3"/>
  <c r="D2998" i="3"/>
  <c r="C2998" i="3"/>
  <c r="M2997" i="3"/>
  <c r="K2997" i="3"/>
  <c r="G2997" i="3"/>
  <c r="D2997" i="3"/>
  <c r="C2997" i="3"/>
  <c r="M2996" i="3"/>
  <c r="K2996" i="3"/>
  <c r="G2996" i="3"/>
  <c r="D2996" i="3"/>
  <c r="C2996" i="3"/>
  <c r="M2995" i="3"/>
  <c r="K2995" i="3"/>
  <c r="G2995" i="3"/>
  <c r="D2995" i="3"/>
  <c r="C2995" i="3"/>
  <c r="M2994" i="3"/>
  <c r="K2994" i="3"/>
  <c r="G2994" i="3"/>
  <c r="D2994" i="3"/>
  <c r="C2994" i="3"/>
  <c r="M2993" i="3"/>
  <c r="K2993" i="3"/>
  <c r="G2993" i="3"/>
  <c r="D2993" i="3"/>
  <c r="C2993" i="3"/>
  <c r="M2992" i="3"/>
  <c r="K2992" i="3"/>
  <c r="G2992" i="3"/>
  <c r="D2992" i="3"/>
  <c r="C2992" i="3"/>
  <c r="M2991" i="3"/>
  <c r="K2991" i="3"/>
  <c r="G2991" i="3"/>
  <c r="D2991" i="3"/>
  <c r="C2991" i="3"/>
  <c r="M2990" i="3"/>
  <c r="K2990" i="3"/>
  <c r="G2990" i="3"/>
  <c r="D2990" i="3"/>
  <c r="C2990" i="3"/>
  <c r="M2989" i="3"/>
  <c r="K2989" i="3"/>
  <c r="G2989" i="3"/>
  <c r="D2989" i="3"/>
  <c r="C2989" i="3"/>
  <c r="M2988" i="3"/>
  <c r="K2988" i="3"/>
  <c r="G2988" i="3"/>
  <c r="D2988" i="3"/>
  <c r="C2988" i="3"/>
  <c r="M2987" i="3"/>
  <c r="K2987" i="3"/>
  <c r="G2987" i="3"/>
  <c r="D2987" i="3"/>
  <c r="C2987" i="3"/>
  <c r="M2986" i="3"/>
  <c r="K2986" i="3"/>
  <c r="G2986" i="3"/>
  <c r="D2986" i="3"/>
  <c r="C2986" i="3"/>
  <c r="M2985" i="3"/>
  <c r="K2985" i="3"/>
  <c r="G2985" i="3"/>
  <c r="D2985" i="3"/>
  <c r="C2985" i="3"/>
  <c r="M2984" i="3"/>
  <c r="K2984" i="3"/>
  <c r="G2984" i="3"/>
  <c r="D2984" i="3"/>
  <c r="C2984" i="3"/>
  <c r="M2983" i="3"/>
  <c r="K2983" i="3"/>
  <c r="G2983" i="3"/>
  <c r="D2983" i="3"/>
  <c r="C2983" i="3"/>
  <c r="M2982" i="3"/>
  <c r="K2982" i="3"/>
  <c r="G2982" i="3"/>
  <c r="D2982" i="3"/>
  <c r="C2982" i="3"/>
  <c r="M2981" i="3"/>
  <c r="K2981" i="3"/>
  <c r="G2981" i="3"/>
  <c r="D2981" i="3"/>
  <c r="C2981" i="3"/>
  <c r="M2980" i="3"/>
  <c r="K2980" i="3"/>
  <c r="G2980" i="3"/>
  <c r="D2980" i="3"/>
  <c r="C2980" i="3"/>
  <c r="M2979" i="3"/>
  <c r="K2979" i="3"/>
  <c r="G2979" i="3"/>
  <c r="D2979" i="3"/>
  <c r="C2979" i="3"/>
  <c r="M2978" i="3"/>
  <c r="K2978" i="3"/>
  <c r="G2978" i="3"/>
  <c r="D2978" i="3"/>
  <c r="C2978" i="3"/>
  <c r="M2977" i="3"/>
  <c r="K2977" i="3"/>
  <c r="G2977" i="3"/>
  <c r="D2977" i="3"/>
  <c r="C2977" i="3"/>
  <c r="M2976" i="3"/>
  <c r="K2976" i="3"/>
  <c r="G2976" i="3"/>
  <c r="D2976" i="3"/>
  <c r="C2976" i="3"/>
  <c r="M2975" i="3"/>
  <c r="K2975" i="3"/>
  <c r="G2975" i="3"/>
  <c r="D2975" i="3"/>
  <c r="C2975" i="3"/>
  <c r="M2974" i="3"/>
  <c r="K2974" i="3"/>
  <c r="G2974" i="3"/>
  <c r="D2974" i="3"/>
  <c r="C2974" i="3"/>
  <c r="M2973" i="3"/>
  <c r="K2973" i="3"/>
  <c r="G2973" i="3"/>
  <c r="D2973" i="3"/>
  <c r="C2973" i="3"/>
  <c r="M2972" i="3"/>
  <c r="K2972" i="3"/>
  <c r="G2972" i="3"/>
  <c r="D2972" i="3"/>
  <c r="C2972" i="3"/>
  <c r="M2971" i="3"/>
  <c r="K2971" i="3"/>
  <c r="G2971" i="3"/>
  <c r="D2971" i="3"/>
  <c r="C2971" i="3"/>
  <c r="M2970" i="3"/>
  <c r="K2970" i="3"/>
  <c r="G2970" i="3"/>
  <c r="D2970" i="3"/>
  <c r="C2970" i="3"/>
  <c r="M2969" i="3"/>
  <c r="K2969" i="3"/>
  <c r="G2969" i="3"/>
  <c r="D2969" i="3"/>
  <c r="C2969" i="3"/>
  <c r="M2968" i="3"/>
  <c r="K2968" i="3"/>
  <c r="G2968" i="3"/>
  <c r="D2968" i="3"/>
  <c r="C2968" i="3"/>
  <c r="M2967" i="3"/>
  <c r="K2967" i="3"/>
  <c r="G2967" i="3"/>
  <c r="D2967" i="3"/>
  <c r="C2967" i="3"/>
  <c r="M2966" i="3"/>
  <c r="K2966" i="3"/>
  <c r="G2966" i="3"/>
  <c r="D2966" i="3"/>
  <c r="C2966" i="3"/>
  <c r="M2965" i="3"/>
  <c r="K2965" i="3"/>
  <c r="G2965" i="3"/>
  <c r="D2965" i="3"/>
  <c r="C2965" i="3"/>
  <c r="M2964" i="3"/>
  <c r="K2964" i="3"/>
  <c r="G2964" i="3"/>
  <c r="D2964" i="3"/>
  <c r="C2964" i="3"/>
  <c r="M2963" i="3"/>
  <c r="K2963" i="3"/>
  <c r="G2963" i="3"/>
  <c r="D2963" i="3"/>
  <c r="C2963" i="3"/>
  <c r="M2962" i="3"/>
  <c r="K2962" i="3"/>
  <c r="G2962" i="3"/>
  <c r="D2962" i="3"/>
  <c r="C2962" i="3"/>
  <c r="M2961" i="3"/>
  <c r="K2961" i="3"/>
  <c r="G2961" i="3"/>
  <c r="D2961" i="3"/>
  <c r="C2961" i="3"/>
  <c r="M2960" i="3"/>
  <c r="K2960" i="3"/>
  <c r="G2960" i="3"/>
  <c r="D2960" i="3"/>
  <c r="C2960" i="3"/>
  <c r="M2959" i="3"/>
  <c r="K2959" i="3"/>
  <c r="G2959" i="3"/>
  <c r="D2959" i="3"/>
  <c r="C2959" i="3"/>
  <c r="M2958" i="3"/>
  <c r="K2958" i="3"/>
  <c r="G2958" i="3"/>
  <c r="D2958" i="3"/>
  <c r="C2958" i="3"/>
  <c r="M2957" i="3"/>
  <c r="K2957" i="3"/>
  <c r="G2957" i="3"/>
  <c r="D2957" i="3"/>
  <c r="C2957" i="3"/>
  <c r="M2956" i="3"/>
  <c r="K2956" i="3"/>
  <c r="G2956" i="3"/>
  <c r="D2956" i="3"/>
  <c r="C2956" i="3"/>
  <c r="M2955" i="3"/>
  <c r="K2955" i="3"/>
  <c r="G2955" i="3"/>
  <c r="D2955" i="3"/>
  <c r="C2955" i="3"/>
  <c r="M2954" i="3"/>
  <c r="K2954" i="3"/>
  <c r="G2954" i="3"/>
  <c r="D2954" i="3"/>
  <c r="C2954" i="3"/>
  <c r="M2953" i="3"/>
  <c r="K2953" i="3"/>
  <c r="G2953" i="3"/>
  <c r="D2953" i="3"/>
  <c r="C2953" i="3"/>
  <c r="M2952" i="3"/>
  <c r="K2952" i="3"/>
  <c r="G2952" i="3"/>
  <c r="D2952" i="3"/>
  <c r="C2952" i="3"/>
  <c r="M2951" i="3"/>
  <c r="K2951" i="3"/>
  <c r="G2951" i="3"/>
  <c r="D2951" i="3"/>
  <c r="C2951" i="3"/>
  <c r="M2950" i="3"/>
  <c r="K2950" i="3"/>
  <c r="G2950" i="3"/>
  <c r="D2950" i="3"/>
  <c r="C2950" i="3"/>
  <c r="M2949" i="3"/>
  <c r="K2949" i="3"/>
  <c r="G2949" i="3"/>
  <c r="D2949" i="3"/>
  <c r="C2949" i="3"/>
  <c r="M2948" i="3"/>
  <c r="K2948" i="3"/>
  <c r="G2948" i="3"/>
  <c r="D2948" i="3"/>
  <c r="C2948" i="3"/>
  <c r="M2947" i="3"/>
  <c r="K2947" i="3"/>
  <c r="G2947" i="3"/>
  <c r="D2947" i="3"/>
  <c r="C2947" i="3"/>
  <c r="M2946" i="3"/>
  <c r="K2946" i="3"/>
  <c r="G2946" i="3"/>
  <c r="D2946" i="3"/>
  <c r="C2946" i="3"/>
  <c r="M2945" i="3"/>
  <c r="K2945" i="3"/>
  <c r="G2945" i="3"/>
  <c r="D2945" i="3"/>
  <c r="C2945" i="3"/>
  <c r="M2944" i="3"/>
  <c r="K2944" i="3"/>
  <c r="G2944" i="3"/>
  <c r="D2944" i="3"/>
  <c r="C2944" i="3"/>
  <c r="M2943" i="3"/>
  <c r="K2943" i="3"/>
  <c r="G2943" i="3"/>
  <c r="D2943" i="3"/>
  <c r="C2943" i="3"/>
  <c r="M2942" i="3"/>
  <c r="K2942" i="3"/>
  <c r="G2942" i="3"/>
  <c r="D2942" i="3"/>
  <c r="C2942" i="3"/>
  <c r="M2941" i="3"/>
  <c r="K2941" i="3"/>
  <c r="G2941" i="3"/>
  <c r="D2941" i="3"/>
  <c r="C2941" i="3"/>
  <c r="M2940" i="3"/>
  <c r="K2940" i="3"/>
  <c r="G2940" i="3"/>
  <c r="D2940" i="3"/>
  <c r="C2940" i="3"/>
  <c r="M2939" i="3"/>
  <c r="K2939" i="3"/>
  <c r="G2939" i="3"/>
  <c r="D2939" i="3"/>
  <c r="C2939" i="3"/>
  <c r="M2938" i="3"/>
  <c r="K2938" i="3"/>
  <c r="G2938" i="3"/>
  <c r="D2938" i="3"/>
  <c r="C2938" i="3"/>
  <c r="M2937" i="3"/>
  <c r="K2937" i="3"/>
  <c r="G2937" i="3"/>
  <c r="D2937" i="3"/>
  <c r="C2937" i="3"/>
  <c r="M2936" i="3"/>
  <c r="K2936" i="3"/>
  <c r="G2936" i="3"/>
  <c r="D2936" i="3"/>
  <c r="C2936" i="3"/>
  <c r="M2935" i="3"/>
  <c r="K2935" i="3"/>
  <c r="G2935" i="3"/>
  <c r="D2935" i="3"/>
  <c r="C2935" i="3"/>
  <c r="M2934" i="3"/>
  <c r="K2934" i="3"/>
  <c r="G2934" i="3"/>
  <c r="D2934" i="3"/>
  <c r="C2934" i="3"/>
  <c r="M2933" i="3"/>
  <c r="K2933" i="3"/>
  <c r="G2933" i="3"/>
  <c r="D2933" i="3"/>
  <c r="C2933" i="3"/>
  <c r="M2932" i="3"/>
  <c r="K2932" i="3"/>
  <c r="G2932" i="3"/>
  <c r="D2932" i="3"/>
  <c r="C2932" i="3"/>
  <c r="M2931" i="3"/>
  <c r="K2931" i="3"/>
  <c r="G2931" i="3"/>
  <c r="D2931" i="3"/>
  <c r="C2931" i="3"/>
  <c r="M2930" i="3"/>
  <c r="K2930" i="3"/>
  <c r="G2930" i="3"/>
  <c r="D2930" i="3"/>
  <c r="C2930" i="3"/>
  <c r="M2929" i="3"/>
  <c r="K2929" i="3"/>
  <c r="G2929" i="3"/>
  <c r="D2929" i="3"/>
  <c r="C2929" i="3"/>
  <c r="M2928" i="3"/>
  <c r="K2928" i="3"/>
  <c r="G2928" i="3"/>
  <c r="D2928" i="3"/>
  <c r="C2928" i="3"/>
  <c r="M2927" i="3"/>
  <c r="K2927" i="3"/>
  <c r="G2927" i="3"/>
  <c r="D2927" i="3"/>
  <c r="C2927" i="3"/>
  <c r="M2926" i="3"/>
  <c r="K2926" i="3"/>
  <c r="G2926" i="3"/>
  <c r="D2926" i="3"/>
  <c r="C2926" i="3"/>
  <c r="M2925" i="3"/>
  <c r="K2925" i="3"/>
  <c r="G2925" i="3"/>
  <c r="D2925" i="3"/>
  <c r="C2925" i="3"/>
  <c r="M2924" i="3"/>
  <c r="K2924" i="3"/>
  <c r="G2924" i="3"/>
  <c r="D2924" i="3"/>
  <c r="C2924" i="3"/>
  <c r="M2923" i="3"/>
  <c r="K2923" i="3"/>
  <c r="G2923" i="3"/>
  <c r="D2923" i="3"/>
  <c r="C2923" i="3"/>
  <c r="M2922" i="3"/>
  <c r="K2922" i="3"/>
  <c r="G2922" i="3"/>
  <c r="D2922" i="3"/>
  <c r="C2922" i="3"/>
  <c r="M2921" i="3"/>
  <c r="K2921" i="3"/>
  <c r="G2921" i="3"/>
  <c r="D2921" i="3"/>
  <c r="C2921" i="3"/>
  <c r="M2920" i="3"/>
  <c r="K2920" i="3"/>
  <c r="G2920" i="3"/>
  <c r="D2920" i="3"/>
  <c r="C2920" i="3"/>
  <c r="M2919" i="3"/>
  <c r="K2919" i="3"/>
  <c r="G2919" i="3"/>
  <c r="D2919" i="3"/>
  <c r="C2919" i="3"/>
  <c r="M2918" i="3"/>
  <c r="K2918" i="3"/>
  <c r="G2918" i="3"/>
  <c r="D2918" i="3"/>
  <c r="C2918" i="3"/>
  <c r="M2917" i="3"/>
  <c r="K2917" i="3"/>
  <c r="G2917" i="3"/>
  <c r="D2917" i="3"/>
  <c r="C2917" i="3"/>
  <c r="M2916" i="3"/>
  <c r="K2916" i="3"/>
  <c r="G2916" i="3"/>
  <c r="D2916" i="3"/>
  <c r="C2916" i="3"/>
  <c r="M2915" i="3"/>
  <c r="K2915" i="3"/>
  <c r="G2915" i="3"/>
  <c r="D2915" i="3"/>
  <c r="C2915" i="3"/>
  <c r="M2914" i="3"/>
  <c r="K2914" i="3"/>
  <c r="G2914" i="3"/>
  <c r="D2914" i="3"/>
  <c r="C2914" i="3"/>
  <c r="M2913" i="3"/>
  <c r="K2913" i="3"/>
  <c r="G2913" i="3"/>
  <c r="D2913" i="3"/>
  <c r="C2913" i="3"/>
  <c r="M2912" i="3"/>
  <c r="K2912" i="3"/>
  <c r="G2912" i="3"/>
  <c r="D2912" i="3"/>
  <c r="C2912" i="3"/>
  <c r="M2911" i="3"/>
  <c r="K2911" i="3"/>
  <c r="G2911" i="3"/>
  <c r="D2911" i="3"/>
  <c r="C2911" i="3"/>
  <c r="M2910" i="3"/>
  <c r="K2910" i="3"/>
  <c r="G2910" i="3"/>
  <c r="D2910" i="3"/>
  <c r="C2910" i="3"/>
  <c r="M2909" i="3"/>
  <c r="K2909" i="3"/>
  <c r="G2909" i="3"/>
  <c r="D2909" i="3"/>
  <c r="C2909" i="3"/>
  <c r="M2908" i="3"/>
  <c r="K2908" i="3"/>
  <c r="G2908" i="3"/>
  <c r="D2908" i="3"/>
  <c r="C2908" i="3"/>
  <c r="M2907" i="3"/>
  <c r="K2907" i="3"/>
  <c r="G2907" i="3"/>
  <c r="D2907" i="3"/>
  <c r="C2907" i="3"/>
  <c r="M2906" i="3"/>
  <c r="K2906" i="3"/>
  <c r="G2906" i="3"/>
  <c r="D2906" i="3"/>
  <c r="C2906" i="3"/>
  <c r="M2905" i="3"/>
  <c r="K2905" i="3"/>
  <c r="G2905" i="3"/>
  <c r="D2905" i="3"/>
  <c r="C2905" i="3"/>
  <c r="M2904" i="3"/>
  <c r="K2904" i="3"/>
  <c r="G2904" i="3"/>
  <c r="D2904" i="3"/>
  <c r="C2904" i="3"/>
  <c r="M2903" i="3"/>
  <c r="K2903" i="3"/>
  <c r="G2903" i="3"/>
  <c r="D2903" i="3"/>
  <c r="C2903" i="3"/>
  <c r="M2902" i="3"/>
  <c r="K2902" i="3"/>
  <c r="G2902" i="3"/>
  <c r="D2902" i="3"/>
  <c r="C2902" i="3"/>
  <c r="M2901" i="3"/>
  <c r="K2901" i="3"/>
  <c r="G2901" i="3"/>
  <c r="D2901" i="3"/>
  <c r="C2901" i="3"/>
  <c r="M2900" i="3"/>
  <c r="K2900" i="3"/>
  <c r="G2900" i="3"/>
  <c r="D2900" i="3"/>
  <c r="C2900" i="3"/>
  <c r="M2899" i="3"/>
  <c r="K2899" i="3"/>
  <c r="G2899" i="3"/>
  <c r="D2899" i="3"/>
  <c r="C2899" i="3"/>
  <c r="M2898" i="3"/>
  <c r="K2898" i="3"/>
  <c r="G2898" i="3"/>
  <c r="D2898" i="3"/>
  <c r="C2898" i="3"/>
  <c r="M2897" i="3"/>
  <c r="K2897" i="3"/>
  <c r="G2897" i="3"/>
  <c r="D2897" i="3"/>
  <c r="C2897" i="3"/>
  <c r="M2896" i="3"/>
  <c r="K2896" i="3"/>
  <c r="G2896" i="3"/>
  <c r="D2896" i="3"/>
  <c r="C2896" i="3"/>
  <c r="M2895" i="3"/>
  <c r="K2895" i="3"/>
  <c r="G2895" i="3"/>
  <c r="D2895" i="3"/>
  <c r="C2895" i="3"/>
  <c r="M2894" i="3"/>
  <c r="K2894" i="3"/>
  <c r="G2894" i="3"/>
  <c r="D2894" i="3"/>
  <c r="C2894" i="3"/>
  <c r="M2893" i="3"/>
  <c r="K2893" i="3"/>
  <c r="G2893" i="3"/>
  <c r="D2893" i="3"/>
  <c r="C2893" i="3"/>
  <c r="M2892" i="3"/>
  <c r="K2892" i="3"/>
  <c r="G2892" i="3"/>
  <c r="D2892" i="3"/>
  <c r="C2892" i="3"/>
  <c r="M2891" i="3"/>
  <c r="K2891" i="3"/>
  <c r="G2891" i="3"/>
  <c r="D2891" i="3"/>
  <c r="C2891" i="3"/>
  <c r="M2890" i="3"/>
  <c r="K2890" i="3"/>
  <c r="G2890" i="3"/>
  <c r="D2890" i="3"/>
  <c r="C2890" i="3"/>
  <c r="M2889" i="3"/>
  <c r="K2889" i="3"/>
  <c r="G2889" i="3"/>
  <c r="D2889" i="3"/>
  <c r="C2889" i="3"/>
  <c r="M2888" i="3"/>
  <c r="K2888" i="3"/>
  <c r="G2888" i="3"/>
  <c r="D2888" i="3"/>
  <c r="C2888" i="3"/>
  <c r="M2887" i="3"/>
  <c r="K2887" i="3"/>
  <c r="G2887" i="3"/>
  <c r="D2887" i="3"/>
  <c r="C2887" i="3"/>
  <c r="M2886" i="3"/>
  <c r="K2886" i="3"/>
  <c r="G2886" i="3"/>
  <c r="D2886" i="3"/>
  <c r="C2886" i="3"/>
  <c r="M2885" i="3"/>
  <c r="K2885" i="3"/>
  <c r="G2885" i="3"/>
  <c r="D2885" i="3"/>
  <c r="C2885" i="3"/>
  <c r="M2884" i="3"/>
  <c r="K2884" i="3"/>
  <c r="G2884" i="3"/>
  <c r="D2884" i="3"/>
  <c r="C2884" i="3"/>
  <c r="M2883" i="3"/>
  <c r="K2883" i="3"/>
  <c r="G2883" i="3"/>
  <c r="D2883" i="3"/>
  <c r="C2883" i="3"/>
  <c r="M2882" i="3"/>
  <c r="K2882" i="3"/>
  <c r="G2882" i="3"/>
  <c r="D2882" i="3"/>
  <c r="C2882" i="3"/>
  <c r="M2881" i="3"/>
  <c r="K2881" i="3"/>
  <c r="G2881" i="3"/>
  <c r="D2881" i="3"/>
  <c r="C2881" i="3"/>
  <c r="M2880" i="3"/>
  <c r="K2880" i="3"/>
  <c r="G2880" i="3"/>
  <c r="D2880" i="3"/>
  <c r="C2880" i="3"/>
  <c r="M2879" i="3"/>
  <c r="K2879" i="3"/>
  <c r="G2879" i="3"/>
  <c r="D2879" i="3"/>
  <c r="C2879" i="3"/>
  <c r="M2878" i="3"/>
  <c r="K2878" i="3"/>
  <c r="G2878" i="3"/>
  <c r="D2878" i="3"/>
  <c r="C2878" i="3"/>
  <c r="M2877" i="3"/>
  <c r="K2877" i="3"/>
  <c r="G2877" i="3"/>
  <c r="D2877" i="3"/>
  <c r="C2877" i="3"/>
  <c r="M2876" i="3"/>
  <c r="K2876" i="3"/>
  <c r="G2876" i="3"/>
  <c r="D2876" i="3"/>
  <c r="C2876" i="3"/>
  <c r="M2875" i="3"/>
  <c r="K2875" i="3"/>
  <c r="G2875" i="3"/>
  <c r="D2875" i="3"/>
  <c r="C2875" i="3"/>
  <c r="M2874" i="3"/>
  <c r="K2874" i="3"/>
  <c r="G2874" i="3"/>
  <c r="D2874" i="3"/>
  <c r="C2874" i="3"/>
  <c r="M2873" i="3"/>
  <c r="K2873" i="3"/>
  <c r="G2873" i="3"/>
  <c r="D2873" i="3"/>
  <c r="C2873" i="3"/>
  <c r="M2872" i="3"/>
  <c r="K2872" i="3"/>
  <c r="G2872" i="3"/>
  <c r="D2872" i="3"/>
  <c r="C2872" i="3"/>
  <c r="M2871" i="3"/>
  <c r="K2871" i="3"/>
  <c r="G2871" i="3"/>
  <c r="D2871" i="3"/>
  <c r="C2871" i="3"/>
  <c r="M2870" i="3"/>
  <c r="K2870" i="3"/>
  <c r="G2870" i="3"/>
  <c r="D2870" i="3"/>
  <c r="C2870" i="3"/>
  <c r="M2869" i="3"/>
  <c r="K2869" i="3"/>
  <c r="G2869" i="3"/>
  <c r="D2869" i="3"/>
  <c r="C2869" i="3"/>
  <c r="M2868" i="3"/>
  <c r="K2868" i="3"/>
  <c r="G2868" i="3"/>
  <c r="D2868" i="3"/>
  <c r="C2868" i="3"/>
  <c r="M2867" i="3"/>
  <c r="K2867" i="3"/>
  <c r="G2867" i="3"/>
  <c r="D2867" i="3"/>
  <c r="C2867" i="3"/>
  <c r="M2866" i="3"/>
  <c r="K2866" i="3"/>
  <c r="G2866" i="3"/>
  <c r="D2866" i="3"/>
  <c r="C2866" i="3"/>
  <c r="M2865" i="3"/>
  <c r="K2865" i="3"/>
  <c r="G2865" i="3"/>
  <c r="D2865" i="3"/>
  <c r="C2865" i="3"/>
  <c r="M2864" i="3"/>
  <c r="K2864" i="3"/>
  <c r="G2864" i="3"/>
  <c r="D2864" i="3"/>
  <c r="C2864" i="3"/>
  <c r="M2863" i="3"/>
  <c r="K2863" i="3"/>
  <c r="G2863" i="3"/>
  <c r="D2863" i="3"/>
  <c r="C2863" i="3"/>
  <c r="M2862" i="3"/>
  <c r="K2862" i="3"/>
  <c r="G2862" i="3"/>
  <c r="D2862" i="3"/>
  <c r="C2862" i="3"/>
  <c r="M2861" i="3"/>
  <c r="K2861" i="3"/>
  <c r="G2861" i="3"/>
  <c r="D2861" i="3"/>
  <c r="C2861" i="3"/>
  <c r="M2860" i="3"/>
  <c r="K2860" i="3"/>
  <c r="G2860" i="3"/>
  <c r="D2860" i="3"/>
  <c r="C2860" i="3"/>
  <c r="M2859" i="3"/>
  <c r="K2859" i="3"/>
  <c r="G2859" i="3"/>
  <c r="D2859" i="3"/>
  <c r="C2859" i="3"/>
  <c r="M2858" i="3"/>
  <c r="K2858" i="3"/>
  <c r="G2858" i="3"/>
  <c r="D2858" i="3"/>
  <c r="C2858" i="3"/>
  <c r="M2857" i="3"/>
  <c r="K2857" i="3"/>
  <c r="G2857" i="3"/>
  <c r="D2857" i="3"/>
  <c r="C2857" i="3"/>
  <c r="M2856" i="3"/>
  <c r="K2856" i="3"/>
  <c r="G2856" i="3"/>
  <c r="D2856" i="3"/>
  <c r="C2856" i="3"/>
  <c r="M2855" i="3"/>
  <c r="K2855" i="3"/>
  <c r="G2855" i="3"/>
  <c r="D2855" i="3"/>
  <c r="C2855" i="3"/>
  <c r="M2854" i="3"/>
  <c r="K2854" i="3"/>
  <c r="G2854" i="3"/>
  <c r="D2854" i="3"/>
  <c r="C2854" i="3"/>
  <c r="M2853" i="3"/>
  <c r="K2853" i="3"/>
  <c r="G2853" i="3"/>
  <c r="D2853" i="3"/>
  <c r="C2853" i="3"/>
  <c r="M2852" i="3"/>
  <c r="K2852" i="3"/>
  <c r="G2852" i="3"/>
  <c r="D2852" i="3"/>
  <c r="C2852" i="3"/>
  <c r="M2851" i="3"/>
  <c r="K2851" i="3"/>
  <c r="G2851" i="3"/>
  <c r="D2851" i="3"/>
  <c r="C2851" i="3"/>
  <c r="M2850" i="3"/>
  <c r="K2850" i="3"/>
  <c r="G2850" i="3"/>
  <c r="D2850" i="3"/>
  <c r="C2850" i="3"/>
  <c r="M2849" i="3"/>
  <c r="K2849" i="3"/>
  <c r="G2849" i="3"/>
  <c r="D2849" i="3"/>
  <c r="C2849" i="3"/>
  <c r="M2848" i="3"/>
  <c r="K2848" i="3"/>
  <c r="G2848" i="3"/>
  <c r="D2848" i="3"/>
  <c r="C2848" i="3"/>
  <c r="M2847" i="3"/>
  <c r="K2847" i="3"/>
  <c r="G2847" i="3"/>
  <c r="D2847" i="3"/>
  <c r="C2847" i="3"/>
  <c r="M2846" i="3"/>
  <c r="K2846" i="3"/>
  <c r="G2846" i="3"/>
  <c r="D2846" i="3"/>
  <c r="C2846" i="3"/>
  <c r="M2845" i="3"/>
  <c r="K2845" i="3"/>
  <c r="G2845" i="3"/>
  <c r="D2845" i="3"/>
  <c r="C2845" i="3"/>
  <c r="M2844" i="3"/>
  <c r="K2844" i="3"/>
  <c r="G2844" i="3"/>
  <c r="D2844" i="3"/>
  <c r="C2844" i="3"/>
  <c r="M2843" i="3"/>
  <c r="K2843" i="3"/>
  <c r="G2843" i="3"/>
  <c r="D2843" i="3"/>
  <c r="C2843" i="3"/>
  <c r="M2842" i="3"/>
  <c r="K2842" i="3"/>
  <c r="G2842" i="3"/>
  <c r="D2842" i="3"/>
  <c r="C2842" i="3"/>
  <c r="M2841" i="3"/>
  <c r="K2841" i="3"/>
  <c r="G2841" i="3"/>
  <c r="D2841" i="3"/>
  <c r="C2841" i="3"/>
  <c r="M2840" i="3"/>
  <c r="K2840" i="3"/>
  <c r="G2840" i="3"/>
  <c r="D2840" i="3"/>
  <c r="C2840" i="3"/>
  <c r="M2839" i="3"/>
  <c r="K2839" i="3"/>
  <c r="G2839" i="3"/>
  <c r="D2839" i="3"/>
  <c r="C2839" i="3"/>
  <c r="M2838" i="3"/>
  <c r="K2838" i="3"/>
  <c r="G2838" i="3"/>
  <c r="D2838" i="3"/>
  <c r="C2838" i="3"/>
  <c r="M2837" i="3"/>
  <c r="K2837" i="3"/>
  <c r="G2837" i="3"/>
  <c r="D2837" i="3"/>
  <c r="C2837" i="3"/>
  <c r="M2836" i="3"/>
  <c r="K2836" i="3"/>
  <c r="G2836" i="3"/>
  <c r="D2836" i="3"/>
  <c r="C2836" i="3"/>
  <c r="M2835" i="3"/>
  <c r="K2835" i="3"/>
  <c r="G2835" i="3"/>
  <c r="D2835" i="3"/>
  <c r="C2835" i="3"/>
  <c r="M2834" i="3"/>
  <c r="K2834" i="3"/>
  <c r="G2834" i="3"/>
  <c r="D2834" i="3"/>
  <c r="C2834" i="3"/>
  <c r="M2833" i="3"/>
  <c r="K2833" i="3"/>
  <c r="G2833" i="3"/>
  <c r="D2833" i="3"/>
  <c r="C2833" i="3"/>
  <c r="M2832" i="3"/>
  <c r="K2832" i="3"/>
  <c r="G2832" i="3"/>
  <c r="D2832" i="3"/>
  <c r="C2832" i="3"/>
  <c r="M2831" i="3"/>
  <c r="K2831" i="3"/>
  <c r="G2831" i="3"/>
  <c r="D2831" i="3"/>
  <c r="C2831" i="3"/>
  <c r="M2830" i="3"/>
  <c r="K2830" i="3"/>
  <c r="G2830" i="3"/>
  <c r="D2830" i="3"/>
  <c r="C2830" i="3"/>
  <c r="M2829" i="3"/>
  <c r="K2829" i="3"/>
  <c r="G2829" i="3"/>
  <c r="D2829" i="3"/>
  <c r="C2829" i="3"/>
  <c r="M2828" i="3"/>
  <c r="K2828" i="3"/>
  <c r="G2828" i="3"/>
  <c r="D2828" i="3"/>
  <c r="C2828" i="3"/>
  <c r="M2827" i="3"/>
  <c r="K2827" i="3"/>
  <c r="G2827" i="3"/>
  <c r="D2827" i="3"/>
  <c r="C2827" i="3"/>
  <c r="M2826" i="3"/>
  <c r="K2826" i="3"/>
  <c r="G2826" i="3"/>
  <c r="D2826" i="3"/>
  <c r="C2826" i="3"/>
  <c r="M2825" i="3"/>
  <c r="K2825" i="3"/>
  <c r="G2825" i="3"/>
  <c r="D2825" i="3"/>
  <c r="C2825" i="3"/>
  <c r="M2824" i="3"/>
  <c r="K2824" i="3"/>
  <c r="G2824" i="3"/>
  <c r="D2824" i="3"/>
  <c r="C2824" i="3"/>
  <c r="M2823" i="3"/>
  <c r="K2823" i="3"/>
  <c r="G2823" i="3"/>
  <c r="D2823" i="3"/>
  <c r="C2823" i="3"/>
  <c r="M2822" i="3"/>
  <c r="K2822" i="3"/>
  <c r="G2822" i="3"/>
  <c r="D2822" i="3"/>
  <c r="C2822" i="3"/>
  <c r="M2821" i="3"/>
  <c r="K2821" i="3"/>
  <c r="G2821" i="3"/>
  <c r="D2821" i="3"/>
  <c r="C2821" i="3"/>
  <c r="M2820" i="3"/>
  <c r="K2820" i="3"/>
  <c r="G2820" i="3"/>
  <c r="D2820" i="3"/>
  <c r="C2820" i="3"/>
  <c r="M2819" i="3"/>
  <c r="K2819" i="3"/>
  <c r="G2819" i="3"/>
  <c r="D2819" i="3"/>
  <c r="C2819" i="3"/>
  <c r="M2818" i="3"/>
  <c r="K2818" i="3"/>
  <c r="G2818" i="3"/>
  <c r="D2818" i="3"/>
  <c r="C2818" i="3"/>
  <c r="M2817" i="3"/>
  <c r="K2817" i="3"/>
  <c r="G2817" i="3"/>
  <c r="D2817" i="3"/>
  <c r="C2817" i="3"/>
  <c r="M2816" i="3"/>
  <c r="K2816" i="3"/>
  <c r="G2816" i="3"/>
  <c r="D2816" i="3"/>
  <c r="C2816" i="3"/>
  <c r="M2815" i="3"/>
  <c r="K2815" i="3"/>
  <c r="G2815" i="3"/>
  <c r="D2815" i="3"/>
  <c r="C2815" i="3"/>
  <c r="M2814" i="3"/>
  <c r="K2814" i="3"/>
  <c r="G2814" i="3"/>
  <c r="D2814" i="3"/>
  <c r="C2814" i="3"/>
  <c r="M2813" i="3"/>
  <c r="K2813" i="3"/>
  <c r="G2813" i="3"/>
  <c r="D2813" i="3"/>
  <c r="C2813" i="3"/>
  <c r="M2812" i="3"/>
  <c r="K2812" i="3"/>
  <c r="G2812" i="3"/>
  <c r="D2812" i="3"/>
  <c r="C2812" i="3"/>
  <c r="M2811" i="3"/>
  <c r="K2811" i="3"/>
  <c r="G2811" i="3"/>
  <c r="D2811" i="3"/>
  <c r="C2811" i="3"/>
  <c r="M2810" i="3"/>
  <c r="K2810" i="3"/>
  <c r="G2810" i="3"/>
  <c r="D2810" i="3"/>
  <c r="C2810" i="3"/>
  <c r="M2809" i="3"/>
  <c r="K2809" i="3"/>
  <c r="G2809" i="3"/>
  <c r="D2809" i="3"/>
  <c r="C2809" i="3"/>
  <c r="M2808" i="3"/>
  <c r="K2808" i="3"/>
  <c r="G2808" i="3"/>
  <c r="D2808" i="3"/>
  <c r="C2808" i="3"/>
  <c r="M2807" i="3"/>
  <c r="K2807" i="3"/>
  <c r="G2807" i="3"/>
  <c r="D2807" i="3"/>
  <c r="C2807" i="3"/>
  <c r="M2806" i="3"/>
  <c r="K2806" i="3"/>
  <c r="G2806" i="3"/>
  <c r="D2806" i="3"/>
  <c r="C2806" i="3"/>
  <c r="M2805" i="3"/>
  <c r="K2805" i="3"/>
  <c r="G2805" i="3"/>
  <c r="D2805" i="3"/>
  <c r="C2805" i="3"/>
  <c r="M2804" i="3"/>
  <c r="K2804" i="3"/>
  <c r="G2804" i="3"/>
  <c r="D2804" i="3"/>
  <c r="C2804" i="3"/>
  <c r="M2803" i="3"/>
  <c r="K2803" i="3"/>
  <c r="G2803" i="3"/>
  <c r="D2803" i="3"/>
  <c r="C2803" i="3"/>
  <c r="M2802" i="3"/>
  <c r="K2802" i="3"/>
  <c r="G2802" i="3"/>
  <c r="D2802" i="3"/>
  <c r="C2802" i="3"/>
  <c r="M2801" i="3"/>
  <c r="K2801" i="3"/>
  <c r="G2801" i="3"/>
  <c r="D2801" i="3"/>
  <c r="C2801" i="3"/>
  <c r="M2800" i="3"/>
  <c r="K2800" i="3"/>
  <c r="G2800" i="3"/>
  <c r="D2800" i="3"/>
  <c r="C2800" i="3"/>
  <c r="M2799" i="3"/>
  <c r="K2799" i="3"/>
  <c r="G2799" i="3"/>
  <c r="D2799" i="3"/>
  <c r="C2799" i="3"/>
  <c r="M2798" i="3"/>
  <c r="K2798" i="3"/>
  <c r="G2798" i="3"/>
  <c r="D2798" i="3"/>
  <c r="C2798" i="3"/>
  <c r="M2797" i="3"/>
  <c r="K2797" i="3"/>
  <c r="G2797" i="3"/>
  <c r="D2797" i="3"/>
  <c r="C2797" i="3"/>
  <c r="M2796" i="3"/>
  <c r="K2796" i="3"/>
  <c r="G2796" i="3"/>
  <c r="D2796" i="3"/>
  <c r="C2796" i="3"/>
  <c r="M2795" i="3"/>
  <c r="K2795" i="3"/>
  <c r="G2795" i="3"/>
  <c r="D2795" i="3"/>
  <c r="C2795" i="3"/>
  <c r="M2794" i="3"/>
  <c r="K2794" i="3"/>
  <c r="G2794" i="3"/>
  <c r="D2794" i="3"/>
  <c r="C2794" i="3"/>
  <c r="M2793" i="3"/>
  <c r="K2793" i="3"/>
  <c r="G2793" i="3"/>
  <c r="D2793" i="3"/>
  <c r="C2793" i="3"/>
  <c r="M2792" i="3"/>
  <c r="K2792" i="3"/>
  <c r="G2792" i="3"/>
  <c r="D2792" i="3"/>
  <c r="C2792" i="3"/>
  <c r="M2791" i="3"/>
  <c r="K2791" i="3"/>
  <c r="G2791" i="3"/>
  <c r="D2791" i="3"/>
  <c r="C2791" i="3"/>
  <c r="M2790" i="3"/>
  <c r="K2790" i="3"/>
  <c r="G2790" i="3"/>
  <c r="D2790" i="3"/>
  <c r="C2790" i="3"/>
  <c r="M2789" i="3"/>
  <c r="K2789" i="3"/>
  <c r="G2789" i="3"/>
  <c r="D2789" i="3"/>
  <c r="C2789" i="3"/>
  <c r="M2788" i="3"/>
  <c r="K2788" i="3"/>
  <c r="G2788" i="3"/>
  <c r="D2788" i="3"/>
  <c r="C2788" i="3"/>
  <c r="M2787" i="3"/>
  <c r="K2787" i="3"/>
  <c r="G2787" i="3"/>
  <c r="D2787" i="3"/>
  <c r="C2787" i="3"/>
  <c r="M2786" i="3"/>
  <c r="K2786" i="3"/>
  <c r="G2786" i="3"/>
  <c r="D2786" i="3"/>
  <c r="C2786" i="3"/>
  <c r="M2785" i="3"/>
  <c r="K2785" i="3"/>
  <c r="G2785" i="3"/>
  <c r="D2785" i="3"/>
  <c r="C2785" i="3"/>
  <c r="M2784" i="3"/>
  <c r="K2784" i="3"/>
  <c r="G2784" i="3"/>
  <c r="D2784" i="3"/>
  <c r="C2784" i="3"/>
  <c r="M2783" i="3"/>
  <c r="K2783" i="3"/>
  <c r="G2783" i="3"/>
  <c r="D2783" i="3"/>
  <c r="C2783" i="3"/>
  <c r="M2782" i="3"/>
  <c r="K2782" i="3"/>
  <c r="G2782" i="3"/>
  <c r="D2782" i="3"/>
  <c r="C2782" i="3"/>
  <c r="M2781" i="3"/>
  <c r="K2781" i="3"/>
  <c r="G2781" i="3"/>
  <c r="D2781" i="3"/>
  <c r="C2781" i="3"/>
  <c r="M2780" i="3"/>
  <c r="K2780" i="3"/>
  <c r="G2780" i="3"/>
  <c r="D2780" i="3"/>
  <c r="C2780" i="3"/>
  <c r="M2779" i="3"/>
  <c r="K2779" i="3"/>
  <c r="G2779" i="3"/>
  <c r="D2779" i="3"/>
  <c r="C2779" i="3"/>
  <c r="M2778" i="3"/>
  <c r="K2778" i="3"/>
  <c r="G2778" i="3"/>
  <c r="D2778" i="3"/>
  <c r="C2778" i="3"/>
  <c r="M2777" i="3"/>
  <c r="K2777" i="3"/>
  <c r="G2777" i="3"/>
  <c r="D2777" i="3"/>
  <c r="C2777" i="3"/>
  <c r="M2776" i="3"/>
  <c r="K2776" i="3"/>
  <c r="G2776" i="3"/>
  <c r="D2776" i="3"/>
  <c r="C2776" i="3"/>
  <c r="M2775" i="3"/>
  <c r="K2775" i="3"/>
  <c r="G2775" i="3"/>
  <c r="D2775" i="3"/>
  <c r="C2775" i="3"/>
  <c r="M2774" i="3"/>
  <c r="K2774" i="3"/>
  <c r="G2774" i="3"/>
  <c r="D2774" i="3"/>
  <c r="C2774" i="3"/>
  <c r="M2773" i="3"/>
  <c r="K2773" i="3"/>
  <c r="G2773" i="3"/>
  <c r="D2773" i="3"/>
  <c r="C2773" i="3"/>
  <c r="M2772" i="3"/>
  <c r="K2772" i="3"/>
  <c r="G2772" i="3"/>
  <c r="D2772" i="3"/>
  <c r="C2772" i="3"/>
  <c r="M2771" i="3"/>
  <c r="K2771" i="3"/>
  <c r="G2771" i="3"/>
  <c r="D2771" i="3"/>
  <c r="C2771" i="3"/>
  <c r="M2770" i="3"/>
  <c r="K2770" i="3"/>
  <c r="G2770" i="3"/>
  <c r="D2770" i="3"/>
  <c r="C2770" i="3"/>
  <c r="M2769" i="3"/>
  <c r="K2769" i="3"/>
  <c r="G2769" i="3"/>
  <c r="D2769" i="3"/>
  <c r="C2769" i="3"/>
  <c r="M2768" i="3"/>
  <c r="K2768" i="3"/>
  <c r="G2768" i="3"/>
  <c r="D2768" i="3"/>
  <c r="C2768" i="3"/>
  <c r="M2767" i="3"/>
  <c r="K2767" i="3"/>
  <c r="G2767" i="3"/>
  <c r="D2767" i="3"/>
  <c r="C2767" i="3"/>
  <c r="M2766" i="3"/>
  <c r="K2766" i="3"/>
  <c r="G2766" i="3"/>
  <c r="D2766" i="3"/>
  <c r="C2766" i="3"/>
  <c r="M2765" i="3"/>
  <c r="K2765" i="3"/>
  <c r="G2765" i="3"/>
  <c r="D2765" i="3"/>
  <c r="C2765" i="3"/>
  <c r="M2764" i="3"/>
  <c r="K2764" i="3"/>
  <c r="G2764" i="3"/>
  <c r="D2764" i="3"/>
  <c r="C2764" i="3"/>
  <c r="M2763" i="3"/>
  <c r="K2763" i="3"/>
  <c r="G2763" i="3"/>
  <c r="D2763" i="3"/>
  <c r="C2763" i="3"/>
  <c r="M2762" i="3"/>
  <c r="K2762" i="3"/>
  <c r="G2762" i="3"/>
  <c r="D2762" i="3"/>
  <c r="C2762" i="3"/>
  <c r="M2761" i="3"/>
  <c r="K2761" i="3"/>
  <c r="G2761" i="3"/>
  <c r="D2761" i="3"/>
  <c r="C2761" i="3"/>
  <c r="M2760" i="3"/>
  <c r="K2760" i="3"/>
  <c r="G2760" i="3"/>
  <c r="D2760" i="3"/>
  <c r="C2760" i="3"/>
  <c r="M2759" i="3"/>
  <c r="K2759" i="3"/>
  <c r="G2759" i="3"/>
  <c r="D2759" i="3"/>
  <c r="C2759" i="3"/>
  <c r="M2758" i="3"/>
  <c r="K2758" i="3"/>
  <c r="G2758" i="3"/>
  <c r="D2758" i="3"/>
  <c r="C2758" i="3"/>
  <c r="M2757" i="3"/>
  <c r="K2757" i="3"/>
  <c r="G2757" i="3"/>
  <c r="D2757" i="3"/>
  <c r="C2757" i="3"/>
  <c r="M2756" i="3"/>
  <c r="K2756" i="3"/>
  <c r="G2756" i="3"/>
  <c r="D2756" i="3"/>
  <c r="C2756" i="3"/>
  <c r="M2755" i="3"/>
  <c r="K2755" i="3"/>
  <c r="G2755" i="3"/>
  <c r="D2755" i="3"/>
  <c r="C2755" i="3"/>
  <c r="M2754" i="3"/>
  <c r="K2754" i="3"/>
  <c r="G2754" i="3"/>
  <c r="D2754" i="3"/>
  <c r="C2754" i="3"/>
  <c r="M2753" i="3"/>
  <c r="K2753" i="3"/>
  <c r="G2753" i="3"/>
  <c r="D2753" i="3"/>
  <c r="C2753" i="3"/>
  <c r="M2752" i="3"/>
  <c r="K2752" i="3"/>
  <c r="G2752" i="3"/>
  <c r="D2752" i="3"/>
  <c r="C2752" i="3"/>
  <c r="M2751" i="3"/>
  <c r="K2751" i="3"/>
  <c r="G2751" i="3"/>
  <c r="D2751" i="3"/>
  <c r="C2751" i="3"/>
  <c r="M2750" i="3"/>
  <c r="K2750" i="3"/>
  <c r="G2750" i="3"/>
  <c r="D2750" i="3"/>
  <c r="C2750" i="3"/>
  <c r="M2749" i="3"/>
  <c r="K2749" i="3"/>
  <c r="G2749" i="3"/>
  <c r="D2749" i="3"/>
  <c r="C2749" i="3"/>
  <c r="M2748" i="3"/>
  <c r="K2748" i="3"/>
  <c r="G2748" i="3"/>
  <c r="D2748" i="3"/>
  <c r="C2748" i="3"/>
  <c r="M2747" i="3"/>
  <c r="K2747" i="3"/>
  <c r="G2747" i="3"/>
  <c r="D2747" i="3"/>
  <c r="C2747" i="3"/>
  <c r="M2746" i="3"/>
  <c r="K2746" i="3"/>
  <c r="G2746" i="3"/>
  <c r="D2746" i="3"/>
  <c r="C2746" i="3"/>
  <c r="M2745" i="3"/>
  <c r="K2745" i="3"/>
  <c r="G2745" i="3"/>
  <c r="D2745" i="3"/>
  <c r="C2745" i="3"/>
  <c r="M2744" i="3"/>
  <c r="K2744" i="3"/>
  <c r="G2744" i="3"/>
  <c r="D2744" i="3"/>
  <c r="C2744" i="3"/>
  <c r="M2743" i="3"/>
  <c r="K2743" i="3"/>
  <c r="G2743" i="3"/>
  <c r="D2743" i="3"/>
  <c r="C2743" i="3"/>
  <c r="M2742" i="3"/>
  <c r="K2742" i="3"/>
  <c r="G2742" i="3"/>
  <c r="D2742" i="3"/>
  <c r="C2742" i="3"/>
  <c r="M2741" i="3"/>
  <c r="K2741" i="3"/>
  <c r="G2741" i="3"/>
  <c r="D2741" i="3"/>
  <c r="C2741" i="3"/>
  <c r="M2740" i="3"/>
  <c r="K2740" i="3"/>
  <c r="G2740" i="3"/>
  <c r="D2740" i="3"/>
  <c r="C2740" i="3"/>
  <c r="M2739" i="3"/>
  <c r="K2739" i="3"/>
  <c r="G2739" i="3"/>
  <c r="D2739" i="3"/>
  <c r="C2739" i="3"/>
  <c r="M2738" i="3"/>
  <c r="K2738" i="3"/>
  <c r="G2738" i="3"/>
  <c r="D2738" i="3"/>
  <c r="C2738" i="3"/>
  <c r="M2737" i="3"/>
  <c r="K2737" i="3"/>
  <c r="G2737" i="3"/>
  <c r="D2737" i="3"/>
  <c r="C2737" i="3"/>
  <c r="M2736" i="3"/>
  <c r="K2736" i="3"/>
  <c r="G2736" i="3"/>
  <c r="D2736" i="3"/>
  <c r="C2736" i="3"/>
  <c r="M2735" i="3"/>
  <c r="K2735" i="3"/>
  <c r="G2735" i="3"/>
  <c r="D2735" i="3"/>
  <c r="C2735" i="3"/>
  <c r="M2734" i="3"/>
  <c r="K2734" i="3"/>
  <c r="G2734" i="3"/>
  <c r="D2734" i="3"/>
  <c r="C2734" i="3"/>
  <c r="M2733" i="3"/>
  <c r="K2733" i="3"/>
  <c r="G2733" i="3"/>
  <c r="D2733" i="3"/>
  <c r="C2733" i="3"/>
  <c r="M2732" i="3"/>
  <c r="K2732" i="3"/>
  <c r="G2732" i="3"/>
  <c r="D2732" i="3"/>
  <c r="C2732" i="3"/>
  <c r="M2731" i="3"/>
  <c r="K2731" i="3"/>
  <c r="G2731" i="3"/>
  <c r="D2731" i="3"/>
  <c r="C2731" i="3"/>
  <c r="M2730" i="3"/>
  <c r="K2730" i="3"/>
  <c r="G2730" i="3"/>
  <c r="D2730" i="3"/>
  <c r="C2730" i="3"/>
  <c r="M2729" i="3"/>
  <c r="K2729" i="3"/>
  <c r="G2729" i="3"/>
  <c r="D2729" i="3"/>
  <c r="C2729" i="3"/>
  <c r="M2728" i="3"/>
  <c r="K2728" i="3"/>
  <c r="G2728" i="3"/>
  <c r="D2728" i="3"/>
  <c r="C2728" i="3"/>
  <c r="M2727" i="3"/>
  <c r="K2727" i="3"/>
  <c r="G2727" i="3"/>
  <c r="D2727" i="3"/>
  <c r="C2727" i="3"/>
  <c r="M2726" i="3"/>
  <c r="K2726" i="3"/>
  <c r="G2726" i="3"/>
  <c r="D2726" i="3"/>
  <c r="C2726" i="3"/>
  <c r="M2725" i="3"/>
  <c r="K2725" i="3"/>
  <c r="G2725" i="3"/>
  <c r="D2725" i="3"/>
  <c r="C2725" i="3"/>
  <c r="M2724" i="3"/>
  <c r="K2724" i="3"/>
  <c r="G2724" i="3"/>
  <c r="D2724" i="3"/>
  <c r="C2724" i="3"/>
  <c r="M2723" i="3"/>
  <c r="K2723" i="3"/>
  <c r="G2723" i="3"/>
  <c r="D2723" i="3"/>
  <c r="C2723" i="3"/>
  <c r="M2722" i="3"/>
  <c r="K2722" i="3"/>
  <c r="G2722" i="3"/>
  <c r="D2722" i="3"/>
  <c r="C2722" i="3"/>
  <c r="M2721" i="3"/>
  <c r="K2721" i="3"/>
  <c r="G2721" i="3"/>
  <c r="D2721" i="3"/>
  <c r="C2721" i="3"/>
  <c r="M2720" i="3"/>
  <c r="K2720" i="3"/>
  <c r="G2720" i="3"/>
  <c r="D2720" i="3"/>
  <c r="C2720" i="3"/>
  <c r="M2719" i="3"/>
  <c r="K2719" i="3"/>
  <c r="G2719" i="3"/>
  <c r="D2719" i="3"/>
  <c r="C2719" i="3"/>
  <c r="M2718" i="3"/>
  <c r="K2718" i="3"/>
  <c r="G2718" i="3"/>
  <c r="D2718" i="3"/>
  <c r="C2718" i="3"/>
  <c r="M2717" i="3"/>
  <c r="K2717" i="3"/>
  <c r="G2717" i="3"/>
  <c r="D2717" i="3"/>
  <c r="C2717" i="3"/>
  <c r="M2716" i="3"/>
  <c r="K2716" i="3"/>
  <c r="G2716" i="3"/>
  <c r="D2716" i="3"/>
  <c r="C2716" i="3"/>
  <c r="M2715" i="3"/>
  <c r="K2715" i="3"/>
  <c r="G2715" i="3"/>
  <c r="D2715" i="3"/>
  <c r="C2715" i="3"/>
  <c r="M2714" i="3"/>
  <c r="K2714" i="3"/>
  <c r="G2714" i="3"/>
  <c r="D2714" i="3"/>
  <c r="C2714" i="3"/>
  <c r="M2713" i="3"/>
  <c r="K2713" i="3"/>
  <c r="G2713" i="3"/>
  <c r="D2713" i="3"/>
  <c r="C2713" i="3"/>
  <c r="M2712" i="3"/>
  <c r="K2712" i="3"/>
  <c r="G2712" i="3"/>
  <c r="D2712" i="3"/>
  <c r="C2712" i="3"/>
  <c r="M2711" i="3"/>
  <c r="K2711" i="3"/>
  <c r="G2711" i="3"/>
  <c r="D2711" i="3"/>
  <c r="C2711" i="3"/>
  <c r="M2710" i="3"/>
  <c r="K2710" i="3"/>
  <c r="G2710" i="3"/>
  <c r="D2710" i="3"/>
  <c r="C2710" i="3"/>
  <c r="M2709" i="3"/>
  <c r="K2709" i="3"/>
  <c r="G2709" i="3"/>
  <c r="D2709" i="3"/>
  <c r="C2709" i="3"/>
  <c r="M2708" i="3"/>
  <c r="K2708" i="3"/>
  <c r="G2708" i="3"/>
  <c r="D2708" i="3"/>
  <c r="C2708" i="3"/>
  <c r="M2707" i="3"/>
  <c r="K2707" i="3"/>
  <c r="G2707" i="3"/>
  <c r="D2707" i="3"/>
  <c r="C2707" i="3"/>
  <c r="M2706" i="3"/>
  <c r="K2706" i="3"/>
  <c r="G2706" i="3"/>
  <c r="D2706" i="3"/>
  <c r="C2706" i="3"/>
  <c r="M2705" i="3"/>
  <c r="K2705" i="3"/>
  <c r="G2705" i="3"/>
  <c r="D2705" i="3"/>
  <c r="C2705" i="3"/>
  <c r="M2704" i="3"/>
  <c r="K2704" i="3"/>
  <c r="G2704" i="3"/>
  <c r="D2704" i="3"/>
  <c r="C2704" i="3"/>
  <c r="M2703" i="3"/>
  <c r="K2703" i="3"/>
  <c r="G2703" i="3"/>
  <c r="D2703" i="3"/>
  <c r="C2703" i="3"/>
  <c r="M2702" i="3"/>
  <c r="K2702" i="3"/>
  <c r="G2702" i="3"/>
  <c r="D2702" i="3"/>
  <c r="C2702" i="3"/>
  <c r="M2701" i="3"/>
  <c r="K2701" i="3"/>
  <c r="G2701" i="3"/>
  <c r="D2701" i="3"/>
  <c r="C2701" i="3"/>
  <c r="M2700" i="3"/>
  <c r="K2700" i="3"/>
  <c r="G2700" i="3"/>
  <c r="D2700" i="3"/>
  <c r="C2700" i="3"/>
  <c r="M2699" i="3"/>
  <c r="K2699" i="3"/>
  <c r="G2699" i="3"/>
  <c r="D2699" i="3"/>
  <c r="C2699" i="3"/>
  <c r="M2698" i="3"/>
  <c r="K2698" i="3"/>
  <c r="G2698" i="3"/>
  <c r="D2698" i="3"/>
  <c r="C2698" i="3"/>
  <c r="M2697" i="3"/>
  <c r="K2697" i="3"/>
  <c r="G2697" i="3"/>
  <c r="D2697" i="3"/>
  <c r="C2697" i="3"/>
  <c r="M2696" i="3"/>
  <c r="K2696" i="3"/>
  <c r="G2696" i="3"/>
  <c r="D2696" i="3"/>
  <c r="C2696" i="3"/>
  <c r="M2695" i="3"/>
  <c r="K2695" i="3"/>
  <c r="G2695" i="3"/>
  <c r="D2695" i="3"/>
  <c r="C2695" i="3"/>
  <c r="M2694" i="3"/>
  <c r="K2694" i="3"/>
  <c r="G2694" i="3"/>
  <c r="D2694" i="3"/>
  <c r="C2694" i="3"/>
  <c r="M2693" i="3"/>
  <c r="K2693" i="3"/>
  <c r="G2693" i="3"/>
  <c r="D2693" i="3"/>
  <c r="C2693" i="3"/>
  <c r="M2692" i="3"/>
  <c r="K2692" i="3"/>
  <c r="G2692" i="3"/>
  <c r="D2692" i="3"/>
  <c r="C2692" i="3"/>
  <c r="M2691" i="3"/>
  <c r="K2691" i="3"/>
  <c r="G2691" i="3"/>
  <c r="D2691" i="3"/>
  <c r="C2691" i="3"/>
  <c r="M2690" i="3"/>
  <c r="K2690" i="3"/>
  <c r="G2690" i="3"/>
  <c r="D2690" i="3"/>
  <c r="C2690" i="3"/>
  <c r="M2689" i="3"/>
  <c r="K2689" i="3"/>
  <c r="G2689" i="3"/>
  <c r="D2689" i="3"/>
  <c r="C2689" i="3"/>
  <c r="M2688" i="3"/>
  <c r="K2688" i="3"/>
  <c r="G2688" i="3"/>
  <c r="D2688" i="3"/>
  <c r="C2688" i="3"/>
  <c r="M2687" i="3"/>
  <c r="K2687" i="3"/>
  <c r="G2687" i="3"/>
  <c r="D2687" i="3"/>
  <c r="C2687" i="3"/>
  <c r="M2686" i="3"/>
  <c r="K2686" i="3"/>
  <c r="G2686" i="3"/>
  <c r="D2686" i="3"/>
  <c r="C2686" i="3"/>
  <c r="M2685" i="3"/>
  <c r="K2685" i="3"/>
  <c r="G2685" i="3"/>
  <c r="D2685" i="3"/>
  <c r="C2685" i="3"/>
  <c r="M2684" i="3"/>
  <c r="K2684" i="3"/>
  <c r="G2684" i="3"/>
  <c r="D2684" i="3"/>
  <c r="C2684" i="3"/>
  <c r="M2683" i="3"/>
  <c r="K2683" i="3"/>
  <c r="G2683" i="3"/>
  <c r="D2683" i="3"/>
  <c r="C2683" i="3"/>
  <c r="M2682" i="3"/>
  <c r="K2682" i="3"/>
  <c r="G2682" i="3"/>
  <c r="D2682" i="3"/>
  <c r="C2682" i="3"/>
  <c r="M2681" i="3"/>
  <c r="K2681" i="3"/>
  <c r="G2681" i="3"/>
  <c r="D2681" i="3"/>
  <c r="C2681" i="3"/>
  <c r="M2680" i="3"/>
  <c r="K2680" i="3"/>
  <c r="G2680" i="3"/>
  <c r="D2680" i="3"/>
  <c r="C2680" i="3"/>
  <c r="M2679" i="3"/>
  <c r="K2679" i="3"/>
  <c r="G2679" i="3"/>
  <c r="D2679" i="3"/>
  <c r="C2679" i="3"/>
  <c r="M2678" i="3"/>
  <c r="K2678" i="3"/>
  <c r="G2678" i="3"/>
  <c r="D2678" i="3"/>
  <c r="C2678" i="3"/>
  <c r="M2677" i="3"/>
  <c r="K2677" i="3"/>
  <c r="G2677" i="3"/>
  <c r="D2677" i="3"/>
  <c r="C2677" i="3"/>
  <c r="M2676" i="3"/>
  <c r="K2676" i="3"/>
  <c r="G2676" i="3"/>
  <c r="D2676" i="3"/>
  <c r="C2676" i="3"/>
  <c r="M2675" i="3"/>
  <c r="K2675" i="3"/>
  <c r="G2675" i="3"/>
  <c r="D2675" i="3"/>
  <c r="C2675" i="3"/>
  <c r="M2674" i="3"/>
  <c r="K2674" i="3"/>
  <c r="G2674" i="3"/>
  <c r="D2674" i="3"/>
  <c r="C2674" i="3"/>
  <c r="M2673" i="3"/>
  <c r="K2673" i="3"/>
  <c r="G2673" i="3"/>
  <c r="D2673" i="3"/>
  <c r="C2673" i="3"/>
  <c r="M2672" i="3"/>
  <c r="K2672" i="3"/>
  <c r="G2672" i="3"/>
  <c r="D2672" i="3"/>
  <c r="C2672" i="3"/>
  <c r="M2671" i="3"/>
  <c r="K2671" i="3"/>
  <c r="G2671" i="3"/>
  <c r="D2671" i="3"/>
  <c r="C2671" i="3"/>
  <c r="M2670" i="3"/>
  <c r="K2670" i="3"/>
  <c r="G2670" i="3"/>
  <c r="D2670" i="3"/>
  <c r="C2670" i="3"/>
  <c r="M2669" i="3"/>
  <c r="K2669" i="3"/>
  <c r="G2669" i="3"/>
  <c r="D2669" i="3"/>
  <c r="C2669" i="3"/>
  <c r="M2668" i="3"/>
  <c r="K2668" i="3"/>
  <c r="G2668" i="3"/>
  <c r="D2668" i="3"/>
  <c r="C2668" i="3"/>
  <c r="M2667" i="3"/>
  <c r="K2667" i="3"/>
  <c r="G2667" i="3"/>
  <c r="D2667" i="3"/>
  <c r="C2667" i="3"/>
  <c r="M2666" i="3"/>
  <c r="K2666" i="3"/>
  <c r="G2666" i="3"/>
  <c r="D2666" i="3"/>
  <c r="C2666" i="3"/>
  <c r="M2665" i="3"/>
  <c r="K2665" i="3"/>
  <c r="G2665" i="3"/>
  <c r="D2665" i="3"/>
  <c r="C2665" i="3"/>
  <c r="M2664" i="3"/>
  <c r="K2664" i="3"/>
  <c r="G2664" i="3"/>
  <c r="D2664" i="3"/>
  <c r="C2664" i="3"/>
  <c r="M2663" i="3"/>
  <c r="K2663" i="3"/>
  <c r="G2663" i="3"/>
  <c r="D2663" i="3"/>
  <c r="C2663" i="3"/>
  <c r="M2662" i="3"/>
  <c r="K2662" i="3"/>
  <c r="G2662" i="3"/>
  <c r="D2662" i="3"/>
  <c r="C2662" i="3"/>
  <c r="M2661" i="3"/>
  <c r="K2661" i="3"/>
  <c r="G2661" i="3"/>
  <c r="D2661" i="3"/>
  <c r="C2661" i="3"/>
  <c r="M2660" i="3"/>
  <c r="K2660" i="3"/>
  <c r="G2660" i="3"/>
  <c r="D2660" i="3"/>
  <c r="C2660" i="3"/>
  <c r="M2659" i="3"/>
  <c r="K2659" i="3"/>
  <c r="G2659" i="3"/>
  <c r="D2659" i="3"/>
  <c r="C2659" i="3"/>
  <c r="M2658" i="3"/>
  <c r="K2658" i="3"/>
  <c r="G2658" i="3"/>
  <c r="D2658" i="3"/>
  <c r="C2658" i="3"/>
  <c r="M2657" i="3"/>
  <c r="K2657" i="3"/>
  <c r="G2657" i="3"/>
  <c r="D2657" i="3"/>
  <c r="C2657" i="3"/>
  <c r="M2656" i="3"/>
  <c r="K2656" i="3"/>
  <c r="G2656" i="3"/>
  <c r="D2656" i="3"/>
  <c r="C2656" i="3"/>
  <c r="M2655" i="3"/>
  <c r="K2655" i="3"/>
  <c r="G2655" i="3"/>
  <c r="D2655" i="3"/>
  <c r="C2655" i="3"/>
  <c r="M2654" i="3"/>
  <c r="K2654" i="3"/>
  <c r="G2654" i="3"/>
  <c r="D2654" i="3"/>
  <c r="C2654" i="3"/>
  <c r="M2653" i="3"/>
  <c r="K2653" i="3"/>
  <c r="G2653" i="3"/>
  <c r="D2653" i="3"/>
  <c r="C2653" i="3"/>
  <c r="M2652" i="3"/>
  <c r="K2652" i="3"/>
  <c r="G2652" i="3"/>
  <c r="D2652" i="3"/>
  <c r="C2652" i="3"/>
  <c r="M2651" i="3"/>
  <c r="K2651" i="3"/>
  <c r="G2651" i="3"/>
  <c r="D2651" i="3"/>
  <c r="C2651" i="3"/>
  <c r="M2650" i="3"/>
  <c r="K2650" i="3"/>
  <c r="G2650" i="3"/>
  <c r="D2650" i="3"/>
  <c r="C2650" i="3"/>
  <c r="M2649" i="3"/>
  <c r="K2649" i="3"/>
  <c r="G2649" i="3"/>
  <c r="D2649" i="3"/>
  <c r="C2649" i="3"/>
  <c r="M2648" i="3"/>
  <c r="K2648" i="3"/>
  <c r="G2648" i="3"/>
  <c r="D2648" i="3"/>
  <c r="C2648" i="3"/>
  <c r="M2647" i="3"/>
  <c r="K2647" i="3"/>
  <c r="G2647" i="3"/>
  <c r="D2647" i="3"/>
  <c r="C2647" i="3"/>
  <c r="M2646" i="3"/>
  <c r="K2646" i="3"/>
  <c r="G2646" i="3"/>
  <c r="D2646" i="3"/>
  <c r="C2646" i="3"/>
  <c r="M2645" i="3"/>
  <c r="K2645" i="3"/>
  <c r="G2645" i="3"/>
  <c r="D2645" i="3"/>
  <c r="C2645" i="3"/>
  <c r="M2644" i="3"/>
  <c r="K2644" i="3"/>
  <c r="G2644" i="3"/>
  <c r="D2644" i="3"/>
  <c r="C2644" i="3"/>
  <c r="M2643" i="3"/>
  <c r="K2643" i="3"/>
  <c r="G2643" i="3"/>
  <c r="D2643" i="3"/>
  <c r="C2643" i="3"/>
  <c r="M2642" i="3"/>
  <c r="K2642" i="3"/>
  <c r="G2642" i="3"/>
  <c r="D2642" i="3"/>
  <c r="C2642" i="3"/>
  <c r="M2641" i="3"/>
  <c r="K2641" i="3"/>
  <c r="G2641" i="3"/>
  <c r="D2641" i="3"/>
  <c r="C2641" i="3"/>
  <c r="M2640" i="3"/>
  <c r="K2640" i="3"/>
  <c r="G2640" i="3"/>
  <c r="D2640" i="3"/>
  <c r="C2640" i="3"/>
  <c r="M2639" i="3"/>
  <c r="K2639" i="3"/>
  <c r="G2639" i="3"/>
  <c r="D2639" i="3"/>
  <c r="C2639" i="3"/>
  <c r="M2638" i="3"/>
  <c r="K2638" i="3"/>
  <c r="G2638" i="3"/>
  <c r="D2638" i="3"/>
  <c r="C2638" i="3"/>
  <c r="M2637" i="3"/>
  <c r="K2637" i="3"/>
  <c r="G2637" i="3"/>
  <c r="D2637" i="3"/>
  <c r="C2637" i="3"/>
  <c r="M2636" i="3"/>
  <c r="K2636" i="3"/>
  <c r="G2636" i="3"/>
  <c r="D2636" i="3"/>
  <c r="C2636" i="3"/>
  <c r="M2635" i="3"/>
  <c r="K2635" i="3"/>
  <c r="G2635" i="3"/>
  <c r="D2635" i="3"/>
  <c r="C2635" i="3"/>
  <c r="M2634" i="3"/>
  <c r="K2634" i="3"/>
  <c r="G2634" i="3"/>
  <c r="D2634" i="3"/>
  <c r="C2634" i="3"/>
  <c r="M2633" i="3"/>
  <c r="K2633" i="3"/>
  <c r="G2633" i="3"/>
  <c r="D2633" i="3"/>
  <c r="C2633" i="3"/>
  <c r="M2632" i="3"/>
  <c r="K2632" i="3"/>
  <c r="G2632" i="3"/>
  <c r="D2632" i="3"/>
  <c r="C2632" i="3"/>
  <c r="M2631" i="3"/>
  <c r="K2631" i="3"/>
  <c r="G2631" i="3"/>
  <c r="D2631" i="3"/>
  <c r="C2631" i="3"/>
  <c r="M2630" i="3"/>
  <c r="K2630" i="3"/>
  <c r="G2630" i="3"/>
  <c r="D2630" i="3"/>
  <c r="C2630" i="3"/>
  <c r="M2629" i="3"/>
  <c r="K2629" i="3"/>
  <c r="G2629" i="3"/>
  <c r="D2629" i="3"/>
  <c r="C2629" i="3"/>
  <c r="M2628" i="3"/>
  <c r="K2628" i="3"/>
  <c r="G2628" i="3"/>
  <c r="D2628" i="3"/>
  <c r="C2628" i="3"/>
  <c r="M2627" i="3"/>
  <c r="K2627" i="3"/>
  <c r="G2627" i="3"/>
  <c r="D2627" i="3"/>
  <c r="C2627" i="3"/>
  <c r="M2626" i="3"/>
  <c r="K2626" i="3"/>
  <c r="G2626" i="3"/>
  <c r="D2626" i="3"/>
  <c r="C2626" i="3"/>
  <c r="M2625" i="3"/>
  <c r="K2625" i="3"/>
  <c r="G2625" i="3"/>
  <c r="D2625" i="3"/>
  <c r="C2625" i="3"/>
  <c r="M2624" i="3"/>
  <c r="K2624" i="3"/>
  <c r="G2624" i="3"/>
  <c r="D2624" i="3"/>
  <c r="C2624" i="3"/>
  <c r="M2623" i="3"/>
  <c r="K2623" i="3"/>
  <c r="G2623" i="3"/>
  <c r="D2623" i="3"/>
  <c r="C2623" i="3"/>
  <c r="M2622" i="3"/>
  <c r="K2622" i="3"/>
  <c r="G2622" i="3"/>
  <c r="D2622" i="3"/>
  <c r="C2622" i="3"/>
  <c r="M2621" i="3"/>
  <c r="K2621" i="3"/>
  <c r="G2621" i="3"/>
  <c r="D2621" i="3"/>
  <c r="C2621" i="3"/>
  <c r="M2620" i="3"/>
  <c r="K2620" i="3"/>
  <c r="G2620" i="3"/>
  <c r="D2620" i="3"/>
  <c r="C2620" i="3"/>
  <c r="M2619" i="3"/>
  <c r="K2619" i="3"/>
  <c r="G2619" i="3"/>
  <c r="D2619" i="3"/>
  <c r="C2619" i="3"/>
  <c r="M2618" i="3"/>
  <c r="K2618" i="3"/>
  <c r="G2618" i="3"/>
  <c r="D2618" i="3"/>
  <c r="C2618" i="3"/>
  <c r="M2617" i="3"/>
  <c r="K2617" i="3"/>
  <c r="G2617" i="3"/>
  <c r="D2617" i="3"/>
  <c r="C2617" i="3"/>
  <c r="M2616" i="3"/>
  <c r="K2616" i="3"/>
  <c r="G2616" i="3"/>
  <c r="D2616" i="3"/>
  <c r="C2616" i="3"/>
  <c r="M2615" i="3"/>
  <c r="K2615" i="3"/>
  <c r="G2615" i="3"/>
  <c r="D2615" i="3"/>
  <c r="C2615" i="3"/>
  <c r="M2614" i="3"/>
  <c r="K2614" i="3"/>
  <c r="G2614" i="3"/>
  <c r="D2614" i="3"/>
  <c r="C2614" i="3"/>
  <c r="M2613" i="3"/>
  <c r="K2613" i="3"/>
  <c r="G2613" i="3"/>
  <c r="D2613" i="3"/>
  <c r="C2613" i="3"/>
  <c r="M2612" i="3"/>
  <c r="K2612" i="3"/>
  <c r="G2612" i="3"/>
  <c r="D2612" i="3"/>
  <c r="C2612" i="3"/>
  <c r="M2611" i="3"/>
  <c r="K2611" i="3"/>
  <c r="G2611" i="3"/>
  <c r="D2611" i="3"/>
  <c r="C2611" i="3"/>
  <c r="M2610" i="3"/>
  <c r="K2610" i="3"/>
  <c r="G2610" i="3"/>
  <c r="D2610" i="3"/>
  <c r="C2610" i="3"/>
  <c r="M2609" i="3"/>
  <c r="K2609" i="3"/>
  <c r="G2609" i="3"/>
  <c r="D2609" i="3"/>
  <c r="C2609" i="3"/>
  <c r="M2608" i="3"/>
  <c r="K2608" i="3"/>
  <c r="G2608" i="3"/>
  <c r="D2608" i="3"/>
  <c r="C2608" i="3"/>
  <c r="M2607" i="3"/>
  <c r="K2607" i="3"/>
  <c r="G2607" i="3"/>
  <c r="D2607" i="3"/>
  <c r="C2607" i="3"/>
  <c r="M2606" i="3"/>
  <c r="K2606" i="3"/>
  <c r="G2606" i="3"/>
  <c r="D2606" i="3"/>
  <c r="C2606" i="3"/>
  <c r="M2605" i="3"/>
  <c r="K2605" i="3"/>
  <c r="G2605" i="3"/>
  <c r="D2605" i="3"/>
  <c r="C2605" i="3"/>
  <c r="M2604" i="3"/>
  <c r="K2604" i="3"/>
  <c r="G2604" i="3"/>
  <c r="D2604" i="3"/>
  <c r="C2604" i="3"/>
  <c r="M2603" i="3"/>
  <c r="K2603" i="3"/>
  <c r="G2603" i="3"/>
  <c r="D2603" i="3"/>
  <c r="C2603" i="3"/>
  <c r="M2602" i="3"/>
  <c r="K2602" i="3"/>
  <c r="G2602" i="3"/>
  <c r="D2602" i="3"/>
  <c r="C2602" i="3"/>
  <c r="M2601" i="3"/>
  <c r="K2601" i="3"/>
  <c r="G2601" i="3"/>
  <c r="D2601" i="3"/>
  <c r="C2601" i="3"/>
  <c r="M2600" i="3"/>
  <c r="K2600" i="3"/>
  <c r="G2600" i="3"/>
  <c r="D2600" i="3"/>
  <c r="C2600" i="3"/>
  <c r="M2599" i="3"/>
  <c r="K2599" i="3"/>
  <c r="G2599" i="3"/>
  <c r="D2599" i="3"/>
  <c r="C2599" i="3"/>
  <c r="M2598" i="3"/>
  <c r="K2598" i="3"/>
  <c r="G2598" i="3"/>
  <c r="D2598" i="3"/>
  <c r="C2598" i="3"/>
  <c r="M2597" i="3"/>
  <c r="K2597" i="3"/>
  <c r="G2597" i="3"/>
  <c r="D2597" i="3"/>
  <c r="C2597" i="3"/>
  <c r="M2596" i="3"/>
  <c r="K2596" i="3"/>
  <c r="G2596" i="3"/>
  <c r="D2596" i="3"/>
  <c r="C2596" i="3"/>
  <c r="M2595" i="3"/>
  <c r="K2595" i="3"/>
  <c r="G2595" i="3"/>
  <c r="D2595" i="3"/>
  <c r="C2595" i="3"/>
  <c r="M2594" i="3"/>
  <c r="K2594" i="3"/>
  <c r="G2594" i="3"/>
  <c r="D2594" i="3"/>
  <c r="C2594" i="3"/>
  <c r="M2593" i="3"/>
  <c r="K2593" i="3"/>
  <c r="G2593" i="3"/>
  <c r="D2593" i="3"/>
  <c r="C2593" i="3"/>
  <c r="M2592" i="3"/>
  <c r="K2592" i="3"/>
  <c r="G2592" i="3"/>
  <c r="D2592" i="3"/>
  <c r="C2592" i="3"/>
  <c r="M2591" i="3"/>
  <c r="K2591" i="3"/>
  <c r="G2591" i="3"/>
  <c r="D2591" i="3"/>
  <c r="C2591" i="3"/>
  <c r="M2590" i="3"/>
  <c r="K2590" i="3"/>
  <c r="G2590" i="3"/>
  <c r="D2590" i="3"/>
  <c r="C2590" i="3"/>
  <c r="M2589" i="3"/>
  <c r="K2589" i="3"/>
  <c r="G2589" i="3"/>
  <c r="D2589" i="3"/>
  <c r="C2589" i="3"/>
  <c r="M2588" i="3"/>
  <c r="K2588" i="3"/>
  <c r="G2588" i="3"/>
  <c r="D2588" i="3"/>
  <c r="C2588" i="3"/>
  <c r="M2587" i="3"/>
  <c r="K2587" i="3"/>
  <c r="G2587" i="3"/>
  <c r="D2587" i="3"/>
  <c r="C2587" i="3"/>
  <c r="M2586" i="3"/>
  <c r="K2586" i="3"/>
  <c r="G2586" i="3"/>
  <c r="D2586" i="3"/>
  <c r="C2586" i="3"/>
  <c r="M2585" i="3"/>
  <c r="K2585" i="3"/>
  <c r="G2585" i="3"/>
  <c r="D2585" i="3"/>
  <c r="C2585" i="3"/>
  <c r="M2584" i="3"/>
  <c r="K2584" i="3"/>
  <c r="G2584" i="3"/>
  <c r="D2584" i="3"/>
  <c r="C2584" i="3"/>
  <c r="M2583" i="3"/>
  <c r="K2583" i="3"/>
  <c r="G2583" i="3"/>
  <c r="D2583" i="3"/>
  <c r="C2583" i="3"/>
  <c r="M2582" i="3"/>
  <c r="K2582" i="3"/>
  <c r="G2582" i="3"/>
  <c r="D2582" i="3"/>
  <c r="C2582" i="3"/>
  <c r="M2581" i="3"/>
  <c r="K2581" i="3"/>
  <c r="G2581" i="3"/>
  <c r="D2581" i="3"/>
  <c r="C2581" i="3"/>
  <c r="M2580" i="3"/>
  <c r="K2580" i="3"/>
  <c r="G2580" i="3"/>
  <c r="D2580" i="3"/>
  <c r="C2580" i="3"/>
  <c r="M2579" i="3"/>
  <c r="K2579" i="3"/>
  <c r="G2579" i="3"/>
  <c r="D2579" i="3"/>
  <c r="C2579" i="3"/>
  <c r="M2578" i="3"/>
  <c r="K2578" i="3"/>
  <c r="G2578" i="3"/>
  <c r="D2578" i="3"/>
  <c r="C2578" i="3"/>
  <c r="M2577" i="3"/>
  <c r="K2577" i="3"/>
  <c r="G2577" i="3"/>
  <c r="D2577" i="3"/>
  <c r="C2577" i="3"/>
  <c r="M2576" i="3"/>
  <c r="K2576" i="3"/>
  <c r="G2576" i="3"/>
  <c r="D2576" i="3"/>
  <c r="C2576" i="3"/>
  <c r="M2575" i="3"/>
  <c r="K2575" i="3"/>
  <c r="G2575" i="3"/>
  <c r="D2575" i="3"/>
  <c r="C2575" i="3"/>
  <c r="M2574" i="3"/>
  <c r="K2574" i="3"/>
  <c r="G2574" i="3"/>
  <c r="D2574" i="3"/>
  <c r="C2574" i="3"/>
  <c r="M2573" i="3"/>
  <c r="K2573" i="3"/>
  <c r="G2573" i="3"/>
  <c r="D2573" i="3"/>
  <c r="C2573" i="3"/>
  <c r="M2572" i="3"/>
  <c r="K2572" i="3"/>
  <c r="G2572" i="3"/>
  <c r="D2572" i="3"/>
  <c r="C2572" i="3"/>
  <c r="M2571" i="3"/>
  <c r="K2571" i="3"/>
  <c r="G2571" i="3"/>
  <c r="D2571" i="3"/>
  <c r="C2571" i="3"/>
  <c r="M2570" i="3"/>
  <c r="K2570" i="3"/>
  <c r="G2570" i="3"/>
  <c r="D2570" i="3"/>
  <c r="C2570" i="3"/>
  <c r="M2569" i="3"/>
  <c r="K2569" i="3"/>
  <c r="G2569" i="3"/>
  <c r="D2569" i="3"/>
  <c r="C2569" i="3"/>
  <c r="M2568" i="3"/>
  <c r="K2568" i="3"/>
  <c r="G2568" i="3"/>
  <c r="D2568" i="3"/>
  <c r="C2568" i="3"/>
  <c r="M2567" i="3"/>
  <c r="K2567" i="3"/>
  <c r="G2567" i="3"/>
  <c r="D2567" i="3"/>
  <c r="C2567" i="3"/>
  <c r="M2566" i="3"/>
  <c r="K2566" i="3"/>
  <c r="G2566" i="3"/>
  <c r="D2566" i="3"/>
  <c r="C2566" i="3"/>
  <c r="M2565" i="3"/>
  <c r="K2565" i="3"/>
  <c r="G2565" i="3"/>
  <c r="D2565" i="3"/>
  <c r="C2565" i="3"/>
  <c r="M2564" i="3"/>
  <c r="K2564" i="3"/>
  <c r="G2564" i="3"/>
  <c r="D2564" i="3"/>
  <c r="C2564" i="3"/>
  <c r="M2563" i="3"/>
  <c r="K2563" i="3"/>
  <c r="G2563" i="3"/>
  <c r="D2563" i="3"/>
  <c r="C2563" i="3"/>
  <c r="M2562" i="3"/>
  <c r="K2562" i="3"/>
  <c r="G2562" i="3"/>
  <c r="D2562" i="3"/>
  <c r="C2562" i="3"/>
  <c r="M2561" i="3"/>
  <c r="K2561" i="3"/>
  <c r="G2561" i="3"/>
  <c r="D2561" i="3"/>
  <c r="C2561" i="3"/>
  <c r="M2560" i="3"/>
  <c r="K2560" i="3"/>
  <c r="G2560" i="3"/>
  <c r="D2560" i="3"/>
  <c r="C2560" i="3"/>
  <c r="M2559" i="3"/>
  <c r="K2559" i="3"/>
  <c r="G2559" i="3"/>
  <c r="D2559" i="3"/>
  <c r="C2559" i="3"/>
  <c r="M2558" i="3"/>
  <c r="K2558" i="3"/>
  <c r="G2558" i="3"/>
  <c r="D2558" i="3"/>
  <c r="C2558" i="3"/>
  <c r="M2557" i="3"/>
  <c r="K2557" i="3"/>
  <c r="G2557" i="3"/>
  <c r="D2557" i="3"/>
  <c r="C2557" i="3"/>
  <c r="M2556" i="3"/>
  <c r="K2556" i="3"/>
  <c r="G2556" i="3"/>
  <c r="D2556" i="3"/>
  <c r="C2556" i="3"/>
  <c r="M2555" i="3"/>
  <c r="K2555" i="3"/>
  <c r="G2555" i="3"/>
  <c r="D2555" i="3"/>
  <c r="C2555" i="3"/>
  <c r="M2554" i="3"/>
  <c r="K2554" i="3"/>
  <c r="G2554" i="3"/>
  <c r="D2554" i="3"/>
  <c r="C2554" i="3"/>
  <c r="M2553" i="3"/>
  <c r="K2553" i="3"/>
  <c r="G2553" i="3"/>
  <c r="D2553" i="3"/>
  <c r="C2553" i="3"/>
  <c r="M2552" i="3"/>
  <c r="K2552" i="3"/>
  <c r="G2552" i="3"/>
  <c r="D2552" i="3"/>
  <c r="C2552" i="3"/>
  <c r="M2551" i="3"/>
  <c r="K2551" i="3"/>
  <c r="G2551" i="3"/>
  <c r="D2551" i="3"/>
  <c r="C2551" i="3"/>
  <c r="M2550" i="3"/>
  <c r="K2550" i="3"/>
  <c r="G2550" i="3"/>
  <c r="D2550" i="3"/>
  <c r="C2550" i="3"/>
  <c r="M2549" i="3"/>
  <c r="K2549" i="3"/>
  <c r="G2549" i="3"/>
  <c r="D2549" i="3"/>
  <c r="C2549" i="3"/>
  <c r="M2548" i="3"/>
  <c r="K2548" i="3"/>
  <c r="G2548" i="3"/>
  <c r="D2548" i="3"/>
  <c r="C2548" i="3"/>
  <c r="M2547" i="3"/>
  <c r="K2547" i="3"/>
  <c r="G2547" i="3"/>
  <c r="D2547" i="3"/>
  <c r="C2547" i="3"/>
  <c r="M2546" i="3"/>
  <c r="K2546" i="3"/>
  <c r="G2546" i="3"/>
  <c r="D2546" i="3"/>
  <c r="C2546" i="3"/>
  <c r="M2545" i="3"/>
  <c r="K2545" i="3"/>
  <c r="G2545" i="3"/>
  <c r="D2545" i="3"/>
  <c r="C2545" i="3"/>
  <c r="M2544" i="3"/>
  <c r="K2544" i="3"/>
  <c r="G2544" i="3"/>
  <c r="D2544" i="3"/>
  <c r="C2544" i="3"/>
  <c r="M2543" i="3"/>
  <c r="K2543" i="3"/>
  <c r="G2543" i="3"/>
  <c r="D2543" i="3"/>
  <c r="C2543" i="3"/>
  <c r="M2542" i="3"/>
  <c r="K2542" i="3"/>
  <c r="G2542" i="3"/>
  <c r="D2542" i="3"/>
  <c r="C2542" i="3"/>
  <c r="M2541" i="3"/>
  <c r="K2541" i="3"/>
  <c r="G2541" i="3"/>
  <c r="D2541" i="3"/>
  <c r="C2541" i="3"/>
  <c r="M2540" i="3"/>
  <c r="K2540" i="3"/>
  <c r="G2540" i="3"/>
  <c r="D2540" i="3"/>
  <c r="C2540" i="3"/>
  <c r="M2539" i="3"/>
  <c r="K2539" i="3"/>
  <c r="G2539" i="3"/>
  <c r="D2539" i="3"/>
  <c r="C2539" i="3"/>
  <c r="M2538" i="3"/>
  <c r="K2538" i="3"/>
  <c r="G2538" i="3"/>
  <c r="D2538" i="3"/>
  <c r="C2538" i="3"/>
  <c r="M2537" i="3"/>
  <c r="K2537" i="3"/>
  <c r="G2537" i="3"/>
  <c r="D2537" i="3"/>
  <c r="C2537" i="3"/>
  <c r="M2536" i="3"/>
  <c r="K2536" i="3"/>
  <c r="G2536" i="3"/>
  <c r="D2536" i="3"/>
  <c r="C2536" i="3"/>
  <c r="M2535" i="3"/>
  <c r="K2535" i="3"/>
  <c r="G2535" i="3"/>
  <c r="D2535" i="3"/>
  <c r="C2535" i="3"/>
  <c r="M2534" i="3"/>
  <c r="K2534" i="3"/>
  <c r="G2534" i="3"/>
  <c r="D2534" i="3"/>
  <c r="C2534" i="3"/>
  <c r="M2533" i="3"/>
  <c r="K2533" i="3"/>
  <c r="G2533" i="3"/>
  <c r="D2533" i="3"/>
  <c r="C2533" i="3"/>
  <c r="M2532" i="3"/>
  <c r="K2532" i="3"/>
  <c r="G2532" i="3"/>
  <c r="D2532" i="3"/>
  <c r="C2532" i="3"/>
  <c r="M2531" i="3"/>
  <c r="K2531" i="3"/>
  <c r="G2531" i="3"/>
  <c r="D2531" i="3"/>
  <c r="C2531" i="3"/>
  <c r="M2530" i="3"/>
  <c r="K2530" i="3"/>
  <c r="G2530" i="3"/>
  <c r="D2530" i="3"/>
  <c r="C2530" i="3"/>
  <c r="M2529" i="3"/>
  <c r="K2529" i="3"/>
  <c r="G2529" i="3"/>
  <c r="D2529" i="3"/>
  <c r="C2529" i="3"/>
  <c r="M2528" i="3"/>
  <c r="K2528" i="3"/>
  <c r="G2528" i="3"/>
  <c r="D2528" i="3"/>
  <c r="C2528" i="3"/>
  <c r="M2527" i="3"/>
  <c r="K2527" i="3"/>
  <c r="G2527" i="3"/>
  <c r="D2527" i="3"/>
  <c r="C2527" i="3"/>
  <c r="M2526" i="3"/>
  <c r="K2526" i="3"/>
  <c r="G2526" i="3"/>
  <c r="D2526" i="3"/>
  <c r="C2526" i="3"/>
  <c r="M2525" i="3"/>
  <c r="K2525" i="3"/>
  <c r="G2525" i="3"/>
  <c r="D2525" i="3"/>
  <c r="C2525" i="3"/>
  <c r="M2524" i="3"/>
  <c r="K2524" i="3"/>
  <c r="G2524" i="3"/>
  <c r="D2524" i="3"/>
  <c r="C2524" i="3"/>
  <c r="M2523" i="3"/>
  <c r="K2523" i="3"/>
  <c r="G2523" i="3"/>
  <c r="D2523" i="3"/>
  <c r="C2523" i="3"/>
  <c r="M2522" i="3"/>
  <c r="K2522" i="3"/>
  <c r="G2522" i="3"/>
  <c r="D2522" i="3"/>
  <c r="C2522" i="3"/>
  <c r="M2521" i="3"/>
  <c r="K2521" i="3"/>
  <c r="G2521" i="3"/>
  <c r="D2521" i="3"/>
  <c r="C2521" i="3"/>
  <c r="M2520" i="3"/>
  <c r="K2520" i="3"/>
  <c r="G2520" i="3"/>
  <c r="D2520" i="3"/>
  <c r="C2520" i="3"/>
  <c r="M2519" i="3"/>
  <c r="K2519" i="3"/>
  <c r="G2519" i="3"/>
  <c r="D2519" i="3"/>
  <c r="C2519" i="3"/>
  <c r="M2518" i="3"/>
  <c r="K2518" i="3"/>
  <c r="G2518" i="3"/>
  <c r="D2518" i="3"/>
  <c r="C2518" i="3"/>
  <c r="M2517" i="3"/>
  <c r="K2517" i="3"/>
  <c r="G2517" i="3"/>
  <c r="D2517" i="3"/>
  <c r="C2517" i="3"/>
  <c r="M2516" i="3"/>
  <c r="K2516" i="3"/>
  <c r="G2516" i="3"/>
  <c r="D2516" i="3"/>
  <c r="C2516" i="3"/>
  <c r="M2515" i="3"/>
  <c r="K2515" i="3"/>
  <c r="G2515" i="3"/>
  <c r="D2515" i="3"/>
  <c r="C2515" i="3"/>
  <c r="M2514" i="3"/>
  <c r="K2514" i="3"/>
  <c r="G2514" i="3"/>
  <c r="D2514" i="3"/>
  <c r="C2514" i="3"/>
  <c r="M2513" i="3"/>
  <c r="K2513" i="3"/>
  <c r="G2513" i="3"/>
  <c r="D2513" i="3"/>
  <c r="C2513" i="3"/>
  <c r="M2512" i="3"/>
  <c r="K2512" i="3"/>
  <c r="G2512" i="3"/>
  <c r="D2512" i="3"/>
  <c r="C2512" i="3"/>
  <c r="M2511" i="3"/>
  <c r="K2511" i="3"/>
  <c r="G2511" i="3"/>
  <c r="D2511" i="3"/>
  <c r="C2511" i="3"/>
  <c r="M2510" i="3"/>
  <c r="K2510" i="3"/>
  <c r="G2510" i="3"/>
  <c r="D2510" i="3"/>
  <c r="C2510" i="3"/>
  <c r="M2509" i="3"/>
  <c r="K2509" i="3"/>
  <c r="G2509" i="3"/>
  <c r="D2509" i="3"/>
  <c r="C2509" i="3"/>
  <c r="M2508" i="3"/>
  <c r="K2508" i="3"/>
  <c r="G2508" i="3"/>
  <c r="D2508" i="3"/>
  <c r="C2508" i="3"/>
  <c r="M2507" i="3"/>
  <c r="K2507" i="3"/>
  <c r="G2507" i="3"/>
  <c r="D2507" i="3"/>
  <c r="C2507" i="3"/>
  <c r="M2506" i="3"/>
  <c r="K2506" i="3"/>
  <c r="G2506" i="3"/>
  <c r="D2506" i="3"/>
  <c r="C2506" i="3"/>
  <c r="M2505" i="3"/>
  <c r="K2505" i="3"/>
  <c r="G2505" i="3"/>
  <c r="D2505" i="3"/>
  <c r="C2505" i="3"/>
  <c r="M2504" i="3"/>
  <c r="K2504" i="3"/>
  <c r="G2504" i="3"/>
  <c r="D2504" i="3"/>
  <c r="C2504" i="3"/>
  <c r="M2503" i="3"/>
  <c r="K2503" i="3"/>
  <c r="G2503" i="3"/>
  <c r="D2503" i="3"/>
  <c r="C2503" i="3"/>
  <c r="M2502" i="3"/>
  <c r="K2502" i="3"/>
  <c r="G2502" i="3"/>
  <c r="D2502" i="3"/>
  <c r="C2502" i="3"/>
  <c r="M2501" i="3"/>
  <c r="K2501" i="3"/>
  <c r="G2501" i="3"/>
  <c r="D2501" i="3"/>
  <c r="C2501" i="3"/>
  <c r="M2500" i="3"/>
  <c r="K2500" i="3"/>
  <c r="G2500" i="3"/>
  <c r="D2500" i="3"/>
  <c r="C2500" i="3"/>
  <c r="M2499" i="3"/>
  <c r="K2499" i="3"/>
  <c r="G2499" i="3"/>
  <c r="D2499" i="3"/>
  <c r="C2499" i="3"/>
  <c r="M2498" i="3"/>
  <c r="K2498" i="3"/>
  <c r="G2498" i="3"/>
  <c r="D2498" i="3"/>
  <c r="C2498" i="3"/>
  <c r="M2497" i="3"/>
  <c r="K2497" i="3"/>
  <c r="G2497" i="3"/>
  <c r="D2497" i="3"/>
  <c r="C2497" i="3"/>
  <c r="M2496" i="3"/>
  <c r="K2496" i="3"/>
  <c r="G2496" i="3"/>
  <c r="D2496" i="3"/>
  <c r="C2496" i="3"/>
  <c r="M2495" i="3"/>
  <c r="K2495" i="3"/>
  <c r="G2495" i="3"/>
  <c r="D2495" i="3"/>
  <c r="C2495" i="3"/>
  <c r="M2494" i="3"/>
  <c r="K2494" i="3"/>
  <c r="G2494" i="3"/>
  <c r="D2494" i="3"/>
  <c r="C2494" i="3"/>
  <c r="M2493" i="3"/>
  <c r="K2493" i="3"/>
  <c r="G2493" i="3"/>
  <c r="D2493" i="3"/>
  <c r="C2493" i="3"/>
  <c r="M2492" i="3"/>
  <c r="K2492" i="3"/>
  <c r="G2492" i="3"/>
  <c r="D2492" i="3"/>
  <c r="C2492" i="3"/>
  <c r="M2491" i="3"/>
  <c r="K2491" i="3"/>
  <c r="G2491" i="3"/>
  <c r="D2491" i="3"/>
  <c r="C2491" i="3"/>
  <c r="M2490" i="3"/>
  <c r="K2490" i="3"/>
  <c r="G2490" i="3"/>
  <c r="D2490" i="3"/>
  <c r="C2490" i="3"/>
  <c r="M2489" i="3"/>
  <c r="K2489" i="3"/>
  <c r="G2489" i="3"/>
  <c r="D2489" i="3"/>
  <c r="C2489" i="3"/>
  <c r="M2488" i="3"/>
  <c r="K2488" i="3"/>
  <c r="G2488" i="3"/>
  <c r="D2488" i="3"/>
  <c r="C2488" i="3"/>
  <c r="M2487" i="3"/>
  <c r="K2487" i="3"/>
  <c r="G2487" i="3"/>
  <c r="D2487" i="3"/>
  <c r="C2487" i="3"/>
  <c r="M2486" i="3"/>
  <c r="K2486" i="3"/>
  <c r="G2486" i="3"/>
  <c r="D2486" i="3"/>
  <c r="C2486" i="3"/>
  <c r="M2485" i="3"/>
  <c r="K2485" i="3"/>
  <c r="G2485" i="3"/>
  <c r="D2485" i="3"/>
  <c r="C2485" i="3"/>
  <c r="M2484" i="3"/>
  <c r="K2484" i="3"/>
  <c r="G2484" i="3"/>
  <c r="D2484" i="3"/>
  <c r="C2484" i="3"/>
  <c r="M2483" i="3"/>
  <c r="K2483" i="3"/>
  <c r="G2483" i="3"/>
  <c r="D2483" i="3"/>
  <c r="C2483" i="3"/>
  <c r="M2482" i="3"/>
  <c r="K2482" i="3"/>
  <c r="G2482" i="3"/>
  <c r="D2482" i="3"/>
  <c r="C2482" i="3"/>
  <c r="M2481" i="3"/>
  <c r="K2481" i="3"/>
  <c r="G2481" i="3"/>
  <c r="D2481" i="3"/>
  <c r="C2481" i="3"/>
  <c r="M2480" i="3"/>
  <c r="K2480" i="3"/>
  <c r="G2480" i="3"/>
  <c r="D2480" i="3"/>
  <c r="C2480" i="3"/>
  <c r="M2479" i="3"/>
  <c r="K2479" i="3"/>
  <c r="G2479" i="3"/>
  <c r="D2479" i="3"/>
  <c r="C2479" i="3"/>
  <c r="M2478" i="3"/>
  <c r="K2478" i="3"/>
  <c r="G2478" i="3"/>
  <c r="D2478" i="3"/>
  <c r="C2478" i="3"/>
  <c r="M2477" i="3"/>
  <c r="K2477" i="3"/>
  <c r="G2477" i="3"/>
  <c r="D2477" i="3"/>
  <c r="C2477" i="3"/>
  <c r="M2476" i="3"/>
  <c r="K2476" i="3"/>
  <c r="G2476" i="3"/>
  <c r="D2476" i="3"/>
  <c r="C2476" i="3"/>
  <c r="M2475" i="3"/>
  <c r="K2475" i="3"/>
  <c r="G2475" i="3"/>
  <c r="D2475" i="3"/>
  <c r="C2475" i="3"/>
  <c r="M2474" i="3"/>
  <c r="K2474" i="3"/>
  <c r="G2474" i="3"/>
  <c r="D2474" i="3"/>
  <c r="C2474" i="3"/>
  <c r="M2473" i="3"/>
  <c r="K2473" i="3"/>
  <c r="G2473" i="3"/>
  <c r="D2473" i="3"/>
  <c r="C2473" i="3"/>
  <c r="M2472" i="3"/>
  <c r="K2472" i="3"/>
  <c r="G2472" i="3"/>
  <c r="D2472" i="3"/>
  <c r="C2472" i="3"/>
  <c r="M2471" i="3"/>
  <c r="K2471" i="3"/>
  <c r="G2471" i="3"/>
  <c r="D2471" i="3"/>
  <c r="C2471" i="3"/>
  <c r="M2470" i="3"/>
  <c r="K2470" i="3"/>
  <c r="G2470" i="3"/>
  <c r="D2470" i="3"/>
  <c r="C2470" i="3"/>
  <c r="M2469" i="3"/>
  <c r="K2469" i="3"/>
  <c r="G2469" i="3"/>
  <c r="D2469" i="3"/>
  <c r="C2469" i="3"/>
  <c r="M2468" i="3"/>
  <c r="K2468" i="3"/>
  <c r="G2468" i="3"/>
  <c r="D2468" i="3"/>
  <c r="C2468" i="3"/>
  <c r="M2467" i="3"/>
  <c r="K2467" i="3"/>
  <c r="G2467" i="3"/>
  <c r="D2467" i="3"/>
  <c r="C2467" i="3"/>
  <c r="M2466" i="3"/>
  <c r="K2466" i="3"/>
  <c r="G2466" i="3"/>
  <c r="D2466" i="3"/>
  <c r="C2466" i="3"/>
  <c r="M2465" i="3"/>
  <c r="K2465" i="3"/>
  <c r="G2465" i="3"/>
  <c r="D2465" i="3"/>
  <c r="C2465" i="3"/>
  <c r="M2464" i="3"/>
  <c r="K2464" i="3"/>
  <c r="G2464" i="3"/>
  <c r="D2464" i="3"/>
  <c r="C2464" i="3"/>
  <c r="M2463" i="3"/>
  <c r="K2463" i="3"/>
  <c r="G2463" i="3"/>
  <c r="D2463" i="3"/>
  <c r="C2463" i="3"/>
  <c r="M2462" i="3"/>
  <c r="K2462" i="3"/>
  <c r="G2462" i="3"/>
  <c r="D2462" i="3"/>
  <c r="C2462" i="3"/>
  <c r="M2461" i="3"/>
  <c r="K2461" i="3"/>
  <c r="G2461" i="3"/>
  <c r="D2461" i="3"/>
  <c r="C2461" i="3"/>
  <c r="M2460" i="3"/>
  <c r="K2460" i="3"/>
  <c r="G2460" i="3"/>
  <c r="D2460" i="3"/>
  <c r="C2460" i="3"/>
  <c r="M2459" i="3"/>
  <c r="K2459" i="3"/>
  <c r="G2459" i="3"/>
  <c r="D2459" i="3"/>
  <c r="C2459" i="3"/>
  <c r="M2458" i="3"/>
  <c r="K2458" i="3"/>
  <c r="G2458" i="3"/>
  <c r="D2458" i="3"/>
  <c r="C2458" i="3"/>
  <c r="M2457" i="3"/>
  <c r="K2457" i="3"/>
  <c r="G2457" i="3"/>
  <c r="D2457" i="3"/>
  <c r="C2457" i="3"/>
  <c r="M2456" i="3"/>
  <c r="K2456" i="3"/>
  <c r="G2456" i="3"/>
  <c r="D2456" i="3"/>
  <c r="C2456" i="3"/>
  <c r="M2455" i="3"/>
  <c r="K2455" i="3"/>
  <c r="G2455" i="3"/>
  <c r="D2455" i="3"/>
  <c r="C2455" i="3"/>
  <c r="M2454" i="3"/>
  <c r="K2454" i="3"/>
  <c r="G2454" i="3"/>
  <c r="D2454" i="3"/>
  <c r="C2454" i="3"/>
  <c r="M2453" i="3"/>
  <c r="K2453" i="3"/>
  <c r="G2453" i="3"/>
  <c r="D2453" i="3"/>
  <c r="C2453" i="3"/>
  <c r="M2452" i="3"/>
  <c r="K2452" i="3"/>
  <c r="G2452" i="3"/>
  <c r="D2452" i="3"/>
  <c r="C2452" i="3"/>
  <c r="M2451" i="3"/>
  <c r="K2451" i="3"/>
  <c r="G2451" i="3"/>
  <c r="D2451" i="3"/>
  <c r="C2451" i="3"/>
  <c r="M2450" i="3"/>
  <c r="K2450" i="3"/>
  <c r="G2450" i="3"/>
  <c r="D2450" i="3"/>
  <c r="C2450" i="3"/>
  <c r="M2449" i="3"/>
  <c r="K2449" i="3"/>
  <c r="G2449" i="3"/>
  <c r="D2449" i="3"/>
  <c r="C2449" i="3"/>
  <c r="M2448" i="3"/>
  <c r="K2448" i="3"/>
  <c r="G2448" i="3"/>
  <c r="D2448" i="3"/>
  <c r="C2448" i="3"/>
  <c r="M2447" i="3"/>
  <c r="K2447" i="3"/>
  <c r="G2447" i="3"/>
  <c r="D2447" i="3"/>
  <c r="C2447" i="3"/>
  <c r="M2446" i="3"/>
  <c r="K2446" i="3"/>
  <c r="G2446" i="3"/>
  <c r="D2446" i="3"/>
  <c r="C2446" i="3"/>
  <c r="M2445" i="3"/>
  <c r="K2445" i="3"/>
  <c r="G2445" i="3"/>
  <c r="D2445" i="3"/>
  <c r="C2445" i="3"/>
  <c r="M2444" i="3"/>
  <c r="K2444" i="3"/>
  <c r="G2444" i="3"/>
  <c r="D2444" i="3"/>
  <c r="C2444" i="3"/>
  <c r="M2443" i="3"/>
  <c r="K2443" i="3"/>
  <c r="G2443" i="3"/>
  <c r="D2443" i="3"/>
  <c r="C2443" i="3"/>
  <c r="M2442" i="3"/>
  <c r="K2442" i="3"/>
  <c r="G2442" i="3"/>
  <c r="D2442" i="3"/>
  <c r="C2442" i="3"/>
  <c r="M2441" i="3"/>
  <c r="K2441" i="3"/>
  <c r="G2441" i="3"/>
  <c r="D2441" i="3"/>
  <c r="C2441" i="3"/>
  <c r="M2440" i="3"/>
  <c r="K2440" i="3"/>
  <c r="G2440" i="3"/>
  <c r="D2440" i="3"/>
  <c r="C2440" i="3"/>
  <c r="M2439" i="3"/>
  <c r="K2439" i="3"/>
  <c r="G2439" i="3"/>
  <c r="D2439" i="3"/>
  <c r="C2439" i="3"/>
  <c r="M2438" i="3"/>
  <c r="K2438" i="3"/>
  <c r="G2438" i="3"/>
  <c r="D2438" i="3"/>
  <c r="C2438" i="3"/>
  <c r="M2437" i="3"/>
  <c r="K2437" i="3"/>
  <c r="G2437" i="3"/>
  <c r="D2437" i="3"/>
  <c r="C2437" i="3"/>
  <c r="M2436" i="3"/>
  <c r="K2436" i="3"/>
  <c r="G2436" i="3"/>
  <c r="D2436" i="3"/>
  <c r="C2436" i="3"/>
  <c r="M2435" i="3"/>
  <c r="K2435" i="3"/>
  <c r="G2435" i="3"/>
  <c r="D2435" i="3"/>
  <c r="C2435" i="3"/>
  <c r="M2434" i="3"/>
  <c r="K2434" i="3"/>
  <c r="G2434" i="3"/>
  <c r="D2434" i="3"/>
  <c r="C2434" i="3"/>
  <c r="M2433" i="3"/>
  <c r="K2433" i="3"/>
  <c r="G2433" i="3"/>
  <c r="D2433" i="3"/>
  <c r="C2433" i="3"/>
  <c r="M2432" i="3"/>
  <c r="K2432" i="3"/>
  <c r="G2432" i="3"/>
  <c r="D2432" i="3"/>
  <c r="C2432" i="3"/>
  <c r="M2431" i="3"/>
  <c r="K2431" i="3"/>
  <c r="G2431" i="3"/>
  <c r="D2431" i="3"/>
  <c r="C2431" i="3"/>
  <c r="M2430" i="3"/>
  <c r="K2430" i="3"/>
  <c r="G2430" i="3"/>
  <c r="D2430" i="3"/>
  <c r="C2430" i="3"/>
  <c r="M2429" i="3"/>
  <c r="K2429" i="3"/>
  <c r="G2429" i="3"/>
  <c r="D2429" i="3"/>
  <c r="C2429" i="3"/>
  <c r="M2428" i="3"/>
  <c r="K2428" i="3"/>
  <c r="G2428" i="3"/>
  <c r="D2428" i="3"/>
  <c r="C2428" i="3"/>
  <c r="M2427" i="3"/>
  <c r="K2427" i="3"/>
  <c r="G2427" i="3"/>
  <c r="D2427" i="3"/>
  <c r="C2427" i="3"/>
  <c r="M2426" i="3"/>
  <c r="K2426" i="3"/>
  <c r="G2426" i="3"/>
  <c r="D2426" i="3"/>
  <c r="C2426" i="3"/>
  <c r="M2425" i="3"/>
  <c r="K2425" i="3"/>
  <c r="G2425" i="3"/>
  <c r="D2425" i="3"/>
  <c r="C2425" i="3"/>
  <c r="M2424" i="3"/>
  <c r="K2424" i="3"/>
  <c r="G2424" i="3"/>
  <c r="D2424" i="3"/>
  <c r="C2424" i="3"/>
  <c r="M2423" i="3"/>
  <c r="K2423" i="3"/>
  <c r="G2423" i="3"/>
  <c r="D2423" i="3"/>
  <c r="C2423" i="3"/>
  <c r="M2422" i="3"/>
  <c r="K2422" i="3"/>
  <c r="G2422" i="3"/>
  <c r="D2422" i="3"/>
  <c r="C2422" i="3"/>
  <c r="M2421" i="3"/>
  <c r="K2421" i="3"/>
  <c r="G2421" i="3"/>
  <c r="D2421" i="3"/>
  <c r="C2421" i="3"/>
  <c r="M2420" i="3"/>
  <c r="K2420" i="3"/>
  <c r="G2420" i="3"/>
  <c r="D2420" i="3"/>
  <c r="C2420" i="3"/>
  <c r="M2419" i="3"/>
  <c r="K2419" i="3"/>
  <c r="G2419" i="3"/>
  <c r="D2419" i="3"/>
  <c r="C2419" i="3"/>
  <c r="M2418" i="3"/>
  <c r="K2418" i="3"/>
  <c r="G2418" i="3"/>
  <c r="D2418" i="3"/>
  <c r="C2418" i="3"/>
  <c r="M2417" i="3"/>
  <c r="K2417" i="3"/>
  <c r="G2417" i="3"/>
  <c r="D2417" i="3"/>
  <c r="C2417" i="3"/>
  <c r="M2416" i="3"/>
  <c r="K2416" i="3"/>
  <c r="G2416" i="3"/>
  <c r="D2416" i="3"/>
  <c r="C2416" i="3"/>
  <c r="M2415" i="3"/>
  <c r="K2415" i="3"/>
  <c r="G2415" i="3"/>
  <c r="D2415" i="3"/>
  <c r="C2415" i="3"/>
  <c r="M2414" i="3"/>
  <c r="K2414" i="3"/>
  <c r="G2414" i="3"/>
  <c r="D2414" i="3"/>
  <c r="C2414" i="3"/>
  <c r="M2413" i="3"/>
  <c r="K2413" i="3"/>
  <c r="G2413" i="3"/>
  <c r="D2413" i="3"/>
  <c r="C2413" i="3"/>
  <c r="M2412" i="3"/>
  <c r="K2412" i="3"/>
  <c r="G2412" i="3"/>
  <c r="D2412" i="3"/>
  <c r="C2412" i="3"/>
  <c r="M2411" i="3"/>
  <c r="K2411" i="3"/>
  <c r="G2411" i="3"/>
  <c r="D2411" i="3"/>
  <c r="C2411" i="3"/>
  <c r="M2410" i="3"/>
  <c r="K2410" i="3"/>
  <c r="G2410" i="3"/>
  <c r="D2410" i="3"/>
  <c r="C2410" i="3"/>
  <c r="M2409" i="3"/>
  <c r="K2409" i="3"/>
  <c r="G2409" i="3"/>
  <c r="D2409" i="3"/>
  <c r="C2409" i="3"/>
  <c r="M2408" i="3"/>
  <c r="K2408" i="3"/>
  <c r="G2408" i="3"/>
  <c r="D2408" i="3"/>
  <c r="C2408" i="3"/>
  <c r="M2407" i="3"/>
  <c r="K2407" i="3"/>
  <c r="G2407" i="3"/>
  <c r="D2407" i="3"/>
  <c r="C2407" i="3"/>
  <c r="M2406" i="3"/>
  <c r="K2406" i="3"/>
  <c r="G2406" i="3"/>
  <c r="D2406" i="3"/>
  <c r="C2406" i="3"/>
  <c r="M2405" i="3"/>
  <c r="K2405" i="3"/>
  <c r="G2405" i="3"/>
  <c r="D2405" i="3"/>
  <c r="C2405" i="3"/>
  <c r="M2404" i="3"/>
  <c r="K2404" i="3"/>
  <c r="G2404" i="3"/>
  <c r="D2404" i="3"/>
  <c r="C2404" i="3"/>
  <c r="M2403" i="3"/>
  <c r="K2403" i="3"/>
  <c r="G2403" i="3"/>
  <c r="D2403" i="3"/>
  <c r="C2403" i="3"/>
  <c r="M2402" i="3"/>
  <c r="K2402" i="3"/>
  <c r="G2402" i="3"/>
  <c r="D2402" i="3"/>
  <c r="C2402" i="3"/>
  <c r="M2401" i="3"/>
  <c r="K2401" i="3"/>
  <c r="G2401" i="3"/>
  <c r="D2401" i="3"/>
  <c r="C2401" i="3"/>
  <c r="M2400" i="3"/>
  <c r="K2400" i="3"/>
  <c r="G2400" i="3"/>
  <c r="D2400" i="3"/>
  <c r="C2400" i="3"/>
  <c r="M2399" i="3"/>
  <c r="K2399" i="3"/>
  <c r="G2399" i="3"/>
  <c r="D2399" i="3"/>
  <c r="C2399" i="3"/>
  <c r="M2398" i="3"/>
  <c r="K2398" i="3"/>
  <c r="G2398" i="3"/>
  <c r="D2398" i="3"/>
  <c r="C2398" i="3"/>
  <c r="M2397" i="3"/>
  <c r="K2397" i="3"/>
  <c r="G2397" i="3"/>
  <c r="D2397" i="3"/>
  <c r="C2397" i="3"/>
  <c r="M2396" i="3"/>
  <c r="K2396" i="3"/>
  <c r="G2396" i="3"/>
  <c r="D2396" i="3"/>
  <c r="C2396" i="3"/>
  <c r="M2395" i="3"/>
  <c r="K2395" i="3"/>
  <c r="G2395" i="3"/>
  <c r="D2395" i="3"/>
  <c r="C2395" i="3"/>
  <c r="M2394" i="3"/>
  <c r="K2394" i="3"/>
  <c r="G2394" i="3"/>
  <c r="D2394" i="3"/>
  <c r="C2394" i="3"/>
  <c r="M2393" i="3"/>
  <c r="K2393" i="3"/>
  <c r="G2393" i="3"/>
  <c r="D2393" i="3"/>
  <c r="C2393" i="3"/>
  <c r="M2392" i="3"/>
  <c r="K2392" i="3"/>
  <c r="G2392" i="3"/>
  <c r="D2392" i="3"/>
  <c r="C2392" i="3"/>
  <c r="M2391" i="3"/>
  <c r="K2391" i="3"/>
  <c r="G2391" i="3"/>
  <c r="D2391" i="3"/>
  <c r="C2391" i="3"/>
  <c r="M2390" i="3"/>
  <c r="K2390" i="3"/>
  <c r="G2390" i="3"/>
  <c r="D2390" i="3"/>
  <c r="C2390" i="3"/>
  <c r="M2389" i="3"/>
  <c r="K2389" i="3"/>
  <c r="G2389" i="3"/>
  <c r="D2389" i="3"/>
  <c r="C2389" i="3"/>
  <c r="M2388" i="3"/>
  <c r="K2388" i="3"/>
  <c r="G2388" i="3"/>
  <c r="D2388" i="3"/>
  <c r="C2388" i="3"/>
  <c r="M2387" i="3"/>
  <c r="K2387" i="3"/>
  <c r="G2387" i="3"/>
  <c r="D2387" i="3"/>
  <c r="C2387" i="3"/>
  <c r="M2386" i="3"/>
  <c r="K2386" i="3"/>
  <c r="G2386" i="3"/>
  <c r="D2386" i="3"/>
  <c r="C2386" i="3"/>
  <c r="M2385" i="3"/>
  <c r="K2385" i="3"/>
  <c r="G2385" i="3"/>
  <c r="D2385" i="3"/>
  <c r="C2385" i="3"/>
  <c r="M2384" i="3"/>
  <c r="K2384" i="3"/>
  <c r="G2384" i="3"/>
  <c r="D2384" i="3"/>
  <c r="C2384" i="3"/>
  <c r="M2383" i="3"/>
  <c r="K2383" i="3"/>
  <c r="G2383" i="3"/>
  <c r="D2383" i="3"/>
  <c r="C2383" i="3"/>
  <c r="M2382" i="3"/>
  <c r="K2382" i="3"/>
  <c r="G2382" i="3"/>
  <c r="D2382" i="3"/>
  <c r="C2382" i="3"/>
  <c r="M2381" i="3"/>
  <c r="K2381" i="3"/>
  <c r="G2381" i="3"/>
  <c r="D2381" i="3"/>
  <c r="C2381" i="3"/>
  <c r="M2380" i="3"/>
  <c r="K2380" i="3"/>
  <c r="G2380" i="3"/>
  <c r="D2380" i="3"/>
  <c r="C2380" i="3"/>
  <c r="M2379" i="3"/>
  <c r="K2379" i="3"/>
  <c r="G2379" i="3"/>
  <c r="D2379" i="3"/>
  <c r="C2379" i="3"/>
  <c r="M2378" i="3"/>
  <c r="K2378" i="3"/>
  <c r="G2378" i="3"/>
  <c r="D2378" i="3"/>
  <c r="C2378" i="3"/>
  <c r="M2377" i="3"/>
  <c r="K2377" i="3"/>
  <c r="G2377" i="3"/>
  <c r="D2377" i="3"/>
  <c r="C2377" i="3"/>
  <c r="M2376" i="3"/>
  <c r="K2376" i="3"/>
  <c r="G2376" i="3"/>
  <c r="D2376" i="3"/>
  <c r="C2376" i="3"/>
  <c r="M2375" i="3"/>
  <c r="K2375" i="3"/>
  <c r="G2375" i="3"/>
  <c r="D2375" i="3"/>
  <c r="C2375" i="3"/>
  <c r="M2374" i="3"/>
  <c r="K2374" i="3"/>
  <c r="G2374" i="3"/>
  <c r="D2374" i="3"/>
  <c r="C2374" i="3"/>
  <c r="M2373" i="3"/>
  <c r="K2373" i="3"/>
  <c r="G2373" i="3"/>
  <c r="D2373" i="3"/>
  <c r="C2373" i="3"/>
  <c r="M2372" i="3"/>
  <c r="K2372" i="3"/>
  <c r="G2372" i="3"/>
  <c r="D2372" i="3"/>
  <c r="C2372" i="3"/>
  <c r="M2371" i="3"/>
  <c r="K2371" i="3"/>
  <c r="G2371" i="3"/>
  <c r="D2371" i="3"/>
  <c r="C2371" i="3"/>
  <c r="M2370" i="3"/>
  <c r="K2370" i="3"/>
  <c r="G2370" i="3"/>
  <c r="D2370" i="3"/>
  <c r="C2370" i="3"/>
  <c r="M2369" i="3"/>
  <c r="K2369" i="3"/>
  <c r="G2369" i="3"/>
  <c r="D2369" i="3"/>
  <c r="C2369" i="3"/>
  <c r="M2368" i="3"/>
  <c r="K2368" i="3"/>
  <c r="G2368" i="3"/>
  <c r="D2368" i="3"/>
  <c r="C2368" i="3"/>
  <c r="M2367" i="3"/>
  <c r="K2367" i="3"/>
  <c r="G2367" i="3"/>
  <c r="D2367" i="3"/>
  <c r="C2367" i="3"/>
  <c r="M2366" i="3"/>
  <c r="K2366" i="3"/>
  <c r="G2366" i="3"/>
  <c r="D2366" i="3"/>
  <c r="C2366" i="3"/>
  <c r="M2365" i="3"/>
  <c r="K2365" i="3"/>
  <c r="G2365" i="3"/>
  <c r="D2365" i="3"/>
  <c r="C2365" i="3"/>
  <c r="M2364" i="3"/>
  <c r="K2364" i="3"/>
  <c r="G2364" i="3"/>
  <c r="D2364" i="3"/>
  <c r="C2364" i="3"/>
  <c r="M2363" i="3"/>
  <c r="K2363" i="3"/>
  <c r="G2363" i="3"/>
  <c r="D2363" i="3"/>
  <c r="C2363" i="3"/>
  <c r="M2362" i="3"/>
  <c r="K2362" i="3"/>
  <c r="G2362" i="3"/>
  <c r="D2362" i="3"/>
  <c r="C2362" i="3"/>
  <c r="M2361" i="3"/>
  <c r="K2361" i="3"/>
  <c r="G2361" i="3"/>
  <c r="D2361" i="3"/>
  <c r="C2361" i="3"/>
  <c r="M2360" i="3"/>
  <c r="K2360" i="3"/>
  <c r="G2360" i="3"/>
  <c r="D2360" i="3"/>
  <c r="C2360" i="3"/>
  <c r="M2359" i="3"/>
  <c r="K2359" i="3"/>
  <c r="G2359" i="3"/>
  <c r="D2359" i="3"/>
  <c r="C2359" i="3"/>
  <c r="M2358" i="3"/>
  <c r="K2358" i="3"/>
  <c r="G2358" i="3"/>
  <c r="D2358" i="3"/>
  <c r="C2358" i="3"/>
  <c r="M2357" i="3"/>
  <c r="K2357" i="3"/>
  <c r="G2357" i="3"/>
  <c r="D2357" i="3"/>
  <c r="C2357" i="3"/>
  <c r="M2356" i="3"/>
  <c r="K2356" i="3"/>
  <c r="G2356" i="3"/>
  <c r="D2356" i="3"/>
  <c r="C2356" i="3"/>
  <c r="M2355" i="3"/>
  <c r="K2355" i="3"/>
  <c r="G2355" i="3"/>
  <c r="D2355" i="3"/>
  <c r="C2355" i="3"/>
  <c r="M2354" i="3"/>
  <c r="K2354" i="3"/>
  <c r="G2354" i="3"/>
  <c r="D2354" i="3"/>
  <c r="C2354" i="3"/>
  <c r="M2353" i="3"/>
  <c r="K2353" i="3"/>
  <c r="G2353" i="3"/>
  <c r="D2353" i="3"/>
  <c r="C2353" i="3"/>
  <c r="M2352" i="3"/>
  <c r="K2352" i="3"/>
  <c r="G2352" i="3"/>
  <c r="D2352" i="3"/>
  <c r="C2352" i="3"/>
  <c r="M2351" i="3"/>
  <c r="K2351" i="3"/>
  <c r="G2351" i="3"/>
  <c r="D2351" i="3"/>
  <c r="C2351" i="3"/>
  <c r="M2350" i="3"/>
  <c r="K2350" i="3"/>
  <c r="G2350" i="3"/>
  <c r="D2350" i="3"/>
  <c r="C2350" i="3"/>
  <c r="M2349" i="3"/>
  <c r="K2349" i="3"/>
  <c r="G2349" i="3"/>
  <c r="D2349" i="3"/>
  <c r="C2349" i="3"/>
  <c r="M2348" i="3"/>
  <c r="K2348" i="3"/>
  <c r="G2348" i="3"/>
  <c r="D2348" i="3"/>
  <c r="C2348" i="3"/>
  <c r="M2347" i="3"/>
  <c r="K2347" i="3"/>
  <c r="G2347" i="3"/>
  <c r="D2347" i="3"/>
  <c r="C2347" i="3"/>
  <c r="M2346" i="3"/>
  <c r="K2346" i="3"/>
  <c r="G2346" i="3"/>
  <c r="D2346" i="3"/>
  <c r="C2346" i="3"/>
  <c r="M2345" i="3"/>
  <c r="K2345" i="3"/>
  <c r="G2345" i="3"/>
  <c r="D2345" i="3"/>
  <c r="C2345" i="3"/>
  <c r="M2344" i="3"/>
  <c r="K2344" i="3"/>
  <c r="G2344" i="3"/>
  <c r="D2344" i="3"/>
  <c r="C2344" i="3"/>
  <c r="M2343" i="3"/>
  <c r="K2343" i="3"/>
  <c r="G2343" i="3"/>
  <c r="D2343" i="3"/>
  <c r="C2343" i="3"/>
  <c r="M2342" i="3"/>
  <c r="K2342" i="3"/>
  <c r="G2342" i="3"/>
  <c r="D2342" i="3"/>
  <c r="C2342" i="3"/>
  <c r="M2341" i="3"/>
  <c r="K2341" i="3"/>
  <c r="G2341" i="3"/>
  <c r="D2341" i="3"/>
  <c r="C2341" i="3"/>
  <c r="M2340" i="3"/>
  <c r="K2340" i="3"/>
  <c r="G2340" i="3"/>
  <c r="D2340" i="3"/>
  <c r="C2340" i="3"/>
  <c r="M2339" i="3"/>
  <c r="K2339" i="3"/>
  <c r="G2339" i="3"/>
  <c r="D2339" i="3"/>
  <c r="C2339" i="3"/>
  <c r="M2338" i="3"/>
  <c r="K2338" i="3"/>
  <c r="G2338" i="3"/>
  <c r="D2338" i="3"/>
  <c r="C2338" i="3"/>
  <c r="M2337" i="3"/>
  <c r="K2337" i="3"/>
  <c r="G2337" i="3"/>
  <c r="D2337" i="3"/>
  <c r="C2337" i="3"/>
  <c r="M2336" i="3"/>
  <c r="K2336" i="3"/>
  <c r="G2336" i="3"/>
  <c r="D2336" i="3"/>
  <c r="C2336" i="3"/>
  <c r="M2335" i="3"/>
  <c r="K2335" i="3"/>
  <c r="G2335" i="3"/>
  <c r="D2335" i="3"/>
  <c r="C2335" i="3"/>
  <c r="M2334" i="3"/>
  <c r="K2334" i="3"/>
  <c r="G2334" i="3"/>
  <c r="D2334" i="3"/>
  <c r="C2334" i="3"/>
  <c r="M2333" i="3"/>
  <c r="K2333" i="3"/>
  <c r="G2333" i="3"/>
  <c r="D2333" i="3"/>
  <c r="C2333" i="3"/>
  <c r="M2332" i="3"/>
  <c r="K2332" i="3"/>
  <c r="G2332" i="3"/>
  <c r="D2332" i="3"/>
  <c r="C2332" i="3"/>
  <c r="M2331" i="3"/>
  <c r="K2331" i="3"/>
  <c r="G2331" i="3"/>
  <c r="D2331" i="3"/>
  <c r="C2331" i="3"/>
  <c r="M2330" i="3"/>
  <c r="K2330" i="3"/>
  <c r="G2330" i="3"/>
  <c r="D2330" i="3"/>
  <c r="C2330" i="3"/>
  <c r="M2329" i="3"/>
  <c r="K2329" i="3"/>
  <c r="G2329" i="3"/>
  <c r="D2329" i="3"/>
  <c r="C2329" i="3"/>
  <c r="M2328" i="3"/>
  <c r="K2328" i="3"/>
  <c r="G2328" i="3"/>
  <c r="D2328" i="3"/>
  <c r="C2328" i="3"/>
  <c r="M2327" i="3"/>
  <c r="K2327" i="3"/>
  <c r="G2327" i="3"/>
  <c r="D2327" i="3"/>
  <c r="C2327" i="3"/>
  <c r="M2326" i="3"/>
  <c r="K2326" i="3"/>
  <c r="G2326" i="3"/>
  <c r="D2326" i="3"/>
  <c r="C2326" i="3"/>
  <c r="M2325" i="3"/>
  <c r="K2325" i="3"/>
  <c r="G2325" i="3"/>
  <c r="D2325" i="3"/>
  <c r="C2325" i="3"/>
  <c r="M2324" i="3"/>
  <c r="K2324" i="3"/>
  <c r="G2324" i="3"/>
  <c r="D2324" i="3"/>
  <c r="C2324" i="3"/>
  <c r="M2323" i="3"/>
  <c r="K2323" i="3"/>
  <c r="G2323" i="3"/>
  <c r="D2323" i="3"/>
  <c r="C2323" i="3"/>
  <c r="M2322" i="3"/>
  <c r="K2322" i="3"/>
  <c r="G2322" i="3"/>
  <c r="D2322" i="3"/>
  <c r="C2322" i="3"/>
  <c r="M2321" i="3"/>
  <c r="K2321" i="3"/>
  <c r="G2321" i="3"/>
  <c r="D2321" i="3"/>
  <c r="C2321" i="3"/>
  <c r="M2320" i="3"/>
  <c r="K2320" i="3"/>
  <c r="G2320" i="3"/>
  <c r="D2320" i="3"/>
  <c r="C2320" i="3"/>
  <c r="M2319" i="3"/>
  <c r="K2319" i="3"/>
  <c r="G2319" i="3"/>
  <c r="D2319" i="3"/>
  <c r="C2319" i="3"/>
  <c r="M2318" i="3"/>
  <c r="K2318" i="3"/>
  <c r="G2318" i="3"/>
  <c r="D2318" i="3"/>
  <c r="C2318" i="3"/>
  <c r="M2317" i="3"/>
  <c r="K2317" i="3"/>
  <c r="G2317" i="3"/>
  <c r="D2317" i="3"/>
  <c r="C2317" i="3"/>
  <c r="M2316" i="3"/>
  <c r="K2316" i="3"/>
  <c r="G2316" i="3"/>
  <c r="D2316" i="3"/>
  <c r="C2316" i="3"/>
  <c r="M2315" i="3"/>
  <c r="K2315" i="3"/>
  <c r="G2315" i="3"/>
  <c r="D2315" i="3"/>
  <c r="C2315" i="3"/>
  <c r="M2314" i="3"/>
  <c r="K2314" i="3"/>
  <c r="G2314" i="3"/>
  <c r="D2314" i="3"/>
  <c r="C2314" i="3"/>
  <c r="M2313" i="3"/>
  <c r="K2313" i="3"/>
  <c r="G2313" i="3"/>
  <c r="D2313" i="3"/>
  <c r="C2313" i="3"/>
  <c r="M2312" i="3"/>
  <c r="K2312" i="3"/>
  <c r="G2312" i="3"/>
  <c r="D2312" i="3"/>
  <c r="C2312" i="3"/>
  <c r="M2311" i="3"/>
  <c r="K2311" i="3"/>
  <c r="G2311" i="3"/>
  <c r="D2311" i="3"/>
  <c r="C2311" i="3"/>
  <c r="M2310" i="3"/>
  <c r="K2310" i="3"/>
  <c r="G2310" i="3"/>
  <c r="D2310" i="3"/>
  <c r="C2310" i="3"/>
  <c r="M2309" i="3"/>
  <c r="K2309" i="3"/>
  <c r="G2309" i="3"/>
  <c r="D2309" i="3"/>
  <c r="C2309" i="3"/>
  <c r="M2308" i="3"/>
  <c r="K2308" i="3"/>
  <c r="G2308" i="3"/>
  <c r="D2308" i="3"/>
  <c r="C2308" i="3"/>
  <c r="M2307" i="3"/>
  <c r="K2307" i="3"/>
  <c r="G2307" i="3"/>
  <c r="D2307" i="3"/>
  <c r="C2307" i="3"/>
  <c r="M2306" i="3"/>
  <c r="K2306" i="3"/>
  <c r="G2306" i="3"/>
  <c r="D2306" i="3"/>
  <c r="C2306" i="3"/>
  <c r="M2305" i="3"/>
  <c r="K2305" i="3"/>
  <c r="G2305" i="3"/>
  <c r="D2305" i="3"/>
  <c r="C2305" i="3"/>
  <c r="M2304" i="3"/>
  <c r="K2304" i="3"/>
  <c r="G2304" i="3"/>
  <c r="D2304" i="3"/>
  <c r="C2304" i="3"/>
  <c r="M2303" i="3"/>
  <c r="K2303" i="3"/>
  <c r="G2303" i="3"/>
  <c r="D2303" i="3"/>
  <c r="C2303" i="3"/>
  <c r="M2302" i="3"/>
  <c r="K2302" i="3"/>
  <c r="G2302" i="3"/>
  <c r="D2302" i="3"/>
  <c r="C2302" i="3"/>
  <c r="M2301" i="3"/>
  <c r="K2301" i="3"/>
  <c r="G2301" i="3"/>
  <c r="D2301" i="3"/>
  <c r="C2301" i="3"/>
  <c r="M2300" i="3"/>
  <c r="K2300" i="3"/>
  <c r="G2300" i="3"/>
  <c r="D2300" i="3"/>
  <c r="C2300" i="3"/>
  <c r="M2299" i="3"/>
  <c r="K2299" i="3"/>
  <c r="G2299" i="3"/>
  <c r="D2299" i="3"/>
  <c r="C2299" i="3"/>
  <c r="M2298" i="3"/>
  <c r="K2298" i="3"/>
  <c r="G2298" i="3"/>
  <c r="D2298" i="3"/>
  <c r="C2298" i="3"/>
  <c r="M2297" i="3"/>
  <c r="K2297" i="3"/>
  <c r="G2297" i="3"/>
  <c r="D2297" i="3"/>
  <c r="C2297" i="3"/>
  <c r="M2296" i="3"/>
  <c r="K2296" i="3"/>
  <c r="G2296" i="3"/>
  <c r="D2296" i="3"/>
  <c r="C2296" i="3"/>
  <c r="M2295" i="3"/>
  <c r="K2295" i="3"/>
  <c r="G2295" i="3"/>
  <c r="D2295" i="3"/>
  <c r="C2295" i="3"/>
  <c r="M2294" i="3"/>
  <c r="K2294" i="3"/>
  <c r="G2294" i="3"/>
  <c r="D2294" i="3"/>
  <c r="C2294" i="3"/>
  <c r="M2293" i="3"/>
  <c r="K2293" i="3"/>
  <c r="G2293" i="3"/>
  <c r="D2293" i="3"/>
  <c r="C2293" i="3"/>
  <c r="M2292" i="3"/>
  <c r="K2292" i="3"/>
  <c r="G2292" i="3"/>
  <c r="D2292" i="3"/>
  <c r="C2292" i="3"/>
  <c r="M2291" i="3"/>
  <c r="K2291" i="3"/>
  <c r="G2291" i="3"/>
  <c r="D2291" i="3"/>
  <c r="C2291" i="3"/>
  <c r="M2290" i="3"/>
  <c r="K2290" i="3"/>
  <c r="G2290" i="3"/>
  <c r="D2290" i="3"/>
  <c r="C2290" i="3"/>
  <c r="M2289" i="3"/>
  <c r="K2289" i="3"/>
  <c r="G2289" i="3"/>
  <c r="D2289" i="3"/>
  <c r="C2289" i="3"/>
  <c r="M2288" i="3"/>
  <c r="K2288" i="3"/>
  <c r="G2288" i="3"/>
  <c r="D2288" i="3"/>
  <c r="C2288" i="3"/>
  <c r="M2287" i="3"/>
  <c r="K2287" i="3"/>
  <c r="G2287" i="3"/>
  <c r="D2287" i="3"/>
  <c r="C2287" i="3"/>
  <c r="M2286" i="3"/>
  <c r="K2286" i="3"/>
  <c r="G2286" i="3"/>
  <c r="D2286" i="3"/>
  <c r="C2286" i="3"/>
  <c r="M2285" i="3"/>
  <c r="K2285" i="3"/>
  <c r="G2285" i="3"/>
  <c r="D2285" i="3"/>
  <c r="C2285" i="3"/>
  <c r="M2284" i="3"/>
  <c r="K2284" i="3"/>
  <c r="G2284" i="3"/>
  <c r="D2284" i="3"/>
  <c r="C2284" i="3"/>
  <c r="M2283" i="3"/>
  <c r="K2283" i="3"/>
  <c r="G2283" i="3"/>
  <c r="D2283" i="3"/>
  <c r="C2283" i="3"/>
  <c r="M2282" i="3"/>
  <c r="K2282" i="3"/>
  <c r="G2282" i="3"/>
  <c r="D2282" i="3"/>
  <c r="C2282" i="3"/>
  <c r="M2281" i="3"/>
  <c r="K2281" i="3"/>
  <c r="G2281" i="3"/>
  <c r="D2281" i="3"/>
  <c r="C2281" i="3"/>
  <c r="M2280" i="3"/>
  <c r="K2280" i="3"/>
  <c r="G2280" i="3"/>
  <c r="D2280" i="3"/>
  <c r="C2280" i="3"/>
  <c r="M2279" i="3"/>
  <c r="K2279" i="3"/>
  <c r="G2279" i="3"/>
  <c r="D2279" i="3"/>
  <c r="C2279" i="3"/>
  <c r="M2278" i="3"/>
  <c r="K2278" i="3"/>
  <c r="G2278" i="3"/>
  <c r="D2278" i="3"/>
  <c r="C2278" i="3"/>
  <c r="M2277" i="3"/>
  <c r="K2277" i="3"/>
  <c r="G2277" i="3"/>
  <c r="D2277" i="3"/>
  <c r="C2277" i="3"/>
  <c r="M2276" i="3"/>
  <c r="K2276" i="3"/>
  <c r="G2276" i="3"/>
  <c r="D2276" i="3"/>
  <c r="C2276" i="3"/>
  <c r="M2275" i="3"/>
  <c r="K2275" i="3"/>
  <c r="G2275" i="3"/>
  <c r="D2275" i="3"/>
  <c r="C2275" i="3"/>
  <c r="M2274" i="3"/>
  <c r="K2274" i="3"/>
  <c r="G2274" i="3"/>
  <c r="D2274" i="3"/>
  <c r="C2274" i="3"/>
  <c r="M2273" i="3"/>
  <c r="K2273" i="3"/>
  <c r="G2273" i="3"/>
  <c r="D2273" i="3"/>
  <c r="C2273" i="3"/>
  <c r="M2272" i="3"/>
  <c r="K2272" i="3"/>
  <c r="G2272" i="3"/>
  <c r="D2272" i="3"/>
  <c r="C2272" i="3"/>
  <c r="M2271" i="3"/>
  <c r="K2271" i="3"/>
  <c r="G2271" i="3"/>
  <c r="D2271" i="3"/>
  <c r="C2271" i="3"/>
  <c r="M2270" i="3"/>
  <c r="K2270" i="3"/>
  <c r="G2270" i="3"/>
  <c r="D2270" i="3"/>
  <c r="C2270" i="3"/>
  <c r="M2269" i="3"/>
  <c r="K2269" i="3"/>
  <c r="G2269" i="3"/>
  <c r="D2269" i="3"/>
  <c r="C2269" i="3"/>
  <c r="M2268" i="3"/>
  <c r="K2268" i="3"/>
  <c r="G2268" i="3"/>
  <c r="D2268" i="3"/>
  <c r="C2268" i="3"/>
  <c r="M2267" i="3"/>
  <c r="K2267" i="3"/>
  <c r="G2267" i="3"/>
  <c r="D2267" i="3"/>
  <c r="C2267" i="3"/>
  <c r="M2266" i="3"/>
  <c r="K2266" i="3"/>
  <c r="G2266" i="3"/>
  <c r="D2266" i="3"/>
  <c r="C2266" i="3"/>
  <c r="M2265" i="3"/>
  <c r="K2265" i="3"/>
  <c r="G2265" i="3"/>
  <c r="D2265" i="3"/>
  <c r="C2265" i="3"/>
  <c r="M2264" i="3"/>
  <c r="K2264" i="3"/>
  <c r="G2264" i="3"/>
  <c r="D2264" i="3"/>
  <c r="C2264" i="3"/>
  <c r="M2263" i="3"/>
  <c r="K2263" i="3"/>
  <c r="G2263" i="3"/>
  <c r="D2263" i="3"/>
  <c r="C2263" i="3"/>
  <c r="M2262" i="3"/>
  <c r="K2262" i="3"/>
  <c r="G2262" i="3"/>
  <c r="D2262" i="3"/>
  <c r="C2262" i="3"/>
  <c r="M2261" i="3"/>
  <c r="K2261" i="3"/>
  <c r="G2261" i="3"/>
  <c r="D2261" i="3"/>
  <c r="C2261" i="3"/>
  <c r="M2260" i="3"/>
  <c r="K2260" i="3"/>
  <c r="G2260" i="3"/>
  <c r="D2260" i="3"/>
  <c r="C2260" i="3"/>
  <c r="M2259" i="3"/>
  <c r="K2259" i="3"/>
  <c r="G2259" i="3"/>
  <c r="D2259" i="3"/>
  <c r="C2259" i="3"/>
  <c r="M2258" i="3"/>
  <c r="K2258" i="3"/>
  <c r="G2258" i="3"/>
  <c r="D2258" i="3"/>
  <c r="C2258" i="3"/>
  <c r="M2257" i="3"/>
  <c r="K2257" i="3"/>
  <c r="G2257" i="3"/>
  <c r="D2257" i="3"/>
  <c r="C2257" i="3"/>
  <c r="M2256" i="3"/>
  <c r="K2256" i="3"/>
  <c r="G2256" i="3"/>
  <c r="D2256" i="3"/>
  <c r="C2256" i="3"/>
  <c r="M2255" i="3"/>
  <c r="K2255" i="3"/>
  <c r="G2255" i="3"/>
  <c r="D2255" i="3"/>
  <c r="C2255" i="3"/>
  <c r="M2254" i="3"/>
  <c r="K2254" i="3"/>
  <c r="G2254" i="3"/>
  <c r="D2254" i="3"/>
  <c r="C2254" i="3"/>
  <c r="M2253" i="3"/>
  <c r="K2253" i="3"/>
  <c r="G2253" i="3"/>
  <c r="D2253" i="3"/>
  <c r="C2253" i="3"/>
  <c r="M2252" i="3"/>
  <c r="K2252" i="3"/>
  <c r="G2252" i="3"/>
  <c r="D2252" i="3"/>
  <c r="C2252" i="3"/>
  <c r="M2251" i="3"/>
  <c r="K2251" i="3"/>
  <c r="G2251" i="3"/>
  <c r="D2251" i="3"/>
  <c r="C2251" i="3"/>
  <c r="M2250" i="3"/>
  <c r="K2250" i="3"/>
  <c r="G2250" i="3"/>
  <c r="D2250" i="3"/>
  <c r="C2250" i="3"/>
  <c r="M2249" i="3"/>
  <c r="K2249" i="3"/>
  <c r="G2249" i="3"/>
  <c r="D2249" i="3"/>
  <c r="C2249" i="3"/>
  <c r="M2248" i="3"/>
  <c r="K2248" i="3"/>
  <c r="G2248" i="3"/>
  <c r="D2248" i="3"/>
  <c r="C2248" i="3"/>
  <c r="M2247" i="3"/>
  <c r="K2247" i="3"/>
  <c r="G2247" i="3"/>
  <c r="D2247" i="3"/>
  <c r="C2247" i="3"/>
  <c r="M2246" i="3"/>
  <c r="K2246" i="3"/>
  <c r="G2246" i="3"/>
  <c r="D2246" i="3"/>
  <c r="C2246" i="3"/>
  <c r="M2245" i="3"/>
  <c r="K2245" i="3"/>
  <c r="G2245" i="3"/>
  <c r="D2245" i="3"/>
  <c r="C2245" i="3"/>
  <c r="M2244" i="3"/>
  <c r="K2244" i="3"/>
  <c r="G2244" i="3"/>
  <c r="D2244" i="3"/>
  <c r="C2244" i="3"/>
  <c r="M2243" i="3"/>
  <c r="K2243" i="3"/>
  <c r="G2243" i="3"/>
  <c r="D2243" i="3"/>
  <c r="C2243" i="3"/>
  <c r="M2242" i="3"/>
  <c r="K2242" i="3"/>
  <c r="G2242" i="3"/>
  <c r="D2242" i="3"/>
  <c r="C2242" i="3"/>
  <c r="M2241" i="3"/>
  <c r="K2241" i="3"/>
  <c r="G2241" i="3"/>
  <c r="D2241" i="3"/>
  <c r="C2241" i="3"/>
  <c r="M2240" i="3"/>
  <c r="K2240" i="3"/>
  <c r="G2240" i="3"/>
  <c r="D2240" i="3"/>
  <c r="C2240" i="3"/>
  <c r="M2239" i="3"/>
  <c r="K2239" i="3"/>
  <c r="G2239" i="3"/>
  <c r="D2239" i="3"/>
  <c r="C2239" i="3"/>
  <c r="M2238" i="3"/>
  <c r="K2238" i="3"/>
  <c r="G2238" i="3"/>
  <c r="D2238" i="3"/>
  <c r="C2238" i="3"/>
  <c r="M2237" i="3"/>
  <c r="K2237" i="3"/>
  <c r="G2237" i="3"/>
  <c r="D2237" i="3"/>
  <c r="C2237" i="3"/>
  <c r="M2236" i="3"/>
  <c r="K2236" i="3"/>
  <c r="G2236" i="3"/>
  <c r="D2236" i="3"/>
  <c r="C2236" i="3"/>
  <c r="M2235" i="3"/>
  <c r="K2235" i="3"/>
  <c r="G2235" i="3"/>
  <c r="D2235" i="3"/>
  <c r="C2235" i="3"/>
  <c r="M2234" i="3"/>
  <c r="K2234" i="3"/>
  <c r="G2234" i="3"/>
  <c r="D2234" i="3"/>
  <c r="C2234" i="3"/>
  <c r="M2233" i="3"/>
  <c r="K2233" i="3"/>
  <c r="G2233" i="3"/>
  <c r="D2233" i="3"/>
  <c r="C2233" i="3"/>
  <c r="M2232" i="3"/>
  <c r="K2232" i="3"/>
  <c r="G2232" i="3"/>
  <c r="D2232" i="3"/>
  <c r="C2232" i="3"/>
  <c r="M2231" i="3"/>
  <c r="K2231" i="3"/>
  <c r="G2231" i="3"/>
  <c r="D2231" i="3"/>
  <c r="C2231" i="3"/>
  <c r="M2230" i="3"/>
  <c r="K2230" i="3"/>
  <c r="G2230" i="3"/>
  <c r="D2230" i="3"/>
  <c r="C2230" i="3"/>
  <c r="M2229" i="3"/>
  <c r="K2229" i="3"/>
  <c r="G2229" i="3"/>
  <c r="D2229" i="3"/>
  <c r="C2229" i="3"/>
  <c r="M2228" i="3"/>
  <c r="K2228" i="3"/>
  <c r="G2228" i="3"/>
  <c r="D2228" i="3"/>
  <c r="C2228" i="3"/>
  <c r="M2227" i="3"/>
  <c r="K2227" i="3"/>
  <c r="G2227" i="3"/>
  <c r="D2227" i="3"/>
  <c r="C2227" i="3"/>
  <c r="M2226" i="3"/>
  <c r="K2226" i="3"/>
  <c r="G2226" i="3"/>
  <c r="D2226" i="3"/>
  <c r="C2226" i="3"/>
  <c r="M2225" i="3"/>
  <c r="K2225" i="3"/>
  <c r="G2225" i="3"/>
  <c r="D2225" i="3"/>
  <c r="C2225" i="3"/>
  <c r="M2224" i="3"/>
  <c r="K2224" i="3"/>
  <c r="G2224" i="3"/>
  <c r="D2224" i="3"/>
  <c r="C2224" i="3"/>
  <c r="M2223" i="3"/>
  <c r="K2223" i="3"/>
  <c r="G2223" i="3"/>
  <c r="D2223" i="3"/>
  <c r="C2223" i="3"/>
  <c r="M2222" i="3"/>
  <c r="K2222" i="3"/>
  <c r="G2222" i="3"/>
  <c r="D2222" i="3"/>
  <c r="C2222" i="3"/>
  <c r="M2221" i="3"/>
  <c r="K2221" i="3"/>
  <c r="G2221" i="3"/>
  <c r="D2221" i="3"/>
  <c r="C2221" i="3"/>
  <c r="M2220" i="3"/>
  <c r="K2220" i="3"/>
  <c r="G2220" i="3"/>
  <c r="D2220" i="3"/>
  <c r="C2220" i="3"/>
  <c r="M2219" i="3"/>
  <c r="K2219" i="3"/>
  <c r="G2219" i="3"/>
  <c r="D2219" i="3"/>
  <c r="C2219" i="3"/>
  <c r="M2218" i="3"/>
  <c r="K2218" i="3"/>
  <c r="G2218" i="3"/>
  <c r="D2218" i="3"/>
  <c r="C2218" i="3"/>
  <c r="M2217" i="3"/>
  <c r="K2217" i="3"/>
  <c r="G2217" i="3"/>
  <c r="D2217" i="3"/>
  <c r="C2217" i="3"/>
  <c r="M2216" i="3"/>
  <c r="K2216" i="3"/>
  <c r="G2216" i="3"/>
  <c r="D2216" i="3"/>
  <c r="C2216" i="3"/>
  <c r="M2215" i="3"/>
  <c r="K2215" i="3"/>
  <c r="G2215" i="3"/>
  <c r="D2215" i="3"/>
  <c r="C2215" i="3"/>
  <c r="M2214" i="3"/>
  <c r="K2214" i="3"/>
  <c r="G2214" i="3"/>
  <c r="D2214" i="3"/>
  <c r="C2214" i="3"/>
  <c r="M2213" i="3"/>
  <c r="K2213" i="3"/>
  <c r="G2213" i="3"/>
  <c r="D2213" i="3"/>
  <c r="C2213" i="3"/>
  <c r="M2212" i="3"/>
  <c r="K2212" i="3"/>
  <c r="G2212" i="3"/>
  <c r="D2212" i="3"/>
  <c r="C2212" i="3"/>
  <c r="M2211" i="3"/>
  <c r="K2211" i="3"/>
  <c r="G2211" i="3"/>
  <c r="D2211" i="3"/>
  <c r="C2211" i="3"/>
  <c r="M2210" i="3"/>
  <c r="K2210" i="3"/>
  <c r="G2210" i="3"/>
  <c r="D2210" i="3"/>
  <c r="C2210" i="3"/>
  <c r="M2209" i="3"/>
  <c r="K2209" i="3"/>
  <c r="G2209" i="3"/>
  <c r="D2209" i="3"/>
  <c r="C2209" i="3"/>
  <c r="M2208" i="3"/>
  <c r="K2208" i="3"/>
  <c r="G2208" i="3"/>
  <c r="D2208" i="3"/>
  <c r="C2208" i="3"/>
  <c r="M2207" i="3"/>
  <c r="K2207" i="3"/>
  <c r="G2207" i="3"/>
  <c r="D2207" i="3"/>
  <c r="C2207" i="3"/>
  <c r="M2206" i="3"/>
  <c r="K2206" i="3"/>
  <c r="G2206" i="3"/>
  <c r="D2206" i="3"/>
  <c r="C2206" i="3"/>
  <c r="M2205" i="3"/>
  <c r="K2205" i="3"/>
  <c r="G2205" i="3"/>
  <c r="D2205" i="3"/>
  <c r="C2205" i="3"/>
  <c r="M2204" i="3"/>
  <c r="K2204" i="3"/>
  <c r="G2204" i="3"/>
  <c r="D2204" i="3"/>
  <c r="C2204" i="3"/>
  <c r="M2203" i="3"/>
  <c r="K2203" i="3"/>
  <c r="G2203" i="3"/>
  <c r="D2203" i="3"/>
  <c r="C2203" i="3"/>
  <c r="M2202" i="3"/>
  <c r="K2202" i="3"/>
  <c r="G2202" i="3"/>
  <c r="D2202" i="3"/>
  <c r="C2202" i="3"/>
  <c r="M2201" i="3"/>
  <c r="K2201" i="3"/>
  <c r="G2201" i="3"/>
  <c r="D2201" i="3"/>
  <c r="C2201" i="3"/>
  <c r="M2200" i="3"/>
  <c r="K2200" i="3"/>
  <c r="G2200" i="3"/>
  <c r="D2200" i="3"/>
  <c r="C2200" i="3"/>
  <c r="M2199" i="3"/>
  <c r="K2199" i="3"/>
  <c r="G2199" i="3"/>
  <c r="D2199" i="3"/>
  <c r="C2199" i="3"/>
  <c r="M2198" i="3"/>
  <c r="K2198" i="3"/>
  <c r="G2198" i="3"/>
  <c r="D2198" i="3"/>
  <c r="C2198" i="3"/>
  <c r="M2197" i="3"/>
  <c r="K2197" i="3"/>
  <c r="G2197" i="3"/>
  <c r="D2197" i="3"/>
  <c r="C2197" i="3"/>
  <c r="M2196" i="3"/>
  <c r="K2196" i="3"/>
  <c r="G2196" i="3"/>
  <c r="D2196" i="3"/>
  <c r="C2196" i="3"/>
  <c r="M2195" i="3"/>
  <c r="K2195" i="3"/>
  <c r="G2195" i="3"/>
  <c r="D2195" i="3"/>
  <c r="C2195" i="3"/>
  <c r="M2194" i="3"/>
  <c r="K2194" i="3"/>
  <c r="G2194" i="3"/>
  <c r="D2194" i="3"/>
  <c r="C2194" i="3"/>
  <c r="M2193" i="3"/>
  <c r="K2193" i="3"/>
  <c r="G2193" i="3"/>
  <c r="D2193" i="3"/>
  <c r="C2193" i="3"/>
  <c r="M2192" i="3"/>
  <c r="K2192" i="3"/>
  <c r="G2192" i="3"/>
  <c r="D2192" i="3"/>
  <c r="C2192" i="3"/>
  <c r="M2191" i="3"/>
  <c r="K2191" i="3"/>
  <c r="G2191" i="3"/>
  <c r="D2191" i="3"/>
  <c r="C2191" i="3"/>
  <c r="M2190" i="3"/>
  <c r="K2190" i="3"/>
  <c r="G2190" i="3"/>
  <c r="D2190" i="3"/>
  <c r="C2190" i="3"/>
  <c r="M2189" i="3"/>
  <c r="K2189" i="3"/>
  <c r="G2189" i="3"/>
  <c r="D2189" i="3"/>
  <c r="C2189" i="3"/>
  <c r="M2188" i="3"/>
  <c r="K2188" i="3"/>
  <c r="G2188" i="3"/>
  <c r="D2188" i="3"/>
  <c r="C2188" i="3"/>
  <c r="M2187" i="3"/>
  <c r="K2187" i="3"/>
  <c r="G2187" i="3"/>
  <c r="D2187" i="3"/>
  <c r="C2187" i="3"/>
  <c r="M2186" i="3"/>
  <c r="K2186" i="3"/>
  <c r="G2186" i="3"/>
  <c r="D2186" i="3"/>
  <c r="C2186" i="3"/>
  <c r="M2185" i="3"/>
  <c r="K2185" i="3"/>
  <c r="G2185" i="3"/>
  <c r="D2185" i="3"/>
  <c r="C2185" i="3"/>
  <c r="M2184" i="3"/>
  <c r="K2184" i="3"/>
  <c r="G2184" i="3"/>
  <c r="D2184" i="3"/>
  <c r="C2184" i="3"/>
  <c r="M2183" i="3"/>
  <c r="K2183" i="3"/>
  <c r="G2183" i="3"/>
  <c r="D2183" i="3"/>
  <c r="C2183" i="3"/>
  <c r="M2182" i="3"/>
  <c r="K2182" i="3"/>
  <c r="G2182" i="3"/>
  <c r="D2182" i="3"/>
  <c r="C2182" i="3"/>
  <c r="M2181" i="3"/>
  <c r="K2181" i="3"/>
  <c r="G2181" i="3"/>
  <c r="D2181" i="3"/>
  <c r="C2181" i="3"/>
  <c r="M2180" i="3"/>
  <c r="K2180" i="3"/>
  <c r="G2180" i="3"/>
  <c r="D2180" i="3"/>
  <c r="C2180" i="3"/>
  <c r="M2179" i="3"/>
  <c r="K2179" i="3"/>
  <c r="G2179" i="3"/>
  <c r="D2179" i="3"/>
  <c r="C2179" i="3"/>
  <c r="M2178" i="3"/>
  <c r="K2178" i="3"/>
  <c r="G2178" i="3"/>
  <c r="D2178" i="3"/>
  <c r="C2178" i="3"/>
  <c r="M2177" i="3"/>
  <c r="K2177" i="3"/>
  <c r="G2177" i="3"/>
  <c r="D2177" i="3"/>
  <c r="C2177" i="3"/>
  <c r="M2176" i="3"/>
  <c r="K2176" i="3"/>
  <c r="G2176" i="3"/>
  <c r="D2176" i="3"/>
  <c r="C2176" i="3"/>
  <c r="M2175" i="3"/>
  <c r="K2175" i="3"/>
  <c r="G2175" i="3"/>
  <c r="D2175" i="3"/>
  <c r="C2175" i="3"/>
  <c r="M2174" i="3"/>
  <c r="K2174" i="3"/>
  <c r="G2174" i="3"/>
  <c r="D2174" i="3"/>
  <c r="C2174" i="3"/>
  <c r="M2173" i="3"/>
  <c r="K2173" i="3"/>
  <c r="G2173" i="3"/>
  <c r="D2173" i="3"/>
  <c r="C2173" i="3"/>
  <c r="M2172" i="3"/>
  <c r="K2172" i="3"/>
  <c r="G2172" i="3"/>
  <c r="D2172" i="3"/>
  <c r="C2172" i="3"/>
  <c r="M2171" i="3"/>
  <c r="K2171" i="3"/>
  <c r="G2171" i="3"/>
  <c r="D2171" i="3"/>
  <c r="C2171" i="3"/>
  <c r="M2170" i="3"/>
  <c r="K2170" i="3"/>
  <c r="G2170" i="3"/>
  <c r="D2170" i="3"/>
  <c r="C2170" i="3"/>
  <c r="M2169" i="3"/>
  <c r="K2169" i="3"/>
  <c r="G2169" i="3"/>
  <c r="D2169" i="3"/>
  <c r="C2169" i="3"/>
  <c r="M2168" i="3"/>
  <c r="K2168" i="3"/>
  <c r="G2168" i="3"/>
  <c r="D2168" i="3"/>
  <c r="C2168" i="3"/>
  <c r="M2167" i="3"/>
  <c r="K2167" i="3"/>
  <c r="G2167" i="3"/>
  <c r="D2167" i="3"/>
  <c r="C2167" i="3"/>
  <c r="M2166" i="3"/>
  <c r="K2166" i="3"/>
  <c r="G2166" i="3"/>
  <c r="D2166" i="3"/>
  <c r="C2166" i="3"/>
  <c r="M2165" i="3"/>
  <c r="K2165" i="3"/>
  <c r="G2165" i="3"/>
  <c r="D2165" i="3"/>
  <c r="C2165" i="3"/>
  <c r="M2164" i="3"/>
  <c r="K2164" i="3"/>
  <c r="G2164" i="3"/>
  <c r="D2164" i="3"/>
  <c r="C2164" i="3"/>
  <c r="M2163" i="3"/>
  <c r="K2163" i="3"/>
  <c r="G2163" i="3"/>
  <c r="D2163" i="3"/>
  <c r="C2163" i="3"/>
  <c r="M2162" i="3"/>
  <c r="K2162" i="3"/>
  <c r="G2162" i="3"/>
  <c r="D2162" i="3"/>
  <c r="C2162" i="3"/>
  <c r="M2161" i="3"/>
  <c r="K2161" i="3"/>
  <c r="G2161" i="3"/>
  <c r="D2161" i="3"/>
  <c r="C2161" i="3"/>
  <c r="M2160" i="3"/>
  <c r="K2160" i="3"/>
  <c r="G2160" i="3"/>
  <c r="D2160" i="3"/>
  <c r="C2160" i="3"/>
  <c r="M2159" i="3"/>
  <c r="K2159" i="3"/>
  <c r="G2159" i="3"/>
  <c r="D2159" i="3"/>
  <c r="C2159" i="3"/>
  <c r="M2158" i="3"/>
  <c r="K2158" i="3"/>
  <c r="G2158" i="3"/>
  <c r="D2158" i="3"/>
  <c r="C2158" i="3"/>
  <c r="M2157" i="3"/>
  <c r="K2157" i="3"/>
  <c r="G2157" i="3"/>
  <c r="D2157" i="3"/>
  <c r="C2157" i="3"/>
  <c r="M2156" i="3"/>
  <c r="K2156" i="3"/>
  <c r="G2156" i="3"/>
  <c r="D2156" i="3"/>
  <c r="C2156" i="3"/>
  <c r="M2155" i="3"/>
  <c r="K2155" i="3"/>
  <c r="G2155" i="3"/>
  <c r="D2155" i="3"/>
  <c r="C2155" i="3"/>
  <c r="M2154" i="3"/>
  <c r="K2154" i="3"/>
  <c r="G2154" i="3"/>
  <c r="D2154" i="3"/>
  <c r="C2154" i="3"/>
  <c r="M2153" i="3"/>
  <c r="K2153" i="3"/>
  <c r="G2153" i="3"/>
  <c r="D2153" i="3"/>
  <c r="C2153" i="3"/>
  <c r="M2152" i="3"/>
  <c r="K2152" i="3"/>
  <c r="G2152" i="3"/>
  <c r="D2152" i="3"/>
  <c r="C2152" i="3"/>
  <c r="M2151" i="3"/>
  <c r="K2151" i="3"/>
  <c r="G2151" i="3"/>
  <c r="D2151" i="3"/>
  <c r="C2151" i="3"/>
  <c r="M2150" i="3"/>
  <c r="K2150" i="3"/>
  <c r="G2150" i="3"/>
  <c r="D2150" i="3"/>
  <c r="C2150" i="3"/>
  <c r="M2149" i="3"/>
  <c r="K2149" i="3"/>
  <c r="G2149" i="3"/>
  <c r="D2149" i="3"/>
  <c r="C2149" i="3"/>
  <c r="M2148" i="3"/>
  <c r="K2148" i="3"/>
  <c r="G2148" i="3"/>
  <c r="D2148" i="3"/>
  <c r="C2148" i="3"/>
  <c r="M2147" i="3"/>
  <c r="K2147" i="3"/>
  <c r="G2147" i="3"/>
  <c r="D2147" i="3"/>
  <c r="C2147" i="3"/>
  <c r="M2146" i="3"/>
  <c r="K2146" i="3"/>
  <c r="G2146" i="3"/>
  <c r="D2146" i="3"/>
  <c r="C2146" i="3"/>
  <c r="M2145" i="3"/>
  <c r="K2145" i="3"/>
  <c r="G2145" i="3"/>
  <c r="D2145" i="3"/>
  <c r="C2145" i="3"/>
  <c r="M2144" i="3"/>
  <c r="K2144" i="3"/>
  <c r="G2144" i="3"/>
  <c r="D2144" i="3"/>
  <c r="C2144" i="3"/>
  <c r="M2143" i="3"/>
  <c r="K2143" i="3"/>
  <c r="G2143" i="3"/>
  <c r="D2143" i="3"/>
  <c r="C2143" i="3"/>
  <c r="M2142" i="3"/>
  <c r="K2142" i="3"/>
  <c r="G2142" i="3"/>
  <c r="D2142" i="3"/>
  <c r="C2142" i="3"/>
  <c r="M2141" i="3"/>
  <c r="K2141" i="3"/>
  <c r="G2141" i="3"/>
  <c r="D2141" i="3"/>
  <c r="C2141" i="3"/>
  <c r="M2140" i="3"/>
  <c r="K2140" i="3"/>
  <c r="G2140" i="3"/>
  <c r="D2140" i="3"/>
  <c r="C2140" i="3"/>
  <c r="M2139" i="3"/>
  <c r="K2139" i="3"/>
  <c r="G2139" i="3"/>
  <c r="D2139" i="3"/>
  <c r="C2139" i="3"/>
  <c r="M2138" i="3"/>
  <c r="K2138" i="3"/>
  <c r="G2138" i="3"/>
  <c r="D2138" i="3"/>
  <c r="C2138" i="3"/>
  <c r="M2137" i="3"/>
  <c r="K2137" i="3"/>
  <c r="G2137" i="3"/>
  <c r="D2137" i="3"/>
  <c r="C2137" i="3"/>
  <c r="M2136" i="3"/>
  <c r="K2136" i="3"/>
  <c r="G2136" i="3"/>
  <c r="D2136" i="3"/>
  <c r="C2136" i="3"/>
  <c r="M2135" i="3"/>
  <c r="K2135" i="3"/>
  <c r="G2135" i="3"/>
  <c r="D2135" i="3"/>
  <c r="C2135" i="3"/>
  <c r="M2134" i="3"/>
  <c r="K2134" i="3"/>
  <c r="G2134" i="3"/>
  <c r="D2134" i="3"/>
  <c r="C2134" i="3"/>
  <c r="M2133" i="3"/>
  <c r="K2133" i="3"/>
  <c r="G2133" i="3"/>
  <c r="D2133" i="3"/>
  <c r="C2133" i="3"/>
  <c r="M2132" i="3"/>
  <c r="K2132" i="3"/>
  <c r="G2132" i="3"/>
  <c r="D2132" i="3"/>
  <c r="C2132" i="3"/>
  <c r="M2131" i="3"/>
  <c r="K2131" i="3"/>
  <c r="G2131" i="3"/>
  <c r="D2131" i="3"/>
  <c r="C2131" i="3"/>
  <c r="M2130" i="3"/>
  <c r="K2130" i="3"/>
  <c r="G2130" i="3"/>
  <c r="D2130" i="3"/>
  <c r="C2130" i="3"/>
  <c r="M2129" i="3"/>
  <c r="K2129" i="3"/>
  <c r="G2129" i="3"/>
  <c r="D2129" i="3"/>
  <c r="C2129" i="3"/>
  <c r="M2128" i="3"/>
  <c r="K2128" i="3"/>
  <c r="G2128" i="3"/>
  <c r="D2128" i="3"/>
  <c r="C2128" i="3"/>
  <c r="M2127" i="3"/>
  <c r="K2127" i="3"/>
  <c r="G2127" i="3"/>
  <c r="D2127" i="3"/>
  <c r="C2127" i="3"/>
  <c r="M2126" i="3"/>
  <c r="K2126" i="3"/>
  <c r="G2126" i="3"/>
  <c r="D2126" i="3"/>
  <c r="C2126" i="3"/>
  <c r="M2125" i="3"/>
  <c r="K2125" i="3"/>
  <c r="G2125" i="3"/>
  <c r="D2125" i="3"/>
  <c r="C2125" i="3"/>
  <c r="M2124" i="3"/>
  <c r="K2124" i="3"/>
  <c r="G2124" i="3"/>
  <c r="D2124" i="3"/>
  <c r="C2124" i="3"/>
  <c r="M2123" i="3"/>
  <c r="K2123" i="3"/>
  <c r="G2123" i="3"/>
  <c r="D2123" i="3"/>
  <c r="C2123" i="3"/>
  <c r="M2122" i="3"/>
  <c r="K2122" i="3"/>
  <c r="G2122" i="3"/>
  <c r="D2122" i="3"/>
  <c r="C2122" i="3"/>
  <c r="M2121" i="3"/>
  <c r="K2121" i="3"/>
  <c r="G2121" i="3"/>
  <c r="D2121" i="3"/>
  <c r="C2121" i="3"/>
  <c r="M2120" i="3"/>
  <c r="K2120" i="3"/>
  <c r="G2120" i="3"/>
  <c r="D2120" i="3"/>
  <c r="C2120" i="3"/>
  <c r="M2119" i="3"/>
  <c r="K2119" i="3"/>
  <c r="G2119" i="3"/>
  <c r="D2119" i="3"/>
  <c r="C2119" i="3"/>
  <c r="M2118" i="3"/>
  <c r="K2118" i="3"/>
  <c r="G2118" i="3"/>
  <c r="D2118" i="3"/>
  <c r="C2118" i="3"/>
  <c r="M2117" i="3"/>
  <c r="K2117" i="3"/>
  <c r="G2117" i="3"/>
  <c r="D2117" i="3"/>
  <c r="C2117" i="3"/>
  <c r="M2116" i="3"/>
  <c r="K2116" i="3"/>
  <c r="G2116" i="3"/>
  <c r="D2116" i="3"/>
  <c r="C2116" i="3"/>
  <c r="M2115" i="3"/>
  <c r="K2115" i="3"/>
  <c r="G2115" i="3"/>
  <c r="D2115" i="3"/>
  <c r="C2115" i="3"/>
  <c r="M2114" i="3"/>
  <c r="K2114" i="3"/>
  <c r="G2114" i="3"/>
  <c r="D2114" i="3"/>
  <c r="C2114" i="3"/>
  <c r="M2113" i="3"/>
  <c r="K2113" i="3"/>
  <c r="G2113" i="3"/>
  <c r="D2113" i="3"/>
  <c r="C2113" i="3"/>
  <c r="M2112" i="3"/>
  <c r="K2112" i="3"/>
  <c r="G2112" i="3"/>
  <c r="D2112" i="3"/>
  <c r="C2112" i="3"/>
  <c r="M2111" i="3"/>
  <c r="K2111" i="3"/>
  <c r="G2111" i="3"/>
  <c r="D2111" i="3"/>
  <c r="C2111" i="3"/>
  <c r="M2110" i="3"/>
  <c r="K2110" i="3"/>
  <c r="G2110" i="3"/>
  <c r="D2110" i="3"/>
  <c r="C2110" i="3"/>
  <c r="M2109" i="3"/>
  <c r="K2109" i="3"/>
  <c r="G2109" i="3"/>
  <c r="D2109" i="3"/>
  <c r="C2109" i="3"/>
  <c r="M2108" i="3"/>
  <c r="K2108" i="3"/>
  <c r="G2108" i="3"/>
  <c r="D2108" i="3"/>
  <c r="C2108" i="3"/>
  <c r="M2107" i="3"/>
  <c r="K2107" i="3"/>
  <c r="G2107" i="3"/>
  <c r="D2107" i="3"/>
  <c r="C2107" i="3"/>
  <c r="M2106" i="3"/>
  <c r="K2106" i="3"/>
  <c r="G2106" i="3"/>
  <c r="D2106" i="3"/>
  <c r="C2106" i="3"/>
  <c r="M2105" i="3"/>
  <c r="K2105" i="3"/>
  <c r="G2105" i="3"/>
  <c r="D2105" i="3"/>
  <c r="C2105" i="3"/>
  <c r="M2104" i="3"/>
  <c r="K2104" i="3"/>
  <c r="G2104" i="3"/>
  <c r="D2104" i="3"/>
  <c r="C2104" i="3"/>
  <c r="M2103" i="3"/>
  <c r="K2103" i="3"/>
  <c r="G2103" i="3"/>
  <c r="D2103" i="3"/>
  <c r="C2103" i="3"/>
  <c r="M2102" i="3"/>
  <c r="K2102" i="3"/>
  <c r="G2102" i="3"/>
  <c r="D2102" i="3"/>
  <c r="C2102" i="3"/>
  <c r="M2101" i="3"/>
  <c r="K2101" i="3"/>
  <c r="G2101" i="3"/>
  <c r="D2101" i="3"/>
  <c r="C2101" i="3"/>
  <c r="M2100" i="3"/>
  <c r="K2100" i="3"/>
  <c r="G2100" i="3"/>
  <c r="D2100" i="3"/>
  <c r="C2100" i="3"/>
  <c r="M2099" i="3"/>
  <c r="K2099" i="3"/>
  <c r="G2099" i="3"/>
  <c r="D2099" i="3"/>
  <c r="C2099" i="3"/>
  <c r="M2098" i="3"/>
  <c r="K2098" i="3"/>
  <c r="G2098" i="3"/>
  <c r="D2098" i="3"/>
  <c r="C2098" i="3"/>
  <c r="M2097" i="3"/>
  <c r="K2097" i="3"/>
  <c r="G2097" i="3"/>
  <c r="D2097" i="3"/>
  <c r="C2097" i="3"/>
  <c r="M2096" i="3"/>
  <c r="K2096" i="3"/>
  <c r="G2096" i="3"/>
  <c r="D2096" i="3"/>
  <c r="C2096" i="3"/>
  <c r="M2095" i="3"/>
  <c r="K2095" i="3"/>
  <c r="G2095" i="3"/>
  <c r="D2095" i="3"/>
  <c r="C2095" i="3"/>
  <c r="M2094" i="3"/>
  <c r="K2094" i="3"/>
  <c r="G2094" i="3"/>
  <c r="D2094" i="3"/>
  <c r="C2094" i="3"/>
  <c r="M2093" i="3"/>
  <c r="K2093" i="3"/>
  <c r="G2093" i="3"/>
  <c r="D2093" i="3"/>
  <c r="C2093" i="3"/>
  <c r="M2092" i="3"/>
  <c r="K2092" i="3"/>
  <c r="G2092" i="3"/>
  <c r="D2092" i="3"/>
  <c r="C2092" i="3"/>
  <c r="M2091" i="3"/>
  <c r="K2091" i="3"/>
  <c r="G2091" i="3"/>
  <c r="D2091" i="3"/>
  <c r="C2091" i="3"/>
  <c r="M2090" i="3"/>
  <c r="K2090" i="3"/>
  <c r="G2090" i="3"/>
  <c r="D2090" i="3"/>
  <c r="C2090" i="3"/>
  <c r="M2089" i="3"/>
  <c r="K2089" i="3"/>
  <c r="G2089" i="3"/>
  <c r="D2089" i="3"/>
  <c r="C2089" i="3"/>
  <c r="M2088" i="3"/>
  <c r="K2088" i="3"/>
  <c r="G2088" i="3"/>
  <c r="D2088" i="3"/>
  <c r="C2088" i="3"/>
  <c r="M2087" i="3"/>
  <c r="K2087" i="3"/>
  <c r="G2087" i="3"/>
  <c r="D2087" i="3"/>
  <c r="C2087" i="3"/>
  <c r="M2086" i="3"/>
  <c r="K2086" i="3"/>
  <c r="G2086" i="3"/>
  <c r="D2086" i="3"/>
  <c r="C2086" i="3"/>
  <c r="M2085" i="3"/>
  <c r="K2085" i="3"/>
  <c r="G2085" i="3"/>
  <c r="D2085" i="3"/>
  <c r="C2085" i="3"/>
  <c r="M2084" i="3"/>
  <c r="K2084" i="3"/>
  <c r="G2084" i="3"/>
  <c r="D2084" i="3"/>
  <c r="C2084" i="3"/>
  <c r="M2083" i="3"/>
  <c r="K2083" i="3"/>
  <c r="G2083" i="3"/>
  <c r="D2083" i="3"/>
  <c r="C2083" i="3"/>
  <c r="M2082" i="3"/>
  <c r="K2082" i="3"/>
  <c r="G2082" i="3"/>
  <c r="D2082" i="3"/>
  <c r="C2082" i="3"/>
  <c r="M2081" i="3"/>
  <c r="K2081" i="3"/>
  <c r="G2081" i="3"/>
  <c r="D2081" i="3"/>
  <c r="C2081" i="3"/>
  <c r="M2080" i="3"/>
  <c r="K2080" i="3"/>
  <c r="G2080" i="3"/>
  <c r="D2080" i="3"/>
  <c r="C2080" i="3"/>
  <c r="M2079" i="3"/>
  <c r="K2079" i="3"/>
  <c r="G2079" i="3"/>
  <c r="D2079" i="3"/>
  <c r="C2079" i="3"/>
  <c r="M2078" i="3"/>
  <c r="K2078" i="3"/>
  <c r="G2078" i="3"/>
  <c r="D2078" i="3"/>
  <c r="C2078" i="3"/>
  <c r="M2077" i="3"/>
  <c r="K2077" i="3"/>
  <c r="G2077" i="3"/>
  <c r="D2077" i="3"/>
  <c r="C2077" i="3"/>
  <c r="M2076" i="3"/>
  <c r="K2076" i="3"/>
  <c r="G2076" i="3"/>
  <c r="D2076" i="3"/>
  <c r="C2076" i="3"/>
  <c r="M2075" i="3"/>
  <c r="K2075" i="3"/>
  <c r="G2075" i="3"/>
  <c r="D2075" i="3"/>
  <c r="C2075" i="3"/>
  <c r="M2074" i="3"/>
  <c r="K2074" i="3"/>
  <c r="G2074" i="3"/>
  <c r="D2074" i="3"/>
  <c r="C2074" i="3"/>
  <c r="M2073" i="3"/>
  <c r="K2073" i="3"/>
  <c r="G2073" i="3"/>
  <c r="D2073" i="3"/>
  <c r="C2073" i="3"/>
  <c r="M2072" i="3"/>
  <c r="K2072" i="3"/>
  <c r="G2072" i="3"/>
  <c r="D2072" i="3"/>
  <c r="C2072" i="3"/>
  <c r="M2071" i="3"/>
  <c r="K2071" i="3"/>
  <c r="G2071" i="3"/>
  <c r="D2071" i="3"/>
  <c r="C2071" i="3"/>
  <c r="M2070" i="3"/>
  <c r="K2070" i="3"/>
  <c r="G2070" i="3"/>
  <c r="D2070" i="3"/>
  <c r="C2070" i="3"/>
  <c r="M2069" i="3"/>
  <c r="K2069" i="3"/>
  <c r="G2069" i="3"/>
  <c r="D2069" i="3"/>
  <c r="C2069" i="3"/>
  <c r="M2068" i="3"/>
  <c r="K2068" i="3"/>
  <c r="G2068" i="3"/>
  <c r="D2068" i="3"/>
  <c r="C2068" i="3"/>
  <c r="M2067" i="3"/>
  <c r="K2067" i="3"/>
  <c r="G2067" i="3"/>
  <c r="D2067" i="3"/>
  <c r="C2067" i="3"/>
  <c r="M2066" i="3"/>
  <c r="K2066" i="3"/>
  <c r="G2066" i="3"/>
  <c r="D2066" i="3"/>
  <c r="C2066" i="3"/>
  <c r="M2065" i="3"/>
  <c r="K2065" i="3"/>
  <c r="G2065" i="3"/>
  <c r="D2065" i="3"/>
  <c r="C2065" i="3"/>
  <c r="M2064" i="3"/>
  <c r="K2064" i="3"/>
  <c r="G2064" i="3"/>
  <c r="D2064" i="3"/>
  <c r="C2064" i="3"/>
  <c r="M2063" i="3"/>
  <c r="K2063" i="3"/>
  <c r="G2063" i="3"/>
  <c r="D2063" i="3"/>
  <c r="C2063" i="3"/>
  <c r="M2062" i="3"/>
  <c r="K2062" i="3"/>
  <c r="G2062" i="3"/>
  <c r="D2062" i="3"/>
  <c r="C2062" i="3"/>
  <c r="M2061" i="3"/>
  <c r="K2061" i="3"/>
  <c r="G2061" i="3"/>
  <c r="D2061" i="3"/>
  <c r="C2061" i="3"/>
  <c r="M2060" i="3"/>
  <c r="K2060" i="3"/>
  <c r="G2060" i="3"/>
  <c r="D2060" i="3"/>
  <c r="C2060" i="3"/>
  <c r="M2059" i="3"/>
  <c r="K2059" i="3"/>
  <c r="G2059" i="3"/>
  <c r="D2059" i="3"/>
  <c r="C2059" i="3"/>
  <c r="M2058" i="3"/>
  <c r="K2058" i="3"/>
  <c r="G2058" i="3"/>
  <c r="D2058" i="3"/>
  <c r="C2058" i="3"/>
  <c r="M2057" i="3"/>
  <c r="K2057" i="3"/>
  <c r="G2057" i="3"/>
  <c r="D2057" i="3"/>
  <c r="C2057" i="3"/>
  <c r="M2056" i="3"/>
  <c r="K2056" i="3"/>
  <c r="G2056" i="3"/>
  <c r="D2056" i="3"/>
  <c r="C2056" i="3"/>
  <c r="M2055" i="3"/>
  <c r="K2055" i="3"/>
  <c r="G2055" i="3"/>
  <c r="D2055" i="3"/>
  <c r="C2055" i="3"/>
  <c r="M2054" i="3"/>
  <c r="K2054" i="3"/>
  <c r="G2054" i="3"/>
  <c r="D2054" i="3"/>
  <c r="C2054" i="3"/>
  <c r="M2053" i="3"/>
  <c r="K2053" i="3"/>
  <c r="G2053" i="3"/>
  <c r="D2053" i="3"/>
  <c r="C2053" i="3"/>
  <c r="M2052" i="3"/>
  <c r="K2052" i="3"/>
  <c r="G2052" i="3"/>
  <c r="D2052" i="3"/>
  <c r="C2052" i="3"/>
  <c r="M2051" i="3"/>
  <c r="K2051" i="3"/>
  <c r="G2051" i="3"/>
  <c r="D2051" i="3"/>
  <c r="C2051" i="3"/>
  <c r="M2050" i="3"/>
  <c r="K2050" i="3"/>
  <c r="G2050" i="3"/>
  <c r="D2050" i="3"/>
  <c r="C2050" i="3"/>
  <c r="M2049" i="3"/>
  <c r="K2049" i="3"/>
  <c r="G2049" i="3"/>
  <c r="D2049" i="3"/>
  <c r="C2049" i="3"/>
  <c r="M2048" i="3"/>
  <c r="K2048" i="3"/>
  <c r="G2048" i="3"/>
  <c r="D2048" i="3"/>
  <c r="C2048" i="3"/>
  <c r="M2047" i="3"/>
  <c r="K2047" i="3"/>
  <c r="G2047" i="3"/>
  <c r="D2047" i="3"/>
  <c r="C2047" i="3"/>
  <c r="M2046" i="3"/>
  <c r="K2046" i="3"/>
  <c r="G2046" i="3"/>
  <c r="D2046" i="3"/>
  <c r="C2046" i="3"/>
  <c r="M2045" i="3"/>
  <c r="K2045" i="3"/>
  <c r="G2045" i="3"/>
  <c r="D2045" i="3"/>
  <c r="C2045" i="3"/>
  <c r="M2044" i="3"/>
  <c r="K2044" i="3"/>
  <c r="G2044" i="3"/>
  <c r="D2044" i="3"/>
  <c r="C2044" i="3"/>
  <c r="M2043" i="3"/>
  <c r="K2043" i="3"/>
  <c r="G2043" i="3"/>
  <c r="D2043" i="3"/>
  <c r="C2043" i="3"/>
  <c r="M2042" i="3"/>
  <c r="K2042" i="3"/>
  <c r="G2042" i="3"/>
  <c r="D2042" i="3"/>
  <c r="C2042" i="3"/>
  <c r="M2041" i="3"/>
  <c r="K2041" i="3"/>
  <c r="G2041" i="3"/>
  <c r="D2041" i="3"/>
  <c r="C2041" i="3"/>
  <c r="M2040" i="3"/>
  <c r="K2040" i="3"/>
  <c r="G2040" i="3"/>
  <c r="D2040" i="3"/>
  <c r="C2040" i="3"/>
  <c r="M2039" i="3"/>
  <c r="K2039" i="3"/>
  <c r="G2039" i="3"/>
  <c r="D2039" i="3"/>
  <c r="C2039" i="3"/>
  <c r="M2038" i="3"/>
  <c r="K2038" i="3"/>
  <c r="G2038" i="3"/>
  <c r="D2038" i="3"/>
  <c r="C2038" i="3"/>
  <c r="M2037" i="3"/>
  <c r="K2037" i="3"/>
  <c r="G2037" i="3"/>
  <c r="D2037" i="3"/>
  <c r="C2037" i="3"/>
  <c r="M2036" i="3"/>
  <c r="K2036" i="3"/>
  <c r="G2036" i="3"/>
  <c r="D2036" i="3"/>
  <c r="C2036" i="3"/>
  <c r="M2035" i="3"/>
  <c r="K2035" i="3"/>
  <c r="G2035" i="3"/>
  <c r="D2035" i="3"/>
  <c r="C2035" i="3"/>
  <c r="M2034" i="3"/>
  <c r="K2034" i="3"/>
  <c r="G2034" i="3"/>
  <c r="D2034" i="3"/>
  <c r="C2034" i="3"/>
  <c r="M2033" i="3"/>
  <c r="K2033" i="3"/>
  <c r="G2033" i="3"/>
  <c r="D2033" i="3"/>
  <c r="C2033" i="3"/>
  <c r="M2032" i="3"/>
  <c r="K2032" i="3"/>
  <c r="G2032" i="3"/>
  <c r="D2032" i="3"/>
  <c r="C2032" i="3"/>
  <c r="M2031" i="3"/>
  <c r="K2031" i="3"/>
  <c r="G2031" i="3"/>
  <c r="D2031" i="3"/>
  <c r="C2031" i="3"/>
  <c r="M2030" i="3"/>
  <c r="K2030" i="3"/>
  <c r="G2030" i="3"/>
  <c r="D2030" i="3"/>
  <c r="C2030" i="3"/>
  <c r="M2029" i="3"/>
  <c r="K2029" i="3"/>
  <c r="G2029" i="3"/>
  <c r="D2029" i="3"/>
  <c r="C2029" i="3"/>
  <c r="M2028" i="3"/>
  <c r="K2028" i="3"/>
  <c r="G2028" i="3"/>
  <c r="D2028" i="3"/>
  <c r="C2028" i="3"/>
  <c r="M2027" i="3"/>
  <c r="K2027" i="3"/>
  <c r="G2027" i="3"/>
  <c r="D2027" i="3"/>
  <c r="C2027" i="3"/>
  <c r="M2026" i="3"/>
  <c r="K2026" i="3"/>
  <c r="G2026" i="3"/>
  <c r="D2026" i="3"/>
  <c r="C2026" i="3"/>
  <c r="M2025" i="3"/>
  <c r="K2025" i="3"/>
  <c r="G2025" i="3"/>
  <c r="D2025" i="3"/>
  <c r="C2025" i="3"/>
  <c r="M2024" i="3"/>
  <c r="K2024" i="3"/>
  <c r="G2024" i="3"/>
  <c r="D2024" i="3"/>
  <c r="C2024" i="3"/>
  <c r="M2023" i="3"/>
  <c r="K2023" i="3"/>
  <c r="G2023" i="3"/>
  <c r="D2023" i="3"/>
  <c r="C2023" i="3"/>
  <c r="M2022" i="3"/>
  <c r="K2022" i="3"/>
  <c r="G2022" i="3"/>
  <c r="D2022" i="3"/>
  <c r="C2022" i="3"/>
  <c r="M2021" i="3"/>
  <c r="K2021" i="3"/>
  <c r="G2021" i="3"/>
  <c r="D2021" i="3"/>
  <c r="C2021" i="3"/>
  <c r="M2020" i="3"/>
  <c r="K2020" i="3"/>
  <c r="G2020" i="3"/>
  <c r="D2020" i="3"/>
  <c r="C2020" i="3"/>
  <c r="M2019" i="3"/>
  <c r="K2019" i="3"/>
  <c r="G2019" i="3"/>
  <c r="D2019" i="3"/>
  <c r="C2019" i="3"/>
  <c r="M2018" i="3"/>
  <c r="K2018" i="3"/>
  <c r="G2018" i="3"/>
  <c r="D2018" i="3"/>
  <c r="C2018" i="3"/>
  <c r="M2017" i="3"/>
  <c r="K2017" i="3"/>
  <c r="G2017" i="3"/>
  <c r="D2017" i="3"/>
  <c r="C2017" i="3"/>
  <c r="M2016" i="3"/>
  <c r="K2016" i="3"/>
  <c r="G2016" i="3"/>
  <c r="D2016" i="3"/>
  <c r="C2016" i="3"/>
  <c r="M2015" i="3"/>
  <c r="K2015" i="3"/>
  <c r="G2015" i="3"/>
  <c r="D2015" i="3"/>
  <c r="C2015" i="3"/>
  <c r="M2014" i="3"/>
  <c r="K2014" i="3"/>
  <c r="G2014" i="3"/>
  <c r="D2014" i="3"/>
  <c r="C2014" i="3"/>
  <c r="M2013" i="3"/>
  <c r="K2013" i="3"/>
  <c r="G2013" i="3"/>
  <c r="D2013" i="3"/>
  <c r="C2013" i="3"/>
  <c r="M2012" i="3"/>
  <c r="K2012" i="3"/>
  <c r="G2012" i="3"/>
  <c r="D2012" i="3"/>
  <c r="C2012" i="3"/>
  <c r="M2011" i="3"/>
  <c r="K2011" i="3"/>
  <c r="G2011" i="3"/>
  <c r="D2011" i="3"/>
  <c r="C2011" i="3"/>
  <c r="M2010" i="3"/>
  <c r="K2010" i="3"/>
  <c r="G2010" i="3"/>
  <c r="D2010" i="3"/>
  <c r="C2010" i="3"/>
  <c r="M2009" i="3"/>
  <c r="K2009" i="3"/>
  <c r="G2009" i="3"/>
  <c r="D2009" i="3"/>
  <c r="C2009" i="3"/>
  <c r="M2008" i="3"/>
  <c r="K2008" i="3"/>
  <c r="G2008" i="3"/>
  <c r="D2008" i="3"/>
  <c r="C2008" i="3"/>
  <c r="M2007" i="3"/>
  <c r="K2007" i="3"/>
  <c r="G2007" i="3"/>
  <c r="D2007" i="3"/>
  <c r="C2007" i="3"/>
  <c r="M2006" i="3"/>
  <c r="K2006" i="3"/>
  <c r="G2006" i="3"/>
  <c r="D2006" i="3"/>
  <c r="C2006" i="3"/>
  <c r="M2005" i="3"/>
  <c r="K2005" i="3"/>
  <c r="G2005" i="3"/>
  <c r="D2005" i="3"/>
  <c r="C2005" i="3"/>
  <c r="M2004" i="3"/>
  <c r="K2004" i="3"/>
  <c r="G2004" i="3"/>
  <c r="D2004" i="3"/>
  <c r="C2004" i="3"/>
  <c r="M2003" i="3"/>
  <c r="K2003" i="3"/>
  <c r="G2003" i="3"/>
  <c r="D2003" i="3"/>
  <c r="C2003" i="3"/>
  <c r="M2002" i="3"/>
  <c r="K2002" i="3"/>
  <c r="G2002" i="3"/>
  <c r="D2002" i="3"/>
  <c r="C2002" i="3"/>
  <c r="M2001" i="3"/>
  <c r="K2001" i="3"/>
  <c r="G2001" i="3"/>
  <c r="D2001" i="3"/>
  <c r="C2001" i="3"/>
  <c r="M2000" i="3"/>
  <c r="K2000" i="3"/>
  <c r="G2000" i="3"/>
  <c r="D2000" i="3"/>
  <c r="C2000" i="3"/>
  <c r="M1999" i="3"/>
  <c r="K1999" i="3"/>
  <c r="G1999" i="3"/>
  <c r="D1999" i="3"/>
  <c r="C1999" i="3"/>
  <c r="M1998" i="3"/>
  <c r="K1998" i="3"/>
  <c r="G1998" i="3"/>
  <c r="D1998" i="3"/>
  <c r="C1998" i="3"/>
  <c r="M1997" i="3"/>
  <c r="K1997" i="3"/>
  <c r="G1997" i="3"/>
  <c r="D1997" i="3"/>
  <c r="C1997" i="3"/>
  <c r="M1996" i="3"/>
  <c r="K1996" i="3"/>
  <c r="G1996" i="3"/>
  <c r="D1996" i="3"/>
  <c r="C1996" i="3"/>
  <c r="M1995" i="3"/>
  <c r="K1995" i="3"/>
  <c r="G1995" i="3"/>
  <c r="D1995" i="3"/>
  <c r="C1995" i="3"/>
  <c r="M1994" i="3"/>
  <c r="K1994" i="3"/>
  <c r="G1994" i="3"/>
  <c r="D1994" i="3"/>
  <c r="C1994" i="3"/>
  <c r="M1993" i="3"/>
  <c r="K1993" i="3"/>
  <c r="G1993" i="3"/>
  <c r="D1993" i="3"/>
  <c r="C1993" i="3"/>
  <c r="M1992" i="3"/>
  <c r="K1992" i="3"/>
  <c r="G1992" i="3"/>
  <c r="D1992" i="3"/>
  <c r="C1992" i="3"/>
  <c r="M1991" i="3"/>
  <c r="K1991" i="3"/>
  <c r="G1991" i="3"/>
  <c r="D1991" i="3"/>
  <c r="C1991" i="3"/>
  <c r="M1990" i="3"/>
  <c r="K1990" i="3"/>
  <c r="G1990" i="3"/>
  <c r="D1990" i="3"/>
  <c r="C1990" i="3"/>
  <c r="M1989" i="3"/>
  <c r="K1989" i="3"/>
  <c r="G1989" i="3"/>
  <c r="D1989" i="3"/>
  <c r="C1989" i="3"/>
  <c r="M1988" i="3"/>
  <c r="K1988" i="3"/>
  <c r="G1988" i="3"/>
  <c r="D1988" i="3"/>
  <c r="C1988" i="3"/>
  <c r="M1987" i="3"/>
  <c r="K1987" i="3"/>
  <c r="G1987" i="3"/>
  <c r="D1987" i="3"/>
  <c r="C1987" i="3"/>
  <c r="M1986" i="3"/>
  <c r="K1986" i="3"/>
  <c r="G1986" i="3"/>
  <c r="D1986" i="3"/>
  <c r="C1986" i="3"/>
  <c r="M1985" i="3"/>
  <c r="K1985" i="3"/>
  <c r="G1985" i="3"/>
  <c r="D1985" i="3"/>
  <c r="C1985" i="3"/>
  <c r="M1984" i="3"/>
  <c r="K1984" i="3"/>
  <c r="G1984" i="3"/>
  <c r="D1984" i="3"/>
  <c r="C1984" i="3"/>
  <c r="M1983" i="3"/>
  <c r="K1983" i="3"/>
  <c r="G1983" i="3"/>
  <c r="D1983" i="3"/>
  <c r="C1983" i="3"/>
  <c r="M1982" i="3"/>
  <c r="K1982" i="3"/>
  <c r="G1982" i="3"/>
  <c r="D1982" i="3"/>
  <c r="C1982" i="3"/>
  <c r="M1981" i="3"/>
  <c r="K1981" i="3"/>
  <c r="G1981" i="3"/>
  <c r="D1981" i="3"/>
  <c r="C1981" i="3"/>
  <c r="M1980" i="3"/>
  <c r="K1980" i="3"/>
  <c r="G1980" i="3"/>
  <c r="D1980" i="3"/>
  <c r="C1980" i="3"/>
  <c r="M1979" i="3"/>
  <c r="K1979" i="3"/>
  <c r="G1979" i="3"/>
  <c r="D1979" i="3"/>
  <c r="C1979" i="3"/>
  <c r="M1978" i="3"/>
  <c r="K1978" i="3"/>
  <c r="G1978" i="3"/>
  <c r="D1978" i="3"/>
  <c r="C1978" i="3"/>
  <c r="M1977" i="3"/>
  <c r="K1977" i="3"/>
  <c r="G1977" i="3"/>
  <c r="D1977" i="3"/>
  <c r="C1977" i="3"/>
  <c r="M1976" i="3"/>
  <c r="K1976" i="3"/>
  <c r="G1976" i="3"/>
  <c r="D1976" i="3"/>
  <c r="C1976" i="3"/>
  <c r="M1975" i="3"/>
  <c r="K1975" i="3"/>
  <c r="G1975" i="3"/>
  <c r="D1975" i="3"/>
  <c r="C1975" i="3"/>
  <c r="M1974" i="3"/>
  <c r="K1974" i="3"/>
  <c r="G1974" i="3"/>
  <c r="D1974" i="3"/>
  <c r="C1974" i="3"/>
  <c r="M1973" i="3"/>
  <c r="K1973" i="3"/>
  <c r="G1973" i="3"/>
  <c r="D1973" i="3"/>
  <c r="C1973" i="3"/>
  <c r="M1972" i="3"/>
  <c r="K1972" i="3"/>
  <c r="G1972" i="3"/>
  <c r="D1972" i="3"/>
  <c r="C1972" i="3"/>
  <c r="M1971" i="3"/>
  <c r="K1971" i="3"/>
  <c r="G1971" i="3"/>
  <c r="D1971" i="3"/>
  <c r="C1971" i="3"/>
  <c r="M1970" i="3"/>
  <c r="K1970" i="3"/>
  <c r="G1970" i="3"/>
  <c r="D1970" i="3"/>
  <c r="C1970" i="3"/>
  <c r="M1969" i="3"/>
  <c r="K1969" i="3"/>
  <c r="G1969" i="3"/>
  <c r="D1969" i="3"/>
  <c r="C1969" i="3"/>
  <c r="M1968" i="3"/>
  <c r="K1968" i="3"/>
  <c r="G1968" i="3"/>
  <c r="D1968" i="3"/>
  <c r="C1968" i="3"/>
  <c r="M1967" i="3"/>
  <c r="K1967" i="3"/>
  <c r="G1967" i="3"/>
  <c r="D1967" i="3"/>
  <c r="C1967" i="3"/>
  <c r="M1966" i="3"/>
  <c r="K1966" i="3"/>
  <c r="G1966" i="3"/>
  <c r="D1966" i="3"/>
  <c r="C1966" i="3"/>
  <c r="M1965" i="3"/>
  <c r="K1965" i="3"/>
  <c r="G1965" i="3"/>
  <c r="D1965" i="3"/>
  <c r="C1965" i="3"/>
  <c r="M1964" i="3"/>
  <c r="K1964" i="3"/>
  <c r="G1964" i="3"/>
  <c r="D1964" i="3"/>
  <c r="C1964" i="3"/>
  <c r="M1963" i="3"/>
  <c r="K1963" i="3"/>
  <c r="G1963" i="3"/>
  <c r="D1963" i="3"/>
  <c r="C1963" i="3"/>
  <c r="M1962" i="3"/>
  <c r="K1962" i="3"/>
  <c r="G1962" i="3"/>
  <c r="D1962" i="3"/>
  <c r="C1962" i="3"/>
  <c r="M1961" i="3"/>
  <c r="K1961" i="3"/>
  <c r="G1961" i="3"/>
  <c r="D1961" i="3"/>
  <c r="C1961" i="3"/>
  <c r="M1960" i="3"/>
  <c r="K1960" i="3"/>
  <c r="G1960" i="3"/>
  <c r="D1960" i="3"/>
  <c r="C1960" i="3"/>
  <c r="M1959" i="3"/>
  <c r="K1959" i="3"/>
  <c r="G1959" i="3"/>
  <c r="D1959" i="3"/>
  <c r="C1959" i="3"/>
  <c r="M1958" i="3"/>
  <c r="K1958" i="3"/>
  <c r="G1958" i="3"/>
  <c r="D1958" i="3"/>
  <c r="C1958" i="3"/>
  <c r="M1957" i="3"/>
  <c r="K1957" i="3"/>
  <c r="G1957" i="3"/>
  <c r="D1957" i="3"/>
  <c r="C1957" i="3"/>
  <c r="M1956" i="3"/>
  <c r="K1956" i="3"/>
  <c r="G1956" i="3"/>
  <c r="D1956" i="3"/>
  <c r="C1956" i="3"/>
  <c r="M1955" i="3"/>
  <c r="K1955" i="3"/>
  <c r="G1955" i="3"/>
  <c r="D1955" i="3"/>
  <c r="C1955" i="3"/>
  <c r="M1954" i="3"/>
  <c r="K1954" i="3"/>
  <c r="G1954" i="3"/>
  <c r="D1954" i="3"/>
  <c r="C1954" i="3"/>
  <c r="M1953" i="3"/>
  <c r="K1953" i="3"/>
  <c r="G1953" i="3"/>
  <c r="D1953" i="3"/>
  <c r="C1953" i="3"/>
  <c r="M1952" i="3"/>
  <c r="K1952" i="3"/>
  <c r="G1952" i="3"/>
  <c r="D1952" i="3"/>
  <c r="C1952" i="3"/>
  <c r="M1951" i="3"/>
  <c r="K1951" i="3"/>
  <c r="G1951" i="3"/>
  <c r="D1951" i="3"/>
  <c r="C1951" i="3"/>
  <c r="M1950" i="3"/>
  <c r="K1950" i="3"/>
  <c r="G1950" i="3"/>
  <c r="D1950" i="3"/>
  <c r="C1950" i="3"/>
  <c r="M1949" i="3"/>
  <c r="K1949" i="3"/>
  <c r="G1949" i="3"/>
  <c r="D1949" i="3"/>
  <c r="C1949" i="3"/>
  <c r="M1948" i="3"/>
  <c r="K1948" i="3"/>
  <c r="G1948" i="3"/>
  <c r="D1948" i="3"/>
  <c r="C1948" i="3"/>
  <c r="M1947" i="3"/>
  <c r="K1947" i="3"/>
  <c r="G1947" i="3"/>
  <c r="D1947" i="3"/>
  <c r="C1947" i="3"/>
  <c r="M1946" i="3"/>
  <c r="K1946" i="3"/>
  <c r="G1946" i="3"/>
  <c r="D1946" i="3"/>
  <c r="C1946" i="3"/>
  <c r="M1945" i="3"/>
  <c r="K1945" i="3"/>
  <c r="G1945" i="3"/>
  <c r="D1945" i="3"/>
  <c r="C1945" i="3"/>
  <c r="M1944" i="3"/>
  <c r="K1944" i="3"/>
  <c r="G1944" i="3"/>
  <c r="D1944" i="3"/>
  <c r="C1944" i="3"/>
  <c r="M1943" i="3"/>
  <c r="K1943" i="3"/>
  <c r="G1943" i="3"/>
  <c r="D1943" i="3"/>
  <c r="C1943" i="3"/>
  <c r="M1942" i="3"/>
  <c r="K1942" i="3"/>
  <c r="G1942" i="3"/>
  <c r="D1942" i="3"/>
  <c r="C1942" i="3"/>
  <c r="M1941" i="3"/>
  <c r="K1941" i="3"/>
  <c r="G1941" i="3"/>
  <c r="D1941" i="3"/>
  <c r="C1941" i="3"/>
  <c r="M1940" i="3"/>
  <c r="K1940" i="3"/>
  <c r="G1940" i="3"/>
  <c r="D1940" i="3"/>
  <c r="C1940" i="3"/>
  <c r="M1939" i="3"/>
  <c r="K1939" i="3"/>
  <c r="G1939" i="3"/>
  <c r="D1939" i="3"/>
  <c r="C1939" i="3"/>
  <c r="M1938" i="3"/>
  <c r="K1938" i="3"/>
  <c r="G1938" i="3"/>
  <c r="D1938" i="3"/>
  <c r="C1938" i="3"/>
  <c r="M1937" i="3"/>
  <c r="K1937" i="3"/>
  <c r="G1937" i="3"/>
  <c r="D1937" i="3"/>
  <c r="C1937" i="3"/>
  <c r="M1936" i="3"/>
  <c r="K1936" i="3"/>
  <c r="G1936" i="3"/>
  <c r="D1936" i="3"/>
  <c r="C1936" i="3"/>
  <c r="M1935" i="3"/>
  <c r="K1935" i="3"/>
  <c r="G1935" i="3"/>
  <c r="D1935" i="3"/>
  <c r="C1935" i="3"/>
  <c r="M1934" i="3"/>
  <c r="K1934" i="3"/>
  <c r="G1934" i="3"/>
  <c r="D1934" i="3"/>
  <c r="C1934" i="3"/>
  <c r="M1933" i="3"/>
  <c r="K1933" i="3"/>
  <c r="G1933" i="3"/>
  <c r="D1933" i="3"/>
  <c r="C1933" i="3"/>
  <c r="M1932" i="3"/>
  <c r="K1932" i="3"/>
  <c r="G1932" i="3"/>
  <c r="D1932" i="3"/>
  <c r="C1932" i="3"/>
  <c r="M1931" i="3"/>
  <c r="K1931" i="3"/>
  <c r="G1931" i="3"/>
  <c r="D1931" i="3"/>
  <c r="C1931" i="3"/>
  <c r="M1930" i="3"/>
  <c r="K1930" i="3"/>
  <c r="G1930" i="3"/>
  <c r="D1930" i="3"/>
  <c r="C1930" i="3"/>
  <c r="M1929" i="3"/>
  <c r="K1929" i="3"/>
  <c r="G1929" i="3"/>
  <c r="D1929" i="3"/>
  <c r="C1929" i="3"/>
  <c r="M1928" i="3"/>
  <c r="K1928" i="3"/>
  <c r="G1928" i="3"/>
  <c r="D1928" i="3"/>
  <c r="C1928" i="3"/>
  <c r="M1927" i="3"/>
  <c r="K1927" i="3"/>
  <c r="G1927" i="3"/>
  <c r="D1927" i="3"/>
  <c r="C1927" i="3"/>
  <c r="M1926" i="3"/>
  <c r="K1926" i="3"/>
  <c r="G1926" i="3"/>
  <c r="D1926" i="3"/>
  <c r="C1926" i="3"/>
  <c r="M1925" i="3"/>
  <c r="K1925" i="3"/>
  <c r="G1925" i="3"/>
  <c r="D1925" i="3"/>
  <c r="C1925" i="3"/>
  <c r="M1924" i="3"/>
  <c r="K1924" i="3"/>
  <c r="G1924" i="3"/>
  <c r="D1924" i="3"/>
  <c r="C1924" i="3"/>
  <c r="M1923" i="3"/>
  <c r="K1923" i="3"/>
  <c r="G1923" i="3"/>
  <c r="D1923" i="3"/>
  <c r="C1923" i="3"/>
  <c r="M1922" i="3"/>
  <c r="K1922" i="3"/>
  <c r="G1922" i="3"/>
  <c r="D1922" i="3"/>
  <c r="C1922" i="3"/>
  <c r="M1921" i="3"/>
  <c r="K1921" i="3"/>
  <c r="G1921" i="3"/>
  <c r="D1921" i="3"/>
  <c r="C1921" i="3"/>
  <c r="M1920" i="3"/>
  <c r="K1920" i="3"/>
  <c r="G1920" i="3"/>
  <c r="D1920" i="3"/>
  <c r="C1920" i="3"/>
  <c r="M1919" i="3"/>
  <c r="K1919" i="3"/>
  <c r="G1919" i="3"/>
  <c r="D1919" i="3"/>
  <c r="C1919" i="3"/>
  <c r="M1918" i="3"/>
  <c r="K1918" i="3"/>
  <c r="G1918" i="3"/>
  <c r="D1918" i="3"/>
  <c r="C1918" i="3"/>
  <c r="M1917" i="3"/>
  <c r="K1917" i="3"/>
  <c r="G1917" i="3"/>
  <c r="D1917" i="3"/>
  <c r="C1917" i="3"/>
  <c r="M1916" i="3"/>
  <c r="K1916" i="3"/>
  <c r="G1916" i="3"/>
  <c r="D1916" i="3"/>
  <c r="C1916" i="3"/>
  <c r="M1915" i="3"/>
  <c r="K1915" i="3"/>
  <c r="G1915" i="3"/>
  <c r="D1915" i="3"/>
  <c r="C1915" i="3"/>
  <c r="M1914" i="3"/>
  <c r="K1914" i="3"/>
  <c r="G1914" i="3"/>
  <c r="D1914" i="3"/>
  <c r="C1914" i="3"/>
  <c r="M1913" i="3"/>
  <c r="K1913" i="3"/>
  <c r="G1913" i="3"/>
  <c r="D1913" i="3"/>
  <c r="C1913" i="3"/>
  <c r="M1912" i="3"/>
  <c r="K1912" i="3"/>
  <c r="G1912" i="3"/>
  <c r="D1912" i="3"/>
  <c r="C1912" i="3"/>
  <c r="M1911" i="3"/>
  <c r="K1911" i="3"/>
  <c r="G1911" i="3"/>
  <c r="D1911" i="3"/>
  <c r="C1911" i="3"/>
  <c r="M1910" i="3"/>
  <c r="K1910" i="3"/>
  <c r="G1910" i="3"/>
  <c r="D1910" i="3"/>
  <c r="C1910" i="3"/>
  <c r="M1909" i="3"/>
  <c r="K1909" i="3"/>
  <c r="G1909" i="3"/>
  <c r="D1909" i="3"/>
  <c r="C1909" i="3"/>
  <c r="M1908" i="3"/>
  <c r="K1908" i="3"/>
  <c r="G1908" i="3"/>
  <c r="D1908" i="3"/>
  <c r="C1908" i="3"/>
  <c r="M1907" i="3"/>
  <c r="K1907" i="3"/>
  <c r="G1907" i="3"/>
  <c r="D1907" i="3"/>
  <c r="C1907" i="3"/>
  <c r="M1906" i="3"/>
  <c r="K1906" i="3"/>
  <c r="G1906" i="3"/>
  <c r="D1906" i="3"/>
  <c r="C1906" i="3"/>
  <c r="M1905" i="3"/>
  <c r="K1905" i="3"/>
  <c r="G1905" i="3"/>
  <c r="D1905" i="3"/>
  <c r="C1905" i="3"/>
  <c r="M1904" i="3"/>
  <c r="K1904" i="3"/>
  <c r="G1904" i="3"/>
  <c r="D1904" i="3"/>
  <c r="C1904" i="3"/>
  <c r="M1903" i="3"/>
  <c r="K1903" i="3"/>
  <c r="G1903" i="3"/>
  <c r="D1903" i="3"/>
  <c r="C1903" i="3"/>
  <c r="M1902" i="3"/>
  <c r="K1902" i="3"/>
  <c r="G1902" i="3"/>
  <c r="D1902" i="3"/>
  <c r="C1902" i="3"/>
  <c r="M1901" i="3"/>
  <c r="K1901" i="3"/>
  <c r="G1901" i="3"/>
  <c r="D1901" i="3"/>
  <c r="C1901" i="3"/>
  <c r="M1900" i="3"/>
  <c r="K1900" i="3"/>
  <c r="G1900" i="3"/>
  <c r="D1900" i="3"/>
  <c r="C1900" i="3"/>
  <c r="M1899" i="3"/>
  <c r="K1899" i="3"/>
  <c r="G1899" i="3"/>
  <c r="D1899" i="3"/>
  <c r="C1899" i="3"/>
  <c r="M1898" i="3"/>
  <c r="K1898" i="3"/>
  <c r="G1898" i="3"/>
  <c r="D1898" i="3"/>
  <c r="C1898" i="3"/>
  <c r="M1897" i="3"/>
  <c r="K1897" i="3"/>
  <c r="G1897" i="3"/>
  <c r="D1897" i="3"/>
  <c r="C1897" i="3"/>
  <c r="M1896" i="3"/>
  <c r="K1896" i="3"/>
  <c r="G1896" i="3"/>
  <c r="D1896" i="3"/>
  <c r="C1896" i="3"/>
  <c r="M1895" i="3"/>
  <c r="K1895" i="3"/>
  <c r="G1895" i="3"/>
  <c r="D1895" i="3"/>
  <c r="C1895" i="3"/>
  <c r="M1894" i="3"/>
  <c r="K1894" i="3"/>
  <c r="G1894" i="3"/>
  <c r="D1894" i="3"/>
  <c r="C1894" i="3"/>
  <c r="M1893" i="3"/>
  <c r="K1893" i="3"/>
  <c r="G1893" i="3"/>
  <c r="D1893" i="3"/>
  <c r="C1893" i="3"/>
  <c r="M1892" i="3"/>
  <c r="K1892" i="3"/>
  <c r="G1892" i="3"/>
  <c r="D1892" i="3"/>
  <c r="C1892" i="3"/>
  <c r="M1891" i="3"/>
  <c r="K1891" i="3"/>
  <c r="G1891" i="3"/>
  <c r="D1891" i="3"/>
  <c r="C1891" i="3"/>
  <c r="M1890" i="3"/>
  <c r="K1890" i="3"/>
  <c r="G1890" i="3"/>
  <c r="D1890" i="3"/>
  <c r="C1890" i="3"/>
  <c r="M1889" i="3"/>
  <c r="K1889" i="3"/>
  <c r="G1889" i="3"/>
  <c r="D1889" i="3"/>
  <c r="C1889" i="3"/>
  <c r="M1888" i="3"/>
  <c r="K1888" i="3"/>
  <c r="G1888" i="3"/>
  <c r="D1888" i="3"/>
  <c r="C1888" i="3"/>
  <c r="M1887" i="3"/>
  <c r="K1887" i="3"/>
  <c r="G1887" i="3"/>
  <c r="D1887" i="3"/>
  <c r="C1887" i="3"/>
  <c r="M1886" i="3"/>
  <c r="K1886" i="3"/>
  <c r="G1886" i="3"/>
  <c r="D1886" i="3"/>
  <c r="C1886" i="3"/>
  <c r="M1885" i="3"/>
  <c r="K1885" i="3"/>
  <c r="G1885" i="3"/>
  <c r="D1885" i="3"/>
  <c r="C1885" i="3"/>
  <c r="M1884" i="3"/>
  <c r="K1884" i="3"/>
  <c r="G1884" i="3"/>
  <c r="D1884" i="3"/>
  <c r="C1884" i="3"/>
  <c r="M1883" i="3"/>
  <c r="K1883" i="3"/>
  <c r="G1883" i="3"/>
  <c r="D1883" i="3"/>
  <c r="C1883" i="3"/>
  <c r="M1882" i="3"/>
  <c r="K1882" i="3"/>
  <c r="G1882" i="3"/>
  <c r="D1882" i="3"/>
  <c r="C1882" i="3"/>
  <c r="M1881" i="3"/>
  <c r="K1881" i="3"/>
  <c r="G1881" i="3"/>
  <c r="D1881" i="3"/>
  <c r="C1881" i="3"/>
  <c r="M1880" i="3"/>
  <c r="K1880" i="3"/>
  <c r="G1880" i="3"/>
  <c r="D1880" i="3"/>
  <c r="C1880" i="3"/>
  <c r="M1879" i="3"/>
  <c r="K1879" i="3"/>
  <c r="G1879" i="3"/>
  <c r="D1879" i="3"/>
  <c r="C1879" i="3"/>
  <c r="M1878" i="3"/>
  <c r="K1878" i="3"/>
  <c r="G1878" i="3"/>
  <c r="D1878" i="3"/>
  <c r="C1878" i="3"/>
  <c r="M1877" i="3"/>
  <c r="K1877" i="3"/>
  <c r="G1877" i="3"/>
  <c r="D1877" i="3"/>
  <c r="C1877" i="3"/>
  <c r="M1876" i="3"/>
  <c r="K1876" i="3"/>
  <c r="G1876" i="3"/>
  <c r="D1876" i="3"/>
  <c r="C1876" i="3"/>
  <c r="M1875" i="3"/>
  <c r="K1875" i="3"/>
  <c r="G1875" i="3"/>
  <c r="D1875" i="3"/>
  <c r="C1875" i="3"/>
  <c r="M1874" i="3"/>
  <c r="K1874" i="3"/>
  <c r="G1874" i="3"/>
  <c r="D1874" i="3"/>
  <c r="C1874" i="3"/>
  <c r="M1873" i="3"/>
  <c r="K1873" i="3"/>
  <c r="G1873" i="3"/>
  <c r="D1873" i="3"/>
  <c r="C1873" i="3"/>
  <c r="M1872" i="3"/>
  <c r="K1872" i="3"/>
  <c r="G1872" i="3"/>
  <c r="D1872" i="3"/>
  <c r="C1872" i="3"/>
  <c r="M1871" i="3"/>
  <c r="K1871" i="3"/>
  <c r="G1871" i="3"/>
  <c r="D1871" i="3"/>
  <c r="C1871" i="3"/>
  <c r="M1870" i="3"/>
  <c r="K1870" i="3"/>
  <c r="G1870" i="3"/>
  <c r="D1870" i="3"/>
  <c r="C1870" i="3"/>
  <c r="M1869" i="3"/>
  <c r="K1869" i="3"/>
  <c r="G1869" i="3"/>
  <c r="D1869" i="3"/>
  <c r="C1869" i="3"/>
  <c r="M1868" i="3"/>
  <c r="K1868" i="3"/>
  <c r="G1868" i="3"/>
  <c r="D1868" i="3"/>
  <c r="C1868" i="3"/>
  <c r="M1867" i="3"/>
  <c r="K1867" i="3"/>
  <c r="G1867" i="3"/>
  <c r="D1867" i="3"/>
  <c r="C1867" i="3"/>
  <c r="M1866" i="3"/>
  <c r="K1866" i="3"/>
  <c r="G1866" i="3"/>
  <c r="D1866" i="3"/>
  <c r="C1866" i="3"/>
  <c r="M1865" i="3"/>
  <c r="K1865" i="3"/>
  <c r="G1865" i="3"/>
  <c r="D1865" i="3"/>
  <c r="C1865" i="3"/>
  <c r="M1864" i="3"/>
  <c r="K1864" i="3"/>
  <c r="G1864" i="3"/>
  <c r="D1864" i="3"/>
  <c r="C1864" i="3"/>
  <c r="M1863" i="3"/>
  <c r="K1863" i="3"/>
  <c r="G1863" i="3"/>
  <c r="D1863" i="3"/>
  <c r="C1863" i="3"/>
  <c r="M1862" i="3"/>
  <c r="K1862" i="3"/>
  <c r="G1862" i="3"/>
  <c r="D1862" i="3"/>
  <c r="C1862" i="3"/>
  <c r="M1861" i="3"/>
  <c r="K1861" i="3"/>
  <c r="G1861" i="3"/>
  <c r="D1861" i="3"/>
  <c r="C1861" i="3"/>
  <c r="M1860" i="3"/>
  <c r="K1860" i="3"/>
  <c r="G1860" i="3"/>
  <c r="D1860" i="3"/>
  <c r="C1860" i="3"/>
  <c r="M1859" i="3"/>
  <c r="K1859" i="3"/>
  <c r="G1859" i="3"/>
  <c r="D1859" i="3"/>
  <c r="C1859" i="3"/>
  <c r="M1858" i="3"/>
  <c r="K1858" i="3"/>
  <c r="G1858" i="3"/>
  <c r="D1858" i="3"/>
  <c r="C1858" i="3"/>
  <c r="M1857" i="3"/>
  <c r="K1857" i="3"/>
  <c r="G1857" i="3"/>
  <c r="D1857" i="3"/>
  <c r="C1857" i="3"/>
  <c r="M1856" i="3"/>
  <c r="K1856" i="3"/>
  <c r="G1856" i="3"/>
  <c r="D1856" i="3"/>
  <c r="C1856" i="3"/>
  <c r="M1855" i="3"/>
  <c r="K1855" i="3"/>
  <c r="G1855" i="3"/>
  <c r="D1855" i="3"/>
  <c r="C1855" i="3"/>
  <c r="M1854" i="3"/>
  <c r="K1854" i="3"/>
  <c r="G1854" i="3"/>
  <c r="D1854" i="3"/>
  <c r="C1854" i="3"/>
  <c r="M1853" i="3"/>
  <c r="K1853" i="3"/>
  <c r="G1853" i="3"/>
  <c r="D1853" i="3"/>
  <c r="C1853" i="3"/>
  <c r="M1852" i="3"/>
  <c r="K1852" i="3"/>
  <c r="G1852" i="3"/>
  <c r="D1852" i="3"/>
  <c r="C1852" i="3"/>
  <c r="M1851" i="3"/>
  <c r="K1851" i="3"/>
  <c r="G1851" i="3"/>
  <c r="D1851" i="3"/>
  <c r="C1851" i="3"/>
  <c r="M1850" i="3"/>
  <c r="K1850" i="3"/>
  <c r="G1850" i="3"/>
  <c r="D1850" i="3"/>
  <c r="C1850" i="3"/>
  <c r="M1849" i="3"/>
  <c r="K1849" i="3"/>
  <c r="G1849" i="3"/>
  <c r="D1849" i="3"/>
  <c r="C1849" i="3"/>
  <c r="M1848" i="3"/>
  <c r="K1848" i="3"/>
  <c r="G1848" i="3"/>
  <c r="D1848" i="3"/>
  <c r="C1848" i="3"/>
  <c r="M1847" i="3"/>
  <c r="K1847" i="3"/>
  <c r="G1847" i="3"/>
  <c r="D1847" i="3"/>
  <c r="C1847" i="3"/>
  <c r="M1846" i="3"/>
  <c r="K1846" i="3"/>
  <c r="G1846" i="3"/>
  <c r="D1846" i="3"/>
  <c r="C1846" i="3"/>
  <c r="M1845" i="3"/>
  <c r="K1845" i="3"/>
  <c r="G1845" i="3"/>
  <c r="D1845" i="3"/>
  <c r="C1845" i="3"/>
  <c r="M1844" i="3"/>
  <c r="K1844" i="3"/>
  <c r="G1844" i="3"/>
  <c r="D1844" i="3"/>
  <c r="C1844" i="3"/>
  <c r="M1843" i="3"/>
  <c r="K1843" i="3"/>
  <c r="G1843" i="3"/>
  <c r="D1843" i="3"/>
  <c r="C1843" i="3"/>
  <c r="M1842" i="3"/>
  <c r="K1842" i="3"/>
  <c r="G1842" i="3"/>
  <c r="D1842" i="3"/>
  <c r="C1842" i="3"/>
  <c r="M1841" i="3"/>
  <c r="K1841" i="3"/>
  <c r="G1841" i="3"/>
  <c r="D1841" i="3"/>
  <c r="C1841" i="3"/>
  <c r="M1840" i="3"/>
  <c r="K1840" i="3"/>
  <c r="G1840" i="3"/>
  <c r="D1840" i="3"/>
  <c r="C1840" i="3"/>
  <c r="M1839" i="3"/>
  <c r="K1839" i="3"/>
  <c r="G1839" i="3"/>
  <c r="D1839" i="3"/>
  <c r="C1839" i="3"/>
  <c r="M1838" i="3"/>
  <c r="K1838" i="3"/>
  <c r="G1838" i="3"/>
  <c r="D1838" i="3"/>
  <c r="C1838" i="3"/>
  <c r="M1837" i="3"/>
  <c r="K1837" i="3"/>
  <c r="G1837" i="3"/>
  <c r="D1837" i="3"/>
  <c r="C1837" i="3"/>
  <c r="M1836" i="3"/>
  <c r="K1836" i="3"/>
  <c r="G1836" i="3"/>
  <c r="D1836" i="3"/>
  <c r="C1836" i="3"/>
  <c r="M1835" i="3"/>
  <c r="K1835" i="3"/>
  <c r="G1835" i="3"/>
  <c r="D1835" i="3"/>
  <c r="C1835" i="3"/>
  <c r="M1834" i="3"/>
  <c r="K1834" i="3"/>
  <c r="G1834" i="3"/>
  <c r="D1834" i="3"/>
  <c r="C1834" i="3"/>
  <c r="M1833" i="3"/>
  <c r="K1833" i="3"/>
  <c r="G1833" i="3"/>
  <c r="D1833" i="3"/>
  <c r="C1833" i="3"/>
  <c r="M1832" i="3"/>
  <c r="K1832" i="3"/>
  <c r="G1832" i="3"/>
  <c r="D1832" i="3"/>
  <c r="C1832" i="3"/>
  <c r="M1831" i="3"/>
  <c r="K1831" i="3"/>
  <c r="G1831" i="3"/>
  <c r="D1831" i="3"/>
  <c r="C1831" i="3"/>
  <c r="M1830" i="3"/>
  <c r="K1830" i="3"/>
  <c r="G1830" i="3"/>
  <c r="D1830" i="3"/>
  <c r="C1830" i="3"/>
  <c r="M1829" i="3"/>
  <c r="K1829" i="3"/>
  <c r="G1829" i="3"/>
  <c r="D1829" i="3"/>
  <c r="C1829" i="3"/>
  <c r="M1828" i="3"/>
  <c r="K1828" i="3"/>
  <c r="G1828" i="3"/>
  <c r="D1828" i="3"/>
  <c r="C1828" i="3"/>
  <c r="M1827" i="3"/>
  <c r="K1827" i="3"/>
  <c r="G1827" i="3"/>
  <c r="D1827" i="3"/>
  <c r="C1827" i="3"/>
  <c r="M1826" i="3"/>
  <c r="K1826" i="3"/>
  <c r="G1826" i="3"/>
  <c r="D1826" i="3"/>
  <c r="C1826" i="3"/>
  <c r="M1825" i="3"/>
  <c r="K1825" i="3"/>
  <c r="G1825" i="3"/>
  <c r="D1825" i="3"/>
  <c r="C1825" i="3"/>
  <c r="M1824" i="3"/>
  <c r="K1824" i="3"/>
  <c r="G1824" i="3"/>
  <c r="D1824" i="3"/>
  <c r="C1824" i="3"/>
  <c r="M1823" i="3"/>
  <c r="K1823" i="3"/>
  <c r="G1823" i="3"/>
  <c r="D1823" i="3"/>
  <c r="C1823" i="3"/>
  <c r="M1822" i="3"/>
  <c r="K1822" i="3"/>
  <c r="G1822" i="3"/>
  <c r="D1822" i="3"/>
  <c r="C1822" i="3"/>
  <c r="M1821" i="3"/>
  <c r="K1821" i="3"/>
  <c r="G1821" i="3"/>
  <c r="D1821" i="3"/>
  <c r="C1821" i="3"/>
  <c r="M1820" i="3"/>
  <c r="K1820" i="3"/>
  <c r="G1820" i="3"/>
  <c r="D1820" i="3"/>
  <c r="C1820" i="3"/>
  <c r="M1819" i="3"/>
  <c r="K1819" i="3"/>
  <c r="G1819" i="3"/>
  <c r="D1819" i="3"/>
  <c r="C1819" i="3"/>
  <c r="M1818" i="3"/>
  <c r="K1818" i="3"/>
  <c r="G1818" i="3"/>
  <c r="D1818" i="3"/>
  <c r="C1818" i="3"/>
  <c r="M1817" i="3"/>
  <c r="K1817" i="3"/>
  <c r="G1817" i="3"/>
  <c r="D1817" i="3"/>
  <c r="C1817" i="3"/>
  <c r="M1816" i="3"/>
  <c r="K1816" i="3"/>
  <c r="G1816" i="3"/>
  <c r="D1816" i="3"/>
  <c r="C1816" i="3"/>
  <c r="M1815" i="3"/>
  <c r="K1815" i="3"/>
  <c r="G1815" i="3"/>
  <c r="D1815" i="3"/>
  <c r="C1815" i="3"/>
  <c r="M1814" i="3"/>
  <c r="K1814" i="3"/>
  <c r="G1814" i="3"/>
  <c r="D1814" i="3"/>
  <c r="C1814" i="3"/>
  <c r="M1813" i="3"/>
  <c r="K1813" i="3"/>
  <c r="G1813" i="3"/>
  <c r="D1813" i="3"/>
  <c r="C1813" i="3"/>
  <c r="M1812" i="3"/>
  <c r="K1812" i="3"/>
  <c r="G1812" i="3"/>
  <c r="D1812" i="3"/>
  <c r="C1812" i="3"/>
  <c r="M1811" i="3"/>
  <c r="K1811" i="3"/>
  <c r="G1811" i="3"/>
  <c r="D1811" i="3"/>
  <c r="C1811" i="3"/>
  <c r="M1810" i="3"/>
  <c r="K1810" i="3"/>
  <c r="G1810" i="3"/>
  <c r="D1810" i="3"/>
  <c r="C1810" i="3"/>
  <c r="M1809" i="3"/>
  <c r="K1809" i="3"/>
  <c r="G1809" i="3"/>
  <c r="D1809" i="3"/>
  <c r="C1809" i="3"/>
  <c r="M1808" i="3"/>
  <c r="K1808" i="3"/>
  <c r="G1808" i="3"/>
  <c r="D1808" i="3"/>
  <c r="C1808" i="3"/>
  <c r="M1807" i="3"/>
  <c r="K1807" i="3"/>
  <c r="G1807" i="3"/>
  <c r="D1807" i="3"/>
  <c r="C1807" i="3"/>
  <c r="M1806" i="3"/>
  <c r="K1806" i="3"/>
  <c r="G1806" i="3"/>
  <c r="D1806" i="3"/>
  <c r="C1806" i="3"/>
  <c r="M1805" i="3"/>
  <c r="K1805" i="3"/>
  <c r="G1805" i="3"/>
  <c r="D1805" i="3"/>
  <c r="C1805" i="3"/>
  <c r="M1804" i="3"/>
  <c r="K1804" i="3"/>
  <c r="G1804" i="3"/>
  <c r="D1804" i="3"/>
  <c r="C1804" i="3"/>
  <c r="M1803" i="3"/>
  <c r="K1803" i="3"/>
  <c r="G1803" i="3"/>
  <c r="D1803" i="3"/>
  <c r="C1803" i="3"/>
  <c r="M1802" i="3"/>
  <c r="K1802" i="3"/>
  <c r="G1802" i="3"/>
  <c r="D1802" i="3"/>
  <c r="C1802" i="3"/>
  <c r="M1801" i="3"/>
  <c r="K1801" i="3"/>
  <c r="G1801" i="3"/>
  <c r="D1801" i="3"/>
  <c r="C1801" i="3"/>
  <c r="M1800" i="3"/>
  <c r="K1800" i="3"/>
  <c r="G1800" i="3"/>
  <c r="D1800" i="3"/>
  <c r="C1800" i="3"/>
  <c r="M1799" i="3"/>
  <c r="K1799" i="3"/>
  <c r="G1799" i="3"/>
  <c r="D1799" i="3"/>
  <c r="C1799" i="3"/>
  <c r="M1798" i="3"/>
  <c r="K1798" i="3"/>
  <c r="G1798" i="3"/>
  <c r="D1798" i="3"/>
  <c r="C1798" i="3"/>
  <c r="M1797" i="3"/>
  <c r="K1797" i="3"/>
  <c r="G1797" i="3"/>
  <c r="D1797" i="3"/>
  <c r="C1797" i="3"/>
  <c r="M1796" i="3"/>
  <c r="K1796" i="3"/>
  <c r="G1796" i="3"/>
  <c r="D1796" i="3"/>
  <c r="C1796" i="3"/>
  <c r="M1795" i="3"/>
  <c r="K1795" i="3"/>
  <c r="G1795" i="3"/>
  <c r="D1795" i="3"/>
  <c r="C1795" i="3"/>
  <c r="M1794" i="3"/>
  <c r="K1794" i="3"/>
  <c r="G1794" i="3"/>
  <c r="D1794" i="3"/>
  <c r="C1794" i="3"/>
  <c r="M1793" i="3"/>
  <c r="K1793" i="3"/>
  <c r="G1793" i="3"/>
  <c r="D1793" i="3"/>
  <c r="C1793" i="3"/>
  <c r="M1792" i="3"/>
  <c r="K1792" i="3"/>
  <c r="G1792" i="3"/>
  <c r="D1792" i="3"/>
  <c r="C1792" i="3"/>
  <c r="M1791" i="3"/>
  <c r="K1791" i="3"/>
  <c r="G1791" i="3"/>
  <c r="D1791" i="3"/>
  <c r="C1791" i="3"/>
  <c r="M1790" i="3"/>
  <c r="K1790" i="3"/>
  <c r="G1790" i="3"/>
  <c r="D1790" i="3"/>
  <c r="C1790" i="3"/>
  <c r="M1789" i="3"/>
  <c r="K1789" i="3"/>
  <c r="G1789" i="3"/>
  <c r="D1789" i="3"/>
  <c r="C1789" i="3"/>
  <c r="M1788" i="3"/>
  <c r="K1788" i="3"/>
  <c r="G1788" i="3"/>
  <c r="D1788" i="3"/>
  <c r="C1788" i="3"/>
  <c r="M1787" i="3"/>
  <c r="K1787" i="3"/>
  <c r="G1787" i="3"/>
  <c r="D1787" i="3"/>
  <c r="C1787" i="3"/>
  <c r="M1786" i="3"/>
  <c r="K1786" i="3"/>
  <c r="G1786" i="3"/>
  <c r="D1786" i="3"/>
  <c r="C1786" i="3"/>
  <c r="M1785" i="3"/>
  <c r="K1785" i="3"/>
  <c r="G1785" i="3"/>
  <c r="D1785" i="3"/>
  <c r="C1785" i="3"/>
  <c r="M1784" i="3"/>
  <c r="K1784" i="3"/>
  <c r="G1784" i="3"/>
  <c r="D1784" i="3"/>
  <c r="C1784" i="3"/>
  <c r="M1783" i="3"/>
  <c r="K1783" i="3"/>
  <c r="G1783" i="3"/>
  <c r="D1783" i="3"/>
  <c r="C1783" i="3"/>
  <c r="M1782" i="3"/>
  <c r="K1782" i="3"/>
  <c r="G1782" i="3"/>
  <c r="D1782" i="3"/>
  <c r="C1782" i="3"/>
  <c r="M1781" i="3"/>
  <c r="K1781" i="3"/>
  <c r="G1781" i="3"/>
  <c r="D1781" i="3"/>
  <c r="C1781" i="3"/>
  <c r="M1780" i="3"/>
  <c r="K1780" i="3"/>
  <c r="G1780" i="3"/>
  <c r="D1780" i="3"/>
  <c r="C1780" i="3"/>
  <c r="M1779" i="3"/>
  <c r="K1779" i="3"/>
  <c r="G1779" i="3"/>
  <c r="D1779" i="3"/>
  <c r="C1779" i="3"/>
  <c r="M1778" i="3"/>
  <c r="K1778" i="3"/>
  <c r="G1778" i="3"/>
  <c r="D1778" i="3"/>
  <c r="C1778" i="3"/>
  <c r="M1777" i="3"/>
  <c r="K1777" i="3"/>
  <c r="G1777" i="3"/>
  <c r="D1777" i="3"/>
  <c r="C1777" i="3"/>
  <c r="M1776" i="3"/>
  <c r="K1776" i="3"/>
  <c r="G1776" i="3"/>
  <c r="D1776" i="3"/>
  <c r="C1776" i="3"/>
  <c r="M1775" i="3"/>
  <c r="K1775" i="3"/>
  <c r="G1775" i="3"/>
  <c r="D1775" i="3"/>
  <c r="C1775" i="3"/>
  <c r="M1774" i="3"/>
  <c r="K1774" i="3"/>
  <c r="G1774" i="3"/>
  <c r="D1774" i="3"/>
  <c r="C1774" i="3"/>
  <c r="M1773" i="3"/>
  <c r="K1773" i="3"/>
  <c r="G1773" i="3"/>
  <c r="D1773" i="3"/>
  <c r="C1773" i="3"/>
  <c r="M1772" i="3"/>
  <c r="K1772" i="3"/>
  <c r="G1772" i="3"/>
  <c r="D1772" i="3"/>
  <c r="C1772" i="3"/>
  <c r="M1771" i="3"/>
  <c r="K1771" i="3"/>
  <c r="G1771" i="3"/>
  <c r="D1771" i="3"/>
  <c r="C1771" i="3"/>
  <c r="M1770" i="3"/>
  <c r="K1770" i="3"/>
  <c r="G1770" i="3"/>
  <c r="D1770" i="3"/>
  <c r="C1770" i="3"/>
  <c r="M1769" i="3"/>
  <c r="K1769" i="3"/>
  <c r="G1769" i="3"/>
  <c r="D1769" i="3"/>
  <c r="C1769" i="3"/>
  <c r="M1768" i="3"/>
  <c r="K1768" i="3"/>
  <c r="G1768" i="3"/>
  <c r="D1768" i="3"/>
  <c r="C1768" i="3"/>
  <c r="M1767" i="3"/>
  <c r="K1767" i="3"/>
  <c r="G1767" i="3"/>
  <c r="D1767" i="3"/>
  <c r="C1767" i="3"/>
  <c r="M1766" i="3"/>
  <c r="K1766" i="3"/>
  <c r="G1766" i="3"/>
  <c r="D1766" i="3"/>
  <c r="C1766" i="3"/>
  <c r="M1765" i="3"/>
  <c r="K1765" i="3"/>
  <c r="G1765" i="3"/>
  <c r="D1765" i="3"/>
  <c r="C1765" i="3"/>
  <c r="M1764" i="3"/>
  <c r="K1764" i="3"/>
  <c r="G1764" i="3"/>
  <c r="D1764" i="3"/>
  <c r="C1764" i="3"/>
  <c r="M1763" i="3"/>
  <c r="K1763" i="3"/>
  <c r="G1763" i="3"/>
  <c r="D1763" i="3"/>
  <c r="C1763" i="3"/>
  <c r="M1762" i="3"/>
  <c r="K1762" i="3"/>
  <c r="G1762" i="3"/>
  <c r="D1762" i="3"/>
  <c r="C1762" i="3"/>
  <c r="M1761" i="3"/>
  <c r="K1761" i="3"/>
  <c r="G1761" i="3"/>
  <c r="D1761" i="3"/>
  <c r="C1761" i="3"/>
  <c r="M1760" i="3"/>
  <c r="K1760" i="3"/>
  <c r="G1760" i="3"/>
  <c r="D1760" i="3"/>
  <c r="C1760" i="3"/>
  <c r="M1759" i="3"/>
  <c r="K1759" i="3"/>
  <c r="G1759" i="3"/>
  <c r="D1759" i="3"/>
  <c r="C1759" i="3"/>
  <c r="M1758" i="3"/>
  <c r="K1758" i="3"/>
  <c r="G1758" i="3"/>
  <c r="D1758" i="3"/>
  <c r="C1758" i="3"/>
  <c r="M1757" i="3"/>
  <c r="K1757" i="3"/>
  <c r="G1757" i="3"/>
  <c r="D1757" i="3"/>
  <c r="C1757" i="3"/>
  <c r="M1756" i="3"/>
  <c r="K1756" i="3"/>
  <c r="G1756" i="3"/>
  <c r="D1756" i="3"/>
  <c r="C1756" i="3"/>
  <c r="M1755" i="3"/>
  <c r="K1755" i="3"/>
  <c r="G1755" i="3"/>
  <c r="D1755" i="3"/>
  <c r="C1755" i="3"/>
  <c r="M1754" i="3"/>
  <c r="K1754" i="3"/>
  <c r="G1754" i="3"/>
  <c r="D1754" i="3"/>
  <c r="C1754" i="3"/>
  <c r="M1753" i="3"/>
  <c r="K1753" i="3"/>
  <c r="G1753" i="3"/>
  <c r="D1753" i="3"/>
  <c r="C1753" i="3"/>
  <c r="M1752" i="3"/>
  <c r="K1752" i="3"/>
  <c r="G1752" i="3"/>
  <c r="D1752" i="3"/>
  <c r="C1752" i="3"/>
  <c r="M1751" i="3"/>
  <c r="K1751" i="3"/>
  <c r="G1751" i="3"/>
  <c r="D1751" i="3"/>
  <c r="C1751" i="3"/>
  <c r="M1750" i="3"/>
  <c r="K1750" i="3"/>
  <c r="G1750" i="3"/>
  <c r="D1750" i="3"/>
  <c r="C1750" i="3"/>
  <c r="M1749" i="3"/>
  <c r="K1749" i="3"/>
  <c r="G1749" i="3"/>
  <c r="D1749" i="3"/>
  <c r="C1749" i="3"/>
  <c r="M1748" i="3"/>
  <c r="K1748" i="3"/>
  <c r="G1748" i="3"/>
  <c r="D1748" i="3"/>
  <c r="C1748" i="3"/>
  <c r="M1747" i="3"/>
  <c r="K1747" i="3"/>
  <c r="G1747" i="3"/>
  <c r="D1747" i="3"/>
  <c r="C1747" i="3"/>
  <c r="M1746" i="3"/>
  <c r="K1746" i="3"/>
  <c r="G1746" i="3"/>
  <c r="D1746" i="3"/>
  <c r="C1746" i="3"/>
  <c r="M1745" i="3"/>
  <c r="K1745" i="3"/>
  <c r="G1745" i="3"/>
  <c r="D1745" i="3"/>
  <c r="C1745" i="3"/>
  <c r="M1744" i="3"/>
  <c r="K1744" i="3"/>
  <c r="G1744" i="3"/>
  <c r="D1744" i="3"/>
  <c r="C1744" i="3"/>
  <c r="M1743" i="3"/>
  <c r="K1743" i="3"/>
  <c r="G1743" i="3"/>
  <c r="D1743" i="3"/>
  <c r="C1743" i="3"/>
  <c r="M1742" i="3"/>
  <c r="K1742" i="3"/>
  <c r="G1742" i="3"/>
  <c r="D1742" i="3"/>
  <c r="C1742" i="3"/>
  <c r="M1741" i="3"/>
  <c r="K1741" i="3"/>
  <c r="G1741" i="3"/>
  <c r="D1741" i="3"/>
  <c r="C1741" i="3"/>
  <c r="M1740" i="3"/>
  <c r="K1740" i="3"/>
  <c r="G1740" i="3"/>
  <c r="D1740" i="3"/>
  <c r="C1740" i="3"/>
  <c r="M1739" i="3"/>
  <c r="K1739" i="3"/>
  <c r="G1739" i="3"/>
  <c r="D1739" i="3"/>
  <c r="C1739" i="3"/>
  <c r="M1738" i="3"/>
  <c r="K1738" i="3"/>
  <c r="G1738" i="3"/>
  <c r="D1738" i="3"/>
  <c r="C1738" i="3"/>
  <c r="M1737" i="3"/>
  <c r="K1737" i="3"/>
  <c r="G1737" i="3"/>
  <c r="D1737" i="3"/>
  <c r="C1737" i="3"/>
  <c r="M1736" i="3"/>
  <c r="K1736" i="3"/>
  <c r="G1736" i="3"/>
  <c r="D1736" i="3"/>
  <c r="C1736" i="3"/>
  <c r="M1735" i="3"/>
  <c r="K1735" i="3"/>
  <c r="G1735" i="3"/>
  <c r="D1735" i="3"/>
  <c r="C1735" i="3"/>
  <c r="M1734" i="3"/>
  <c r="K1734" i="3"/>
  <c r="G1734" i="3"/>
  <c r="D1734" i="3"/>
  <c r="C1734" i="3"/>
  <c r="M1733" i="3"/>
  <c r="K1733" i="3"/>
  <c r="G1733" i="3"/>
  <c r="D1733" i="3"/>
  <c r="C1733" i="3"/>
  <c r="M1732" i="3"/>
  <c r="K1732" i="3"/>
  <c r="G1732" i="3"/>
  <c r="D1732" i="3"/>
  <c r="C1732" i="3"/>
  <c r="M1731" i="3"/>
  <c r="K1731" i="3"/>
  <c r="G1731" i="3"/>
  <c r="D1731" i="3"/>
  <c r="C1731" i="3"/>
  <c r="M1730" i="3"/>
  <c r="K1730" i="3"/>
  <c r="G1730" i="3"/>
  <c r="D1730" i="3"/>
  <c r="C1730" i="3"/>
  <c r="M1729" i="3"/>
  <c r="K1729" i="3"/>
  <c r="G1729" i="3"/>
  <c r="D1729" i="3"/>
  <c r="C1729" i="3"/>
  <c r="M1728" i="3"/>
  <c r="K1728" i="3"/>
  <c r="G1728" i="3"/>
  <c r="D1728" i="3"/>
  <c r="C1728" i="3"/>
  <c r="M1727" i="3"/>
  <c r="K1727" i="3"/>
  <c r="G1727" i="3"/>
  <c r="D1727" i="3"/>
  <c r="C1727" i="3"/>
  <c r="M1726" i="3"/>
  <c r="K1726" i="3"/>
  <c r="G1726" i="3"/>
  <c r="D1726" i="3"/>
  <c r="C1726" i="3"/>
  <c r="M1725" i="3"/>
  <c r="K1725" i="3"/>
  <c r="G1725" i="3"/>
  <c r="D1725" i="3"/>
  <c r="C1725" i="3"/>
  <c r="M1724" i="3"/>
  <c r="K1724" i="3"/>
  <c r="G1724" i="3"/>
  <c r="D1724" i="3"/>
  <c r="C1724" i="3"/>
  <c r="M1723" i="3"/>
  <c r="K1723" i="3"/>
  <c r="G1723" i="3"/>
  <c r="D1723" i="3"/>
  <c r="C1723" i="3"/>
  <c r="M1722" i="3"/>
  <c r="K1722" i="3"/>
  <c r="G1722" i="3"/>
  <c r="D1722" i="3"/>
  <c r="C1722" i="3"/>
  <c r="M1721" i="3"/>
  <c r="K1721" i="3"/>
  <c r="G1721" i="3"/>
  <c r="D1721" i="3"/>
  <c r="C1721" i="3"/>
  <c r="M1720" i="3"/>
  <c r="K1720" i="3"/>
  <c r="G1720" i="3"/>
  <c r="D1720" i="3"/>
  <c r="C1720" i="3"/>
  <c r="M1719" i="3"/>
  <c r="K1719" i="3"/>
  <c r="G1719" i="3"/>
  <c r="D1719" i="3"/>
  <c r="C1719" i="3"/>
  <c r="M1718" i="3"/>
  <c r="K1718" i="3"/>
  <c r="G1718" i="3"/>
  <c r="D1718" i="3"/>
  <c r="C1718" i="3"/>
  <c r="M1717" i="3"/>
  <c r="K1717" i="3"/>
  <c r="G1717" i="3"/>
  <c r="D1717" i="3"/>
  <c r="C1717" i="3"/>
  <c r="M1716" i="3"/>
  <c r="K1716" i="3"/>
  <c r="G1716" i="3"/>
  <c r="D1716" i="3"/>
  <c r="C1716" i="3"/>
  <c r="M1715" i="3"/>
  <c r="K1715" i="3"/>
  <c r="G1715" i="3"/>
  <c r="D1715" i="3"/>
  <c r="C1715" i="3"/>
  <c r="M1714" i="3"/>
  <c r="K1714" i="3"/>
  <c r="G1714" i="3"/>
  <c r="D1714" i="3"/>
  <c r="C1714" i="3"/>
  <c r="M1713" i="3"/>
  <c r="K1713" i="3"/>
  <c r="G1713" i="3"/>
  <c r="D1713" i="3"/>
  <c r="C1713" i="3"/>
  <c r="M1712" i="3"/>
  <c r="K1712" i="3"/>
  <c r="G1712" i="3"/>
  <c r="D1712" i="3"/>
  <c r="C1712" i="3"/>
  <c r="M1711" i="3"/>
  <c r="K1711" i="3"/>
  <c r="G1711" i="3"/>
  <c r="D1711" i="3"/>
  <c r="C1711" i="3"/>
  <c r="M1710" i="3"/>
  <c r="K1710" i="3"/>
  <c r="G1710" i="3"/>
  <c r="D1710" i="3"/>
  <c r="C1710" i="3"/>
  <c r="M1709" i="3"/>
  <c r="K1709" i="3"/>
  <c r="G1709" i="3"/>
  <c r="D1709" i="3"/>
  <c r="C1709" i="3"/>
  <c r="M1708" i="3"/>
  <c r="K1708" i="3"/>
  <c r="G1708" i="3"/>
  <c r="D1708" i="3"/>
  <c r="C1708" i="3"/>
  <c r="M1707" i="3"/>
  <c r="K1707" i="3"/>
  <c r="G1707" i="3"/>
  <c r="D1707" i="3"/>
  <c r="C1707" i="3"/>
  <c r="M1706" i="3"/>
  <c r="K1706" i="3"/>
  <c r="G1706" i="3"/>
  <c r="D1706" i="3"/>
  <c r="C1706" i="3"/>
  <c r="M1705" i="3"/>
  <c r="K1705" i="3"/>
  <c r="G1705" i="3"/>
  <c r="D1705" i="3"/>
  <c r="C1705" i="3"/>
  <c r="M1704" i="3"/>
  <c r="K1704" i="3"/>
  <c r="G1704" i="3"/>
  <c r="D1704" i="3"/>
  <c r="C1704" i="3"/>
  <c r="M1703" i="3"/>
  <c r="K1703" i="3"/>
  <c r="G1703" i="3"/>
  <c r="D1703" i="3"/>
  <c r="C1703" i="3"/>
  <c r="M1702" i="3"/>
  <c r="K1702" i="3"/>
  <c r="G1702" i="3"/>
  <c r="D1702" i="3"/>
  <c r="C1702" i="3"/>
  <c r="M1701" i="3"/>
  <c r="K1701" i="3"/>
  <c r="G1701" i="3"/>
  <c r="D1701" i="3"/>
  <c r="C1701" i="3"/>
  <c r="M1700" i="3"/>
  <c r="K1700" i="3"/>
  <c r="G1700" i="3"/>
  <c r="D1700" i="3"/>
  <c r="C1700" i="3"/>
  <c r="M1699" i="3"/>
  <c r="K1699" i="3"/>
  <c r="G1699" i="3"/>
  <c r="D1699" i="3"/>
  <c r="C1699" i="3"/>
  <c r="M1698" i="3"/>
  <c r="K1698" i="3"/>
  <c r="G1698" i="3"/>
  <c r="D1698" i="3"/>
  <c r="C1698" i="3"/>
  <c r="M1697" i="3"/>
  <c r="K1697" i="3"/>
  <c r="G1697" i="3"/>
  <c r="D1697" i="3"/>
  <c r="C1697" i="3"/>
  <c r="M1696" i="3"/>
  <c r="K1696" i="3"/>
  <c r="G1696" i="3"/>
  <c r="D1696" i="3"/>
  <c r="C1696" i="3"/>
  <c r="M1695" i="3"/>
  <c r="K1695" i="3"/>
  <c r="G1695" i="3"/>
  <c r="D1695" i="3"/>
  <c r="C1695" i="3"/>
  <c r="M1694" i="3"/>
  <c r="K1694" i="3"/>
  <c r="G1694" i="3"/>
  <c r="D1694" i="3"/>
  <c r="C1694" i="3"/>
  <c r="M1693" i="3"/>
  <c r="K1693" i="3"/>
  <c r="G1693" i="3"/>
  <c r="D1693" i="3"/>
  <c r="C1693" i="3"/>
  <c r="M1692" i="3"/>
  <c r="K1692" i="3"/>
  <c r="G1692" i="3"/>
  <c r="D1692" i="3"/>
  <c r="C1692" i="3"/>
  <c r="M1691" i="3"/>
  <c r="K1691" i="3"/>
  <c r="G1691" i="3"/>
  <c r="D1691" i="3"/>
  <c r="C1691" i="3"/>
  <c r="M1690" i="3"/>
  <c r="K1690" i="3"/>
  <c r="G1690" i="3"/>
  <c r="D1690" i="3"/>
  <c r="C1690" i="3"/>
  <c r="M1689" i="3"/>
  <c r="K1689" i="3"/>
  <c r="G1689" i="3"/>
  <c r="D1689" i="3"/>
  <c r="C1689" i="3"/>
  <c r="M1688" i="3"/>
  <c r="K1688" i="3"/>
  <c r="G1688" i="3"/>
  <c r="D1688" i="3"/>
  <c r="C1688" i="3"/>
  <c r="M1687" i="3"/>
  <c r="K1687" i="3"/>
  <c r="G1687" i="3"/>
  <c r="D1687" i="3"/>
  <c r="C1687" i="3"/>
  <c r="M1686" i="3"/>
  <c r="K1686" i="3"/>
  <c r="G1686" i="3"/>
  <c r="D1686" i="3"/>
  <c r="C1686" i="3"/>
  <c r="M1685" i="3"/>
  <c r="K1685" i="3"/>
  <c r="G1685" i="3"/>
  <c r="D1685" i="3"/>
  <c r="C1685" i="3"/>
  <c r="M1684" i="3"/>
  <c r="K1684" i="3"/>
  <c r="G1684" i="3"/>
  <c r="D1684" i="3"/>
  <c r="C1684" i="3"/>
  <c r="M1683" i="3"/>
  <c r="K1683" i="3"/>
  <c r="G1683" i="3"/>
  <c r="D1683" i="3"/>
  <c r="C1683" i="3"/>
  <c r="M1682" i="3"/>
  <c r="K1682" i="3"/>
  <c r="G1682" i="3"/>
  <c r="D1682" i="3"/>
  <c r="C1682" i="3"/>
  <c r="M1681" i="3"/>
  <c r="K1681" i="3"/>
  <c r="G1681" i="3"/>
  <c r="D1681" i="3"/>
  <c r="C1681" i="3"/>
  <c r="M1680" i="3"/>
  <c r="K1680" i="3"/>
  <c r="G1680" i="3"/>
  <c r="D1680" i="3"/>
  <c r="C1680" i="3"/>
  <c r="M1679" i="3"/>
  <c r="K1679" i="3"/>
  <c r="G1679" i="3"/>
  <c r="D1679" i="3"/>
  <c r="C1679" i="3"/>
  <c r="M1678" i="3"/>
  <c r="K1678" i="3"/>
  <c r="G1678" i="3"/>
  <c r="D1678" i="3"/>
  <c r="C1678" i="3"/>
  <c r="M1677" i="3"/>
  <c r="K1677" i="3"/>
  <c r="G1677" i="3"/>
  <c r="D1677" i="3"/>
  <c r="C1677" i="3"/>
  <c r="M1676" i="3"/>
  <c r="K1676" i="3"/>
  <c r="G1676" i="3"/>
  <c r="D1676" i="3"/>
  <c r="C1676" i="3"/>
  <c r="M1675" i="3"/>
  <c r="K1675" i="3"/>
  <c r="G1675" i="3"/>
  <c r="D1675" i="3"/>
  <c r="C1675" i="3"/>
  <c r="M1674" i="3"/>
  <c r="K1674" i="3"/>
  <c r="G1674" i="3"/>
  <c r="D1674" i="3"/>
  <c r="C1674" i="3"/>
  <c r="M1673" i="3"/>
  <c r="K1673" i="3"/>
  <c r="G1673" i="3"/>
  <c r="D1673" i="3"/>
  <c r="C1673" i="3"/>
  <c r="M1672" i="3"/>
  <c r="K1672" i="3"/>
  <c r="G1672" i="3"/>
  <c r="D1672" i="3"/>
  <c r="C1672" i="3"/>
  <c r="M1671" i="3"/>
  <c r="K1671" i="3"/>
  <c r="G1671" i="3"/>
  <c r="D1671" i="3"/>
  <c r="C1671" i="3"/>
  <c r="M1670" i="3"/>
  <c r="K1670" i="3"/>
  <c r="G1670" i="3"/>
  <c r="D1670" i="3"/>
  <c r="C1670" i="3"/>
  <c r="M1669" i="3"/>
  <c r="K1669" i="3"/>
  <c r="G1669" i="3"/>
  <c r="D1669" i="3"/>
  <c r="C1669" i="3"/>
  <c r="M1668" i="3"/>
  <c r="K1668" i="3"/>
  <c r="G1668" i="3"/>
  <c r="D1668" i="3"/>
  <c r="C1668" i="3"/>
  <c r="M1667" i="3"/>
  <c r="K1667" i="3"/>
  <c r="G1667" i="3"/>
  <c r="D1667" i="3"/>
  <c r="C1667" i="3"/>
  <c r="M1666" i="3"/>
  <c r="K1666" i="3"/>
  <c r="G1666" i="3"/>
  <c r="D1666" i="3"/>
  <c r="C1666" i="3"/>
  <c r="M1665" i="3"/>
  <c r="K1665" i="3"/>
  <c r="G1665" i="3"/>
  <c r="D1665" i="3"/>
  <c r="C1665" i="3"/>
  <c r="M1664" i="3"/>
  <c r="K1664" i="3"/>
  <c r="G1664" i="3"/>
  <c r="D1664" i="3"/>
  <c r="C1664" i="3"/>
  <c r="M1663" i="3"/>
  <c r="K1663" i="3"/>
  <c r="G1663" i="3"/>
  <c r="D1663" i="3"/>
  <c r="C1663" i="3"/>
  <c r="M1662" i="3"/>
  <c r="K1662" i="3"/>
  <c r="G1662" i="3"/>
  <c r="D1662" i="3"/>
  <c r="C1662" i="3"/>
  <c r="M1661" i="3"/>
  <c r="K1661" i="3"/>
  <c r="G1661" i="3"/>
  <c r="D1661" i="3"/>
  <c r="C1661" i="3"/>
  <c r="M1660" i="3"/>
  <c r="K1660" i="3"/>
  <c r="G1660" i="3"/>
  <c r="D1660" i="3"/>
  <c r="C1660" i="3"/>
  <c r="M1659" i="3"/>
  <c r="K1659" i="3"/>
  <c r="G1659" i="3"/>
  <c r="D1659" i="3"/>
  <c r="C1659" i="3"/>
  <c r="M1658" i="3"/>
  <c r="K1658" i="3"/>
  <c r="G1658" i="3"/>
  <c r="D1658" i="3"/>
  <c r="C1658" i="3"/>
  <c r="M1657" i="3"/>
  <c r="K1657" i="3"/>
  <c r="G1657" i="3"/>
  <c r="D1657" i="3"/>
  <c r="C1657" i="3"/>
  <c r="M1656" i="3"/>
  <c r="K1656" i="3"/>
  <c r="G1656" i="3"/>
  <c r="D1656" i="3"/>
  <c r="C1656" i="3"/>
  <c r="M1655" i="3"/>
  <c r="K1655" i="3"/>
  <c r="G1655" i="3"/>
  <c r="D1655" i="3"/>
  <c r="C1655" i="3"/>
  <c r="M1654" i="3"/>
  <c r="K1654" i="3"/>
  <c r="G1654" i="3"/>
  <c r="D1654" i="3"/>
  <c r="C1654" i="3"/>
  <c r="M1653" i="3"/>
  <c r="K1653" i="3"/>
  <c r="G1653" i="3"/>
  <c r="D1653" i="3"/>
  <c r="C1653" i="3"/>
  <c r="M1652" i="3"/>
  <c r="K1652" i="3"/>
  <c r="G1652" i="3"/>
  <c r="D1652" i="3"/>
  <c r="C1652" i="3"/>
  <c r="M1651" i="3"/>
  <c r="K1651" i="3"/>
  <c r="G1651" i="3"/>
  <c r="D1651" i="3"/>
  <c r="C1651" i="3"/>
  <c r="M1650" i="3"/>
  <c r="K1650" i="3"/>
  <c r="G1650" i="3"/>
  <c r="D1650" i="3"/>
  <c r="C1650" i="3"/>
  <c r="M1649" i="3"/>
  <c r="K1649" i="3"/>
  <c r="G1649" i="3"/>
  <c r="D1649" i="3"/>
  <c r="C1649" i="3"/>
  <c r="M1648" i="3"/>
  <c r="K1648" i="3"/>
  <c r="G1648" i="3"/>
  <c r="D1648" i="3"/>
  <c r="C1648" i="3"/>
  <c r="M1647" i="3"/>
  <c r="K1647" i="3"/>
  <c r="G1647" i="3"/>
  <c r="D1647" i="3"/>
  <c r="C1647" i="3"/>
  <c r="M1646" i="3"/>
  <c r="K1646" i="3"/>
  <c r="G1646" i="3"/>
  <c r="D1646" i="3"/>
  <c r="C1646" i="3"/>
  <c r="M1645" i="3"/>
  <c r="K1645" i="3"/>
  <c r="G1645" i="3"/>
  <c r="D1645" i="3"/>
  <c r="C1645" i="3"/>
  <c r="M1644" i="3"/>
  <c r="K1644" i="3"/>
  <c r="G1644" i="3"/>
  <c r="D1644" i="3"/>
  <c r="C1644" i="3"/>
  <c r="M1643" i="3"/>
  <c r="K1643" i="3"/>
  <c r="G1643" i="3"/>
  <c r="D1643" i="3"/>
  <c r="C1643" i="3"/>
  <c r="M1642" i="3"/>
  <c r="K1642" i="3"/>
  <c r="G1642" i="3"/>
  <c r="D1642" i="3"/>
  <c r="C1642" i="3"/>
  <c r="M1641" i="3"/>
  <c r="K1641" i="3"/>
  <c r="G1641" i="3"/>
  <c r="D1641" i="3"/>
  <c r="C1641" i="3"/>
  <c r="M1640" i="3"/>
  <c r="K1640" i="3"/>
  <c r="G1640" i="3"/>
  <c r="D1640" i="3"/>
  <c r="C1640" i="3"/>
  <c r="M1639" i="3"/>
  <c r="K1639" i="3"/>
  <c r="G1639" i="3"/>
  <c r="D1639" i="3"/>
  <c r="C1639" i="3"/>
  <c r="M1638" i="3"/>
  <c r="K1638" i="3"/>
  <c r="G1638" i="3"/>
  <c r="D1638" i="3"/>
  <c r="C1638" i="3"/>
  <c r="M1637" i="3"/>
  <c r="K1637" i="3"/>
  <c r="G1637" i="3"/>
  <c r="D1637" i="3"/>
  <c r="C1637" i="3"/>
  <c r="M1636" i="3"/>
  <c r="K1636" i="3"/>
  <c r="G1636" i="3"/>
  <c r="D1636" i="3"/>
  <c r="C1636" i="3"/>
  <c r="M1635" i="3"/>
  <c r="K1635" i="3"/>
  <c r="G1635" i="3"/>
  <c r="D1635" i="3"/>
  <c r="C1635" i="3"/>
  <c r="M1634" i="3"/>
  <c r="K1634" i="3"/>
  <c r="G1634" i="3"/>
  <c r="D1634" i="3"/>
  <c r="C1634" i="3"/>
  <c r="M1633" i="3"/>
  <c r="K1633" i="3"/>
  <c r="G1633" i="3"/>
  <c r="D1633" i="3"/>
  <c r="C1633" i="3"/>
  <c r="M1632" i="3"/>
  <c r="K1632" i="3"/>
  <c r="G1632" i="3"/>
  <c r="D1632" i="3"/>
  <c r="C1632" i="3"/>
  <c r="M1631" i="3"/>
  <c r="K1631" i="3"/>
  <c r="G1631" i="3"/>
  <c r="D1631" i="3"/>
  <c r="C1631" i="3"/>
  <c r="M1630" i="3"/>
  <c r="K1630" i="3"/>
  <c r="G1630" i="3"/>
  <c r="D1630" i="3"/>
  <c r="C1630" i="3"/>
  <c r="M1629" i="3"/>
  <c r="K1629" i="3"/>
  <c r="G1629" i="3"/>
  <c r="D1629" i="3"/>
  <c r="C1629" i="3"/>
  <c r="M1628" i="3"/>
  <c r="K1628" i="3"/>
  <c r="G1628" i="3"/>
  <c r="D1628" i="3"/>
  <c r="C1628" i="3"/>
  <c r="M1627" i="3"/>
  <c r="K1627" i="3"/>
  <c r="G1627" i="3"/>
  <c r="D1627" i="3"/>
  <c r="C1627" i="3"/>
  <c r="M1626" i="3"/>
  <c r="K1626" i="3"/>
  <c r="G1626" i="3"/>
  <c r="D1626" i="3"/>
  <c r="C1626" i="3"/>
  <c r="M1625" i="3"/>
  <c r="K1625" i="3"/>
  <c r="G1625" i="3"/>
  <c r="D1625" i="3"/>
  <c r="C1625" i="3"/>
  <c r="M1624" i="3"/>
  <c r="K1624" i="3"/>
  <c r="G1624" i="3"/>
  <c r="D1624" i="3"/>
  <c r="C1624" i="3"/>
  <c r="M1623" i="3"/>
  <c r="K1623" i="3"/>
  <c r="G1623" i="3"/>
  <c r="D1623" i="3"/>
  <c r="C1623" i="3"/>
  <c r="M1622" i="3"/>
  <c r="K1622" i="3"/>
  <c r="G1622" i="3"/>
  <c r="D1622" i="3"/>
  <c r="C1622" i="3"/>
  <c r="M1621" i="3"/>
  <c r="K1621" i="3"/>
  <c r="G1621" i="3"/>
  <c r="D1621" i="3"/>
  <c r="C1621" i="3"/>
  <c r="M1620" i="3"/>
  <c r="K1620" i="3"/>
  <c r="G1620" i="3"/>
  <c r="D1620" i="3"/>
  <c r="C1620" i="3"/>
  <c r="M1619" i="3"/>
  <c r="K1619" i="3"/>
  <c r="G1619" i="3"/>
  <c r="D1619" i="3"/>
  <c r="C1619" i="3"/>
  <c r="M1618" i="3"/>
  <c r="K1618" i="3"/>
  <c r="G1618" i="3"/>
  <c r="D1618" i="3"/>
  <c r="C1618" i="3"/>
  <c r="M1617" i="3"/>
  <c r="K1617" i="3"/>
  <c r="G1617" i="3"/>
  <c r="D1617" i="3"/>
  <c r="C1617" i="3"/>
  <c r="M1616" i="3"/>
  <c r="K1616" i="3"/>
  <c r="G1616" i="3"/>
  <c r="D1616" i="3"/>
  <c r="C1616" i="3"/>
  <c r="M1615" i="3"/>
  <c r="K1615" i="3"/>
  <c r="G1615" i="3"/>
  <c r="D1615" i="3"/>
  <c r="C1615" i="3"/>
  <c r="M1614" i="3"/>
  <c r="K1614" i="3"/>
  <c r="G1614" i="3"/>
  <c r="D1614" i="3"/>
  <c r="C1614" i="3"/>
  <c r="M1613" i="3"/>
  <c r="K1613" i="3"/>
  <c r="G1613" i="3"/>
  <c r="D1613" i="3"/>
  <c r="C1613" i="3"/>
  <c r="M1612" i="3"/>
  <c r="K1612" i="3"/>
  <c r="G1612" i="3"/>
  <c r="D1612" i="3"/>
  <c r="C1612" i="3"/>
  <c r="M1611" i="3"/>
  <c r="K1611" i="3"/>
  <c r="G1611" i="3"/>
  <c r="D1611" i="3"/>
  <c r="C1611" i="3"/>
  <c r="M1610" i="3"/>
  <c r="K1610" i="3"/>
  <c r="G1610" i="3"/>
  <c r="D1610" i="3"/>
  <c r="C1610" i="3"/>
  <c r="M1609" i="3"/>
  <c r="K1609" i="3"/>
  <c r="G1609" i="3"/>
  <c r="D1609" i="3"/>
  <c r="C1609" i="3"/>
  <c r="M1608" i="3"/>
  <c r="K1608" i="3"/>
  <c r="G1608" i="3"/>
  <c r="D1608" i="3"/>
  <c r="C1608" i="3"/>
  <c r="M1607" i="3"/>
  <c r="K1607" i="3"/>
  <c r="G1607" i="3"/>
  <c r="D1607" i="3"/>
  <c r="C1607" i="3"/>
  <c r="M1606" i="3"/>
  <c r="K1606" i="3"/>
  <c r="G1606" i="3"/>
  <c r="D1606" i="3"/>
  <c r="C1606" i="3"/>
  <c r="M1605" i="3"/>
  <c r="K1605" i="3"/>
  <c r="G1605" i="3"/>
  <c r="D1605" i="3"/>
  <c r="C1605" i="3"/>
  <c r="M1604" i="3"/>
  <c r="K1604" i="3"/>
  <c r="G1604" i="3"/>
  <c r="D1604" i="3"/>
  <c r="C1604" i="3"/>
  <c r="M1603" i="3"/>
  <c r="K1603" i="3"/>
  <c r="G1603" i="3"/>
  <c r="D1603" i="3"/>
  <c r="C1603" i="3"/>
  <c r="M1602" i="3"/>
  <c r="K1602" i="3"/>
  <c r="G1602" i="3"/>
  <c r="D1602" i="3"/>
  <c r="C1602" i="3"/>
  <c r="M1601" i="3"/>
  <c r="K1601" i="3"/>
  <c r="G1601" i="3"/>
  <c r="D1601" i="3"/>
  <c r="C1601" i="3"/>
  <c r="M1600" i="3"/>
  <c r="K1600" i="3"/>
  <c r="G1600" i="3"/>
  <c r="D1600" i="3"/>
  <c r="C1600" i="3"/>
  <c r="M1599" i="3"/>
  <c r="K1599" i="3"/>
  <c r="G1599" i="3"/>
  <c r="D1599" i="3"/>
  <c r="C1599" i="3"/>
  <c r="M1598" i="3"/>
  <c r="K1598" i="3"/>
  <c r="G1598" i="3"/>
  <c r="D1598" i="3"/>
  <c r="C1598" i="3"/>
  <c r="M1597" i="3"/>
  <c r="K1597" i="3"/>
  <c r="G1597" i="3"/>
  <c r="D1597" i="3"/>
  <c r="C1597" i="3"/>
  <c r="M1596" i="3"/>
  <c r="K1596" i="3"/>
  <c r="G1596" i="3"/>
  <c r="D1596" i="3"/>
  <c r="C1596" i="3"/>
  <c r="M1595" i="3"/>
  <c r="K1595" i="3"/>
  <c r="G1595" i="3"/>
  <c r="D1595" i="3"/>
  <c r="C1595" i="3"/>
  <c r="M1594" i="3"/>
  <c r="K1594" i="3"/>
  <c r="G1594" i="3"/>
  <c r="D1594" i="3"/>
  <c r="C1594" i="3"/>
  <c r="M1593" i="3"/>
  <c r="K1593" i="3"/>
  <c r="G1593" i="3"/>
  <c r="D1593" i="3"/>
  <c r="C1593" i="3"/>
  <c r="M1592" i="3"/>
  <c r="K1592" i="3"/>
  <c r="G1592" i="3"/>
  <c r="D1592" i="3"/>
  <c r="C1592" i="3"/>
  <c r="M1591" i="3"/>
  <c r="K1591" i="3"/>
  <c r="G1591" i="3"/>
  <c r="D1591" i="3"/>
  <c r="C1591" i="3"/>
  <c r="M1590" i="3"/>
  <c r="K1590" i="3"/>
  <c r="G1590" i="3"/>
  <c r="D1590" i="3"/>
  <c r="C1590" i="3"/>
  <c r="M1589" i="3"/>
  <c r="K1589" i="3"/>
  <c r="G1589" i="3"/>
  <c r="D1589" i="3"/>
  <c r="C1589" i="3"/>
  <c r="M1588" i="3"/>
  <c r="K1588" i="3"/>
  <c r="G1588" i="3"/>
  <c r="D1588" i="3"/>
  <c r="C1588" i="3"/>
  <c r="M1587" i="3"/>
  <c r="K1587" i="3"/>
  <c r="G1587" i="3"/>
  <c r="D1587" i="3"/>
  <c r="C1587" i="3"/>
  <c r="M1586" i="3"/>
  <c r="K1586" i="3"/>
  <c r="G1586" i="3"/>
  <c r="D1586" i="3"/>
  <c r="C1586" i="3"/>
  <c r="M1585" i="3"/>
  <c r="K1585" i="3"/>
  <c r="G1585" i="3"/>
  <c r="D1585" i="3"/>
  <c r="C1585" i="3"/>
  <c r="M1584" i="3"/>
  <c r="K1584" i="3"/>
  <c r="G1584" i="3"/>
  <c r="D1584" i="3"/>
  <c r="C1584" i="3"/>
  <c r="M1583" i="3"/>
  <c r="K1583" i="3"/>
  <c r="G1583" i="3"/>
  <c r="D1583" i="3"/>
  <c r="C1583" i="3"/>
  <c r="M1582" i="3"/>
  <c r="K1582" i="3"/>
  <c r="G1582" i="3"/>
  <c r="D1582" i="3"/>
  <c r="C1582" i="3"/>
  <c r="M1581" i="3"/>
  <c r="K1581" i="3"/>
  <c r="G1581" i="3"/>
  <c r="D1581" i="3"/>
  <c r="C1581" i="3"/>
  <c r="M1580" i="3"/>
  <c r="K1580" i="3"/>
  <c r="G1580" i="3"/>
  <c r="D1580" i="3"/>
  <c r="C1580" i="3"/>
  <c r="M1579" i="3"/>
  <c r="K1579" i="3"/>
  <c r="G1579" i="3"/>
  <c r="D1579" i="3"/>
  <c r="C1579" i="3"/>
  <c r="M1578" i="3"/>
  <c r="K1578" i="3"/>
  <c r="G1578" i="3"/>
  <c r="D1578" i="3"/>
  <c r="C1578" i="3"/>
  <c r="M1577" i="3"/>
  <c r="K1577" i="3"/>
  <c r="G1577" i="3"/>
  <c r="D1577" i="3"/>
  <c r="C1577" i="3"/>
  <c r="M1576" i="3"/>
  <c r="K1576" i="3"/>
  <c r="G1576" i="3"/>
  <c r="D1576" i="3"/>
  <c r="C1576" i="3"/>
  <c r="M1575" i="3"/>
  <c r="K1575" i="3"/>
  <c r="G1575" i="3"/>
  <c r="D1575" i="3"/>
  <c r="C1575" i="3"/>
  <c r="M1574" i="3"/>
  <c r="K1574" i="3"/>
  <c r="G1574" i="3"/>
  <c r="D1574" i="3"/>
  <c r="C1574" i="3"/>
  <c r="M1573" i="3"/>
  <c r="K1573" i="3"/>
  <c r="G1573" i="3"/>
  <c r="D1573" i="3"/>
  <c r="C1573" i="3"/>
  <c r="M1572" i="3"/>
  <c r="K1572" i="3"/>
  <c r="G1572" i="3"/>
  <c r="D1572" i="3"/>
  <c r="C1572" i="3"/>
  <c r="M1571" i="3"/>
  <c r="K1571" i="3"/>
  <c r="G1571" i="3"/>
  <c r="D1571" i="3"/>
  <c r="C1571" i="3"/>
  <c r="M1570" i="3"/>
  <c r="K1570" i="3"/>
  <c r="G1570" i="3"/>
  <c r="D1570" i="3"/>
  <c r="C1570" i="3"/>
  <c r="M1569" i="3"/>
  <c r="K1569" i="3"/>
  <c r="G1569" i="3"/>
  <c r="D1569" i="3"/>
  <c r="C1569" i="3"/>
  <c r="M1568" i="3"/>
  <c r="K1568" i="3"/>
  <c r="G1568" i="3"/>
  <c r="D1568" i="3"/>
  <c r="C1568" i="3"/>
  <c r="M1567" i="3"/>
  <c r="K1567" i="3"/>
  <c r="G1567" i="3"/>
  <c r="D1567" i="3"/>
  <c r="C1567" i="3"/>
  <c r="M1566" i="3"/>
  <c r="K1566" i="3"/>
  <c r="G1566" i="3"/>
  <c r="D1566" i="3"/>
  <c r="C1566" i="3"/>
  <c r="M1565" i="3"/>
  <c r="K1565" i="3"/>
  <c r="G1565" i="3"/>
  <c r="D1565" i="3"/>
  <c r="C1565" i="3"/>
  <c r="M1564" i="3"/>
  <c r="K1564" i="3"/>
  <c r="G1564" i="3"/>
  <c r="D1564" i="3"/>
  <c r="C1564" i="3"/>
  <c r="M1563" i="3"/>
  <c r="K1563" i="3"/>
  <c r="G1563" i="3"/>
  <c r="D1563" i="3"/>
  <c r="C1563" i="3"/>
  <c r="M1562" i="3"/>
  <c r="K1562" i="3"/>
  <c r="G1562" i="3"/>
  <c r="D1562" i="3"/>
  <c r="C1562" i="3"/>
  <c r="M1561" i="3"/>
  <c r="K1561" i="3"/>
  <c r="G1561" i="3"/>
  <c r="D1561" i="3"/>
  <c r="C1561" i="3"/>
  <c r="M1560" i="3"/>
  <c r="K1560" i="3"/>
  <c r="G1560" i="3"/>
  <c r="D1560" i="3"/>
  <c r="C1560" i="3"/>
  <c r="M1559" i="3"/>
  <c r="K1559" i="3"/>
  <c r="G1559" i="3"/>
  <c r="D1559" i="3"/>
  <c r="C1559" i="3"/>
  <c r="M1558" i="3"/>
  <c r="K1558" i="3"/>
  <c r="G1558" i="3"/>
  <c r="D1558" i="3"/>
  <c r="C1558" i="3"/>
  <c r="M1557" i="3"/>
  <c r="K1557" i="3"/>
  <c r="G1557" i="3"/>
  <c r="D1557" i="3"/>
  <c r="C1557" i="3"/>
  <c r="M1556" i="3"/>
  <c r="K1556" i="3"/>
  <c r="G1556" i="3"/>
  <c r="D1556" i="3"/>
  <c r="C1556" i="3"/>
  <c r="M1555" i="3"/>
  <c r="K1555" i="3"/>
  <c r="G1555" i="3"/>
  <c r="D1555" i="3"/>
  <c r="C1555" i="3"/>
  <c r="M1554" i="3"/>
  <c r="K1554" i="3"/>
  <c r="G1554" i="3"/>
  <c r="D1554" i="3"/>
  <c r="C1554" i="3"/>
  <c r="M1553" i="3"/>
  <c r="K1553" i="3"/>
  <c r="G1553" i="3"/>
  <c r="D1553" i="3"/>
  <c r="C1553" i="3"/>
  <c r="M1552" i="3"/>
  <c r="K1552" i="3"/>
  <c r="G1552" i="3"/>
  <c r="D1552" i="3"/>
  <c r="C1552" i="3"/>
  <c r="M1551" i="3"/>
  <c r="K1551" i="3"/>
  <c r="G1551" i="3"/>
  <c r="D1551" i="3"/>
  <c r="C1551" i="3"/>
  <c r="M1550" i="3"/>
  <c r="K1550" i="3"/>
  <c r="G1550" i="3"/>
  <c r="D1550" i="3"/>
  <c r="C1550" i="3"/>
  <c r="M1549" i="3"/>
  <c r="K1549" i="3"/>
  <c r="G1549" i="3"/>
  <c r="D1549" i="3"/>
  <c r="C1549" i="3"/>
  <c r="M1548" i="3"/>
  <c r="K1548" i="3"/>
  <c r="G1548" i="3"/>
  <c r="D1548" i="3"/>
  <c r="C1548" i="3"/>
  <c r="M1547" i="3"/>
  <c r="K1547" i="3"/>
  <c r="G1547" i="3"/>
  <c r="D1547" i="3"/>
  <c r="C1547" i="3"/>
  <c r="M1546" i="3"/>
  <c r="K1546" i="3"/>
  <c r="G1546" i="3"/>
  <c r="D1546" i="3"/>
  <c r="C1546" i="3"/>
  <c r="M1545" i="3"/>
  <c r="K1545" i="3"/>
  <c r="G1545" i="3"/>
  <c r="D1545" i="3"/>
  <c r="C1545" i="3"/>
  <c r="M1544" i="3"/>
  <c r="K1544" i="3"/>
  <c r="G1544" i="3"/>
  <c r="D1544" i="3"/>
  <c r="C1544" i="3"/>
  <c r="M1543" i="3"/>
  <c r="K1543" i="3"/>
  <c r="G1543" i="3"/>
  <c r="D1543" i="3"/>
  <c r="C1543" i="3"/>
  <c r="M1542" i="3"/>
  <c r="K1542" i="3"/>
  <c r="G1542" i="3"/>
  <c r="D1542" i="3"/>
  <c r="C1542" i="3"/>
  <c r="M1541" i="3"/>
  <c r="K1541" i="3"/>
  <c r="G1541" i="3"/>
  <c r="D1541" i="3"/>
  <c r="C1541" i="3"/>
  <c r="M1540" i="3"/>
  <c r="K1540" i="3"/>
  <c r="G1540" i="3"/>
  <c r="D1540" i="3"/>
  <c r="C1540" i="3"/>
  <c r="M1539" i="3"/>
  <c r="K1539" i="3"/>
  <c r="G1539" i="3"/>
  <c r="D1539" i="3"/>
  <c r="C1539" i="3"/>
  <c r="M1538" i="3"/>
  <c r="K1538" i="3"/>
  <c r="G1538" i="3"/>
  <c r="D1538" i="3"/>
  <c r="C1538" i="3"/>
  <c r="M1537" i="3"/>
  <c r="K1537" i="3"/>
  <c r="G1537" i="3"/>
  <c r="D1537" i="3"/>
  <c r="C1537" i="3"/>
  <c r="M1536" i="3"/>
  <c r="K1536" i="3"/>
  <c r="G1536" i="3"/>
  <c r="D1536" i="3"/>
  <c r="C1536" i="3"/>
  <c r="M1535" i="3"/>
  <c r="K1535" i="3"/>
  <c r="G1535" i="3"/>
  <c r="D1535" i="3"/>
  <c r="C1535" i="3"/>
  <c r="M1534" i="3"/>
  <c r="K1534" i="3"/>
  <c r="G1534" i="3"/>
  <c r="D1534" i="3"/>
  <c r="C1534" i="3"/>
  <c r="M1533" i="3"/>
  <c r="K1533" i="3"/>
  <c r="G1533" i="3"/>
  <c r="D1533" i="3"/>
  <c r="C1533" i="3"/>
  <c r="M1532" i="3"/>
  <c r="K1532" i="3"/>
  <c r="G1532" i="3"/>
  <c r="D1532" i="3"/>
  <c r="C1532" i="3"/>
  <c r="M1531" i="3"/>
  <c r="K1531" i="3"/>
  <c r="G1531" i="3"/>
  <c r="D1531" i="3"/>
  <c r="C1531" i="3"/>
  <c r="M1530" i="3"/>
  <c r="K1530" i="3"/>
  <c r="G1530" i="3"/>
  <c r="D1530" i="3"/>
  <c r="C1530" i="3"/>
  <c r="M1529" i="3"/>
  <c r="K1529" i="3"/>
  <c r="G1529" i="3"/>
  <c r="D1529" i="3"/>
  <c r="C1529" i="3"/>
  <c r="M1528" i="3"/>
  <c r="K1528" i="3"/>
  <c r="G1528" i="3"/>
  <c r="D1528" i="3"/>
  <c r="C1528" i="3"/>
  <c r="M1527" i="3"/>
  <c r="K1527" i="3"/>
  <c r="G1527" i="3"/>
  <c r="D1527" i="3"/>
  <c r="C1527" i="3"/>
  <c r="M1526" i="3"/>
  <c r="K1526" i="3"/>
  <c r="G1526" i="3"/>
  <c r="D1526" i="3"/>
  <c r="C1526" i="3"/>
  <c r="M1525" i="3"/>
  <c r="K1525" i="3"/>
  <c r="G1525" i="3"/>
  <c r="D1525" i="3"/>
  <c r="C1525" i="3"/>
  <c r="M1524" i="3"/>
  <c r="K1524" i="3"/>
  <c r="G1524" i="3"/>
  <c r="D1524" i="3"/>
  <c r="C1524" i="3"/>
  <c r="M1523" i="3"/>
  <c r="K1523" i="3"/>
  <c r="G1523" i="3"/>
  <c r="D1523" i="3"/>
  <c r="C1523" i="3"/>
  <c r="M1522" i="3"/>
  <c r="K1522" i="3"/>
  <c r="G1522" i="3"/>
  <c r="D1522" i="3"/>
  <c r="C1522" i="3"/>
  <c r="M1521" i="3"/>
  <c r="K1521" i="3"/>
  <c r="G1521" i="3"/>
  <c r="D1521" i="3"/>
  <c r="C1521" i="3"/>
  <c r="M1520" i="3"/>
  <c r="K1520" i="3"/>
  <c r="G1520" i="3"/>
  <c r="D1520" i="3"/>
  <c r="C1520" i="3"/>
  <c r="M1519" i="3"/>
  <c r="K1519" i="3"/>
  <c r="G1519" i="3"/>
  <c r="D1519" i="3"/>
  <c r="C1519" i="3"/>
  <c r="M1518" i="3"/>
  <c r="K1518" i="3"/>
  <c r="G1518" i="3"/>
  <c r="D1518" i="3"/>
  <c r="C1518" i="3"/>
  <c r="M1517" i="3"/>
  <c r="K1517" i="3"/>
  <c r="G1517" i="3"/>
  <c r="D1517" i="3"/>
  <c r="C1517" i="3"/>
  <c r="M1516" i="3"/>
  <c r="K1516" i="3"/>
  <c r="G1516" i="3"/>
  <c r="D1516" i="3"/>
  <c r="C1516" i="3"/>
  <c r="M1515" i="3"/>
  <c r="K1515" i="3"/>
  <c r="G1515" i="3"/>
  <c r="D1515" i="3"/>
  <c r="C1515" i="3"/>
  <c r="M1514" i="3"/>
  <c r="K1514" i="3"/>
  <c r="G1514" i="3"/>
  <c r="D1514" i="3"/>
  <c r="C1514" i="3"/>
  <c r="M1513" i="3"/>
  <c r="K1513" i="3"/>
  <c r="G1513" i="3"/>
  <c r="D1513" i="3"/>
  <c r="C1513" i="3"/>
  <c r="M1512" i="3"/>
  <c r="K1512" i="3"/>
  <c r="G1512" i="3"/>
  <c r="D1512" i="3"/>
  <c r="C1512" i="3"/>
  <c r="M1511" i="3"/>
  <c r="K1511" i="3"/>
  <c r="G1511" i="3"/>
  <c r="D1511" i="3"/>
  <c r="C1511" i="3"/>
  <c r="M1510" i="3"/>
  <c r="K1510" i="3"/>
  <c r="G1510" i="3"/>
  <c r="D1510" i="3"/>
  <c r="C1510" i="3"/>
  <c r="M1509" i="3"/>
  <c r="K1509" i="3"/>
  <c r="G1509" i="3"/>
  <c r="D1509" i="3"/>
  <c r="C1509" i="3"/>
  <c r="M1508" i="3"/>
  <c r="K1508" i="3"/>
  <c r="G1508" i="3"/>
  <c r="D1508" i="3"/>
  <c r="C1508" i="3"/>
  <c r="M1507" i="3"/>
  <c r="K1507" i="3"/>
  <c r="G1507" i="3"/>
  <c r="D1507" i="3"/>
  <c r="C1507" i="3"/>
  <c r="M1506" i="3"/>
  <c r="K1506" i="3"/>
  <c r="G1506" i="3"/>
  <c r="D1506" i="3"/>
  <c r="C1506" i="3"/>
  <c r="M1505" i="3"/>
  <c r="K1505" i="3"/>
  <c r="G1505" i="3"/>
  <c r="D1505" i="3"/>
  <c r="C1505" i="3"/>
  <c r="M1504" i="3"/>
  <c r="K1504" i="3"/>
  <c r="G1504" i="3"/>
  <c r="D1504" i="3"/>
  <c r="C1504" i="3"/>
  <c r="M1503" i="3"/>
  <c r="K1503" i="3"/>
  <c r="G1503" i="3"/>
  <c r="D1503" i="3"/>
  <c r="C1503" i="3"/>
  <c r="M1502" i="3"/>
  <c r="K1502" i="3"/>
  <c r="G1502" i="3"/>
  <c r="D1502" i="3"/>
  <c r="C1502" i="3"/>
  <c r="M1501" i="3"/>
  <c r="K1501" i="3"/>
  <c r="G1501" i="3"/>
  <c r="D1501" i="3"/>
  <c r="C1501" i="3"/>
  <c r="M1500" i="3"/>
  <c r="K1500" i="3"/>
  <c r="G1500" i="3"/>
  <c r="D1500" i="3"/>
  <c r="C1500" i="3"/>
  <c r="M1499" i="3"/>
  <c r="K1499" i="3"/>
  <c r="G1499" i="3"/>
  <c r="D1499" i="3"/>
  <c r="C1499" i="3"/>
  <c r="M1498" i="3"/>
  <c r="K1498" i="3"/>
  <c r="G1498" i="3"/>
  <c r="D1498" i="3"/>
  <c r="C1498" i="3"/>
  <c r="M1497" i="3"/>
  <c r="K1497" i="3"/>
  <c r="G1497" i="3"/>
  <c r="D1497" i="3"/>
  <c r="C1497" i="3"/>
  <c r="M1496" i="3"/>
  <c r="K1496" i="3"/>
  <c r="G1496" i="3"/>
  <c r="D1496" i="3"/>
  <c r="C1496" i="3"/>
  <c r="M1495" i="3"/>
  <c r="K1495" i="3"/>
  <c r="G1495" i="3"/>
  <c r="D1495" i="3"/>
  <c r="C1495" i="3"/>
  <c r="M1494" i="3"/>
  <c r="K1494" i="3"/>
  <c r="G1494" i="3"/>
  <c r="D1494" i="3"/>
  <c r="C1494" i="3"/>
  <c r="M1493" i="3"/>
  <c r="K1493" i="3"/>
  <c r="G1493" i="3"/>
  <c r="D1493" i="3"/>
  <c r="C1493" i="3"/>
  <c r="M1492" i="3"/>
  <c r="K1492" i="3"/>
  <c r="G1492" i="3"/>
  <c r="D1492" i="3"/>
  <c r="C1492" i="3"/>
  <c r="M1491" i="3"/>
  <c r="K1491" i="3"/>
  <c r="G1491" i="3"/>
  <c r="D1491" i="3"/>
  <c r="C1491" i="3"/>
  <c r="M1490" i="3"/>
  <c r="K1490" i="3"/>
  <c r="G1490" i="3"/>
  <c r="D1490" i="3"/>
  <c r="C1490" i="3"/>
  <c r="M1489" i="3"/>
  <c r="K1489" i="3"/>
  <c r="G1489" i="3"/>
  <c r="D1489" i="3"/>
  <c r="C1489" i="3"/>
  <c r="M1488" i="3"/>
  <c r="K1488" i="3"/>
  <c r="G1488" i="3"/>
  <c r="D1488" i="3"/>
  <c r="C1488" i="3"/>
  <c r="M1487" i="3"/>
  <c r="K1487" i="3"/>
  <c r="G1487" i="3"/>
  <c r="D1487" i="3"/>
  <c r="C1487" i="3"/>
  <c r="M1486" i="3"/>
  <c r="K1486" i="3"/>
  <c r="G1486" i="3"/>
  <c r="D1486" i="3"/>
  <c r="C1486" i="3"/>
  <c r="M1485" i="3"/>
  <c r="K1485" i="3"/>
  <c r="G1485" i="3"/>
  <c r="D1485" i="3"/>
  <c r="C1485" i="3"/>
  <c r="M1484" i="3"/>
  <c r="K1484" i="3"/>
  <c r="G1484" i="3"/>
  <c r="D1484" i="3"/>
  <c r="C1484" i="3"/>
  <c r="M1483" i="3"/>
  <c r="K1483" i="3"/>
  <c r="G1483" i="3"/>
  <c r="D1483" i="3"/>
  <c r="C1483" i="3"/>
  <c r="M1482" i="3"/>
  <c r="K1482" i="3"/>
  <c r="G1482" i="3"/>
  <c r="D1482" i="3"/>
  <c r="C1482" i="3"/>
  <c r="M1481" i="3"/>
  <c r="K1481" i="3"/>
  <c r="G1481" i="3"/>
  <c r="D1481" i="3"/>
  <c r="C1481" i="3"/>
  <c r="M1480" i="3"/>
  <c r="K1480" i="3"/>
  <c r="G1480" i="3"/>
  <c r="D1480" i="3"/>
  <c r="C1480" i="3"/>
  <c r="M1479" i="3"/>
  <c r="K1479" i="3"/>
  <c r="G1479" i="3"/>
  <c r="D1479" i="3"/>
  <c r="C1479" i="3"/>
  <c r="M1478" i="3"/>
  <c r="K1478" i="3"/>
  <c r="G1478" i="3"/>
  <c r="D1478" i="3"/>
  <c r="C1478" i="3"/>
  <c r="M1477" i="3"/>
  <c r="K1477" i="3"/>
  <c r="G1477" i="3"/>
  <c r="D1477" i="3"/>
  <c r="C1477" i="3"/>
  <c r="M1476" i="3"/>
  <c r="K1476" i="3"/>
  <c r="G1476" i="3"/>
  <c r="D1476" i="3"/>
  <c r="C1476" i="3"/>
  <c r="M1475" i="3"/>
  <c r="K1475" i="3"/>
  <c r="G1475" i="3"/>
  <c r="D1475" i="3"/>
  <c r="C1475" i="3"/>
  <c r="M1474" i="3"/>
  <c r="K1474" i="3"/>
  <c r="G1474" i="3"/>
  <c r="D1474" i="3"/>
  <c r="C1474" i="3"/>
  <c r="M1473" i="3"/>
  <c r="K1473" i="3"/>
  <c r="G1473" i="3"/>
  <c r="D1473" i="3"/>
  <c r="C1473" i="3"/>
  <c r="M1472" i="3"/>
  <c r="K1472" i="3"/>
  <c r="G1472" i="3"/>
  <c r="D1472" i="3"/>
  <c r="C1472" i="3"/>
  <c r="M1471" i="3"/>
  <c r="K1471" i="3"/>
  <c r="G1471" i="3"/>
  <c r="D1471" i="3"/>
  <c r="C1471" i="3"/>
  <c r="M1470" i="3"/>
  <c r="K1470" i="3"/>
  <c r="G1470" i="3"/>
  <c r="D1470" i="3"/>
  <c r="C1470" i="3"/>
  <c r="M1469" i="3"/>
  <c r="K1469" i="3"/>
  <c r="G1469" i="3"/>
  <c r="D1469" i="3"/>
  <c r="C1469" i="3"/>
  <c r="M1468" i="3"/>
  <c r="K1468" i="3"/>
  <c r="G1468" i="3"/>
  <c r="D1468" i="3"/>
  <c r="C1468" i="3"/>
  <c r="M1467" i="3"/>
  <c r="K1467" i="3"/>
  <c r="G1467" i="3"/>
  <c r="D1467" i="3"/>
  <c r="C1467" i="3"/>
  <c r="M1466" i="3"/>
  <c r="K1466" i="3"/>
  <c r="G1466" i="3"/>
  <c r="D1466" i="3"/>
  <c r="C1466" i="3"/>
  <c r="M1465" i="3"/>
  <c r="K1465" i="3"/>
  <c r="G1465" i="3"/>
  <c r="D1465" i="3"/>
  <c r="C1465" i="3"/>
  <c r="M1464" i="3"/>
  <c r="K1464" i="3"/>
  <c r="G1464" i="3"/>
  <c r="D1464" i="3"/>
  <c r="C1464" i="3"/>
  <c r="M1463" i="3"/>
  <c r="K1463" i="3"/>
  <c r="G1463" i="3"/>
  <c r="D1463" i="3"/>
  <c r="C1463" i="3"/>
  <c r="M1462" i="3"/>
  <c r="K1462" i="3"/>
  <c r="G1462" i="3"/>
  <c r="D1462" i="3"/>
  <c r="C1462" i="3"/>
  <c r="M1461" i="3"/>
  <c r="K1461" i="3"/>
  <c r="G1461" i="3"/>
  <c r="D1461" i="3"/>
  <c r="C1461" i="3"/>
  <c r="M1460" i="3"/>
  <c r="K1460" i="3"/>
  <c r="G1460" i="3"/>
  <c r="D1460" i="3"/>
  <c r="C1460" i="3"/>
  <c r="M1459" i="3"/>
  <c r="K1459" i="3"/>
  <c r="G1459" i="3"/>
  <c r="D1459" i="3"/>
  <c r="C1459" i="3"/>
  <c r="M1458" i="3"/>
  <c r="K1458" i="3"/>
  <c r="G1458" i="3"/>
  <c r="D1458" i="3"/>
  <c r="C1458" i="3"/>
  <c r="M1457" i="3"/>
  <c r="K1457" i="3"/>
  <c r="G1457" i="3"/>
  <c r="D1457" i="3"/>
  <c r="C1457" i="3"/>
  <c r="M1456" i="3"/>
  <c r="K1456" i="3"/>
  <c r="G1456" i="3"/>
  <c r="D1456" i="3"/>
  <c r="C1456" i="3"/>
  <c r="M1455" i="3"/>
  <c r="K1455" i="3"/>
  <c r="G1455" i="3"/>
  <c r="D1455" i="3"/>
  <c r="C1455" i="3"/>
  <c r="M1454" i="3"/>
  <c r="K1454" i="3"/>
  <c r="G1454" i="3"/>
  <c r="D1454" i="3"/>
  <c r="C1454" i="3"/>
  <c r="M1453" i="3"/>
  <c r="K1453" i="3"/>
  <c r="G1453" i="3"/>
  <c r="D1453" i="3"/>
  <c r="C1453" i="3"/>
  <c r="M1452" i="3"/>
  <c r="K1452" i="3"/>
  <c r="G1452" i="3"/>
  <c r="D1452" i="3"/>
  <c r="C1452" i="3"/>
  <c r="M1451" i="3"/>
  <c r="K1451" i="3"/>
  <c r="G1451" i="3"/>
  <c r="D1451" i="3"/>
  <c r="C1451" i="3"/>
  <c r="M1450" i="3"/>
  <c r="K1450" i="3"/>
  <c r="G1450" i="3"/>
  <c r="D1450" i="3"/>
  <c r="C1450" i="3"/>
  <c r="M1449" i="3"/>
  <c r="K1449" i="3"/>
  <c r="G1449" i="3"/>
  <c r="D1449" i="3"/>
  <c r="C1449" i="3"/>
  <c r="M1448" i="3"/>
  <c r="K1448" i="3"/>
  <c r="G1448" i="3"/>
  <c r="D1448" i="3"/>
  <c r="C1448" i="3"/>
  <c r="M1447" i="3"/>
  <c r="K1447" i="3"/>
  <c r="G1447" i="3"/>
  <c r="D1447" i="3"/>
  <c r="C1447" i="3"/>
  <c r="M1446" i="3"/>
  <c r="K1446" i="3"/>
  <c r="G1446" i="3"/>
  <c r="D1446" i="3"/>
  <c r="C1446" i="3"/>
  <c r="M1445" i="3"/>
  <c r="K1445" i="3"/>
  <c r="G1445" i="3"/>
  <c r="D1445" i="3"/>
  <c r="C1445" i="3"/>
  <c r="M1444" i="3"/>
  <c r="K1444" i="3"/>
  <c r="G1444" i="3"/>
  <c r="D1444" i="3"/>
  <c r="C1444" i="3"/>
  <c r="M1443" i="3"/>
  <c r="K1443" i="3"/>
  <c r="G1443" i="3"/>
  <c r="D1443" i="3"/>
  <c r="C1443" i="3"/>
  <c r="M1442" i="3"/>
  <c r="K1442" i="3"/>
  <c r="G1442" i="3"/>
  <c r="D1442" i="3"/>
  <c r="C1442" i="3"/>
  <c r="M1441" i="3"/>
  <c r="K1441" i="3"/>
  <c r="G1441" i="3"/>
  <c r="D1441" i="3"/>
  <c r="C1441" i="3"/>
  <c r="M1440" i="3"/>
  <c r="K1440" i="3"/>
  <c r="G1440" i="3"/>
  <c r="D1440" i="3"/>
  <c r="C1440" i="3"/>
  <c r="M1439" i="3"/>
  <c r="K1439" i="3"/>
  <c r="G1439" i="3"/>
  <c r="D1439" i="3"/>
  <c r="C1439" i="3"/>
  <c r="M1438" i="3"/>
  <c r="K1438" i="3"/>
  <c r="G1438" i="3"/>
  <c r="D1438" i="3"/>
  <c r="C1438" i="3"/>
  <c r="M1437" i="3"/>
  <c r="K1437" i="3"/>
  <c r="G1437" i="3"/>
  <c r="D1437" i="3"/>
  <c r="C1437" i="3"/>
  <c r="M1436" i="3"/>
  <c r="K1436" i="3"/>
  <c r="G1436" i="3"/>
  <c r="D1436" i="3"/>
  <c r="C1436" i="3"/>
  <c r="M1435" i="3"/>
  <c r="K1435" i="3"/>
  <c r="G1435" i="3"/>
  <c r="D1435" i="3"/>
  <c r="C1435" i="3"/>
  <c r="M1434" i="3"/>
  <c r="K1434" i="3"/>
  <c r="G1434" i="3"/>
  <c r="D1434" i="3"/>
  <c r="C1434" i="3"/>
  <c r="M1433" i="3"/>
  <c r="K1433" i="3"/>
  <c r="G1433" i="3"/>
  <c r="D1433" i="3"/>
  <c r="C1433" i="3"/>
  <c r="M1432" i="3"/>
  <c r="K1432" i="3"/>
  <c r="G1432" i="3"/>
  <c r="D1432" i="3"/>
  <c r="C1432" i="3"/>
  <c r="M1431" i="3"/>
  <c r="K1431" i="3"/>
  <c r="G1431" i="3"/>
  <c r="D1431" i="3"/>
  <c r="C1431" i="3"/>
  <c r="M1430" i="3"/>
  <c r="K1430" i="3"/>
  <c r="G1430" i="3"/>
  <c r="D1430" i="3"/>
  <c r="C1430" i="3"/>
  <c r="M1429" i="3"/>
  <c r="K1429" i="3"/>
  <c r="G1429" i="3"/>
  <c r="D1429" i="3"/>
  <c r="C1429" i="3"/>
  <c r="M1428" i="3"/>
  <c r="K1428" i="3"/>
  <c r="G1428" i="3"/>
  <c r="D1428" i="3"/>
  <c r="C1428" i="3"/>
  <c r="M1427" i="3"/>
  <c r="K1427" i="3"/>
  <c r="G1427" i="3"/>
  <c r="D1427" i="3"/>
  <c r="C1427" i="3"/>
  <c r="M1426" i="3"/>
  <c r="K1426" i="3"/>
  <c r="G1426" i="3"/>
  <c r="D1426" i="3"/>
  <c r="C1426" i="3"/>
  <c r="M1425" i="3"/>
  <c r="K1425" i="3"/>
  <c r="G1425" i="3"/>
  <c r="D1425" i="3"/>
  <c r="C1425" i="3"/>
  <c r="M1424" i="3"/>
  <c r="K1424" i="3"/>
  <c r="G1424" i="3"/>
  <c r="D1424" i="3"/>
  <c r="C1424" i="3"/>
  <c r="M1423" i="3"/>
  <c r="K1423" i="3"/>
  <c r="G1423" i="3"/>
  <c r="D1423" i="3"/>
  <c r="C1423" i="3"/>
  <c r="M1422" i="3"/>
  <c r="K1422" i="3"/>
  <c r="G1422" i="3"/>
  <c r="D1422" i="3"/>
  <c r="C1422" i="3"/>
  <c r="M1421" i="3"/>
  <c r="K1421" i="3"/>
  <c r="G1421" i="3"/>
  <c r="D1421" i="3"/>
  <c r="C1421" i="3"/>
  <c r="M1420" i="3"/>
  <c r="K1420" i="3"/>
  <c r="G1420" i="3"/>
  <c r="D1420" i="3"/>
  <c r="C1420" i="3"/>
  <c r="M1419" i="3"/>
  <c r="K1419" i="3"/>
  <c r="G1419" i="3"/>
  <c r="D1419" i="3"/>
  <c r="C1419" i="3"/>
  <c r="M1418" i="3"/>
  <c r="K1418" i="3"/>
  <c r="G1418" i="3"/>
  <c r="D1418" i="3"/>
  <c r="C1418" i="3"/>
  <c r="M1417" i="3"/>
  <c r="K1417" i="3"/>
  <c r="G1417" i="3"/>
  <c r="D1417" i="3"/>
  <c r="C1417" i="3"/>
  <c r="M1416" i="3"/>
  <c r="K1416" i="3"/>
  <c r="G1416" i="3"/>
  <c r="D1416" i="3"/>
  <c r="C1416" i="3"/>
  <c r="M1415" i="3"/>
  <c r="K1415" i="3"/>
  <c r="G1415" i="3"/>
  <c r="D1415" i="3"/>
  <c r="C1415" i="3"/>
  <c r="M1414" i="3"/>
  <c r="K1414" i="3"/>
  <c r="G1414" i="3"/>
  <c r="D1414" i="3"/>
  <c r="C1414" i="3"/>
  <c r="M1413" i="3"/>
  <c r="K1413" i="3"/>
  <c r="G1413" i="3"/>
  <c r="D1413" i="3"/>
  <c r="C1413" i="3"/>
  <c r="M1412" i="3"/>
  <c r="K1412" i="3"/>
  <c r="G1412" i="3"/>
  <c r="D1412" i="3"/>
  <c r="C1412" i="3"/>
  <c r="M1411" i="3"/>
  <c r="K1411" i="3"/>
  <c r="G1411" i="3"/>
  <c r="D1411" i="3"/>
  <c r="C1411" i="3"/>
  <c r="M1410" i="3"/>
  <c r="K1410" i="3"/>
  <c r="G1410" i="3"/>
  <c r="D1410" i="3"/>
  <c r="C1410" i="3"/>
  <c r="M1409" i="3"/>
  <c r="K1409" i="3"/>
  <c r="G1409" i="3"/>
  <c r="D1409" i="3"/>
  <c r="C1409" i="3"/>
  <c r="M1408" i="3"/>
  <c r="K1408" i="3"/>
  <c r="G1408" i="3"/>
  <c r="D1408" i="3"/>
  <c r="C1408" i="3"/>
  <c r="M1407" i="3"/>
  <c r="K1407" i="3"/>
  <c r="G1407" i="3"/>
  <c r="D1407" i="3"/>
  <c r="C1407" i="3"/>
  <c r="M1406" i="3"/>
  <c r="K1406" i="3"/>
  <c r="G1406" i="3"/>
  <c r="D1406" i="3"/>
  <c r="C1406" i="3"/>
  <c r="M1405" i="3"/>
  <c r="K1405" i="3"/>
  <c r="G1405" i="3"/>
  <c r="D1405" i="3"/>
  <c r="C1405" i="3"/>
  <c r="M1404" i="3"/>
  <c r="K1404" i="3"/>
  <c r="G1404" i="3"/>
  <c r="D1404" i="3"/>
  <c r="C1404" i="3"/>
  <c r="M1403" i="3"/>
  <c r="K1403" i="3"/>
  <c r="G1403" i="3"/>
  <c r="D1403" i="3"/>
  <c r="C1403" i="3"/>
  <c r="M1402" i="3"/>
  <c r="K1402" i="3"/>
  <c r="G1402" i="3"/>
  <c r="D1402" i="3"/>
  <c r="C1402" i="3"/>
  <c r="M1401" i="3"/>
  <c r="K1401" i="3"/>
  <c r="G1401" i="3"/>
  <c r="D1401" i="3"/>
  <c r="C1401" i="3"/>
  <c r="M1400" i="3"/>
  <c r="K1400" i="3"/>
  <c r="G1400" i="3"/>
  <c r="D1400" i="3"/>
  <c r="C1400" i="3"/>
  <c r="M1399" i="3"/>
  <c r="K1399" i="3"/>
  <c r="G1399" i="3"/>
  <c r="D1399" i="3"/>
  <c r="C1399" i="3"/>
  <c r="M1398" i="3"/>
  <c r="K1398" i="3"/>
  <c r="G1398" i="3"/>
  <c r="D1398" i="3"/>
  <c r="C1398" i="3"/>
  <c r="M1397" i="3"/>
  <c r="K1397" i="3"/>
  <c r="G1397" i="3"/>
  <c r="D1397" i="3"/>
  <c r="C1397" i="3"/>
  <c r="M1396" i="3"/>
  <c r="K1396" i="3"/>
  <c r="G1396" i="3"/>
  <c r="D1396" i="3"/>
  <c r="C1396" i="3"/>
  <c r="M1395" i="3"/>
  <c r="K1395" i="3"/>
  <c r="G1395" i="3"/>
  <c r="D1395" i="3"/>
  <c r="C1395" i="3"/>
  <c r="M1394" i="3"/>
  <c r="K1394" i="3"/>
  <c r="G1394" i="3"/>
  <c r="D1394" i="3"/>
  <c r="C1394" i="3"/>
  <c r="M1393" i="3"/>
  <c r="K1393" i="3"/>
  <c r="G1393" i="3"/>
  <c r="D1393" i="3"/>
  <c r="C1393" i="3"/>
  <c r="M1392" i="3"/>
  <c r="K1392" i="3"/>
  <c r="G1392" i="3"/>
  <c r="D1392" i="3"/>
  <c r="C1392" i="3"/>
  <c r="M1391" i="3"/>
  <c r="K1391" i="3"/>
  <c r="G1391" i="3"/>
  <c r="D1391" i="3"/>
  <c r="C1391" i="3"/>
  <c r="M1390" i="3"/>
  <c r="K1390" i="3"/>
  <c r="G1390" i="3"/>
  <c r="D1390" i="3"/>
  <c r="C1390" i="3"/>
  <c r="M1389" i="3"/>
  <c r="K1389" i="3"/>
  <c r="G1389" i="3"/>
  <c r="D1389" i="3"/>
  <c r="C1389" i="3"/>
  <c r="M1388" i="3"/>
  <c r="K1388" i="3"/>
  <c r="G1388" i="3"/>
  <c r="D1388" i="3"/>
  <c r="C1388" i="3"/>
  <c r="M1387" i="3"/>
  <c r="K1387" i="3"/>
  <c r="G1387" i="3"/>
  <c r="D1387" i="3"/>
  <c r="C1387" i="3"/>
  <c r="M1386" i="3"/>
  <c r="K1386" i="3"/>
  <c r="G1386" i="3"/>
  <c r="D1386" i="3"/>
  <c r="C1386" i="3"/>
  <c r="M1385" i="3"/>
  <c r="K1385" i="3"/>
  <c r="G1385" i="3"/>
  <c r="D1385" i="3"/>
  <c r="C1385" i="3"/>
  <c r="M1384" i="3"/>
  <c r="K1384" i="3"/>
  <c r="G1384" i="3"/>
  <c r="D1384" i="3"/>
  <c r="C1384" i="3"/>
  <c r="M1383" i="3"/>
  <c r="K1383" i="3"/>
  <c r="G1383" i="3"/>
  <c r="D1383" i="3"/>
  <c r="C1383" i="3"/>
  <c r="M1382" i="3"/>
  <c r="K1382" i="3"/>
  <c r="G1382" i="3"/>
  <c r="D1382" i="3"/>
  <c r="C1382" i="3"/>
  <c r="M1381" i="3"/>
  <c r="K1381" i="3"/>
  <c r="G1381" i="3"/>
  <c r="D1381" i="3"/>
  <c r="C1381" i="3"/>
  <c r="M1380" i="3"/>
  <c r="K1380" i="3"/>
  <c r="G1380" i="3"/>
  <c r="D1380" i="3"/>
  <c r="C1380" i="3"/>
  <c r="M1379" i="3"/>
  <c r="K1379" i="3"/>
  <c r="G1379" i="3"/>
  <c r="D1379" i="3"/>
  <c r="C1379" i="3"/>
  <c r="M1378" i="3"/>
  <c r="K1378" i="3"/>
  <c r="G1378" i="3"/>
  <c r="D1378" i="3"/>
  <c r="C1378" i="3"/>
  <c r="M1377" i="3"/>
  <c r="K1377" i="3"/>
  <c r="G1377" i="3"/>
  <c r="D1377" i="3"/>
  <c r="C1377" i="3"/>
  <c r="M1376" i="3"/>
  <c r="K1376" i="3"/>
  <c r="G1376" i="3"/>
  <c r="D1376" i="3"/>
  <c r="C1376" i="3"/>
  <c r="M1375" i="3"/>
  <c r="K1375" i="3"/>
  <c r="G1375" i="3"/>
  <c r="D1375" i="3"/>
  <c r="C1375" i="3"/>
  <c r="M1374" i="3"/>
  <c r="K1374" i="3"/>
  <c r="G1374" i="3"/>
  <c r="D1374" i="3"/>
  <c r="C1374" i="3"/>
  <c r="M1373" i="3"/>
  <c r="K1373" i="3"/>
  <c r="G1373" i="3"/>
  <c r="D1373" i="3"/>
  <c r="C1373" i="3"/>
  <c r="M1372" i="3"/>
  <c r="K1372" i="3"/>
  <c r="G1372" i="3"/>
  <c r="D1372" i="3"/>
  <c r="C1372" i="3"/>
  <c r="M1371" i="3"/>
  <c r="K1371" i="3"/>
  <c r="G1371" i="3"/>
  <c r="D1371" i="3"/>
  <c r="C1371" i="3"/>
  <c r="M1370" i="3"/>
  <c r="K1370" i="3"/>
  <c r="G1370" i="3"/>
  <c r="D1370" i="3"/>
  <c r="C1370" i="3"/>
  <c r="M1369" i="3"/>
  <c r="K1369" i="3"/>
  <c r="G1369" i="3"/>
  <c r="D1369" i="3"/>
  <c r="C1369" i="3"/>
  <c r="M1368" i="3"/>
  <c r="K1368" i="3"/>
  <c r="G1368" i="3"/>
  <c r="D1368" i="3"/>
  <c r="C1368" i="3"/>
  <c r="M1367" i="3"/>
  <c r="K1367" i="3"/>
  <c r="G1367" i="3"/>
  <c r="D1367" i="3"/>
  <c r="C1367" i="3"/>
  <c r="M1366" i="3"/>
  <c r="K1366" i="3"/>
  <c r="G1366" i="3"/>
  <c r="D1366" i="3"/>
  <c r="C1366" i="3"/>
  <c r="M1365" i="3"/>
  <c r="K1365" i="3"/>
  <c r="G1365" i="3"/>
  <c r="D1365" i="3"/>
  <c r="C1365" i="3"/>
  <c r="M1364" i="3"/>
  <c r="K1364" i="3"/>
  <c r="G1364" i="3"/>
  <c r="D1364" i="3"/>
  <c r="C1364" i="3"/>
  <c r="M1363" i="3"/>
  <c r="K1363" i="3"/>
  <c r="G1363" i="3"/>
  <c r="D1363" i="3"/>
  <c r="C1363" i="3"/>
  <c r="M1362" i="3"/>
  <c r="K1362" i="3"/>
  <c r="G1362" i="3"/>
  <c r="D1362" i="3"/>
  <c r="C1362" i="3"/>
  <c r="M1361" i="3"/>
  <c r="K1361" i="3"/>
  <c r="G1361" i="3"/>
  <c r="D1361" i="3"/>
  <c r="C1361" i="3"/>
  <c r="M1360" i="3"/>
  <c r="K1360" i="3"/>
  <c r="G1360" i="3"/>
  <c r="D1360" i="3"/>
  <c r="C1360" i="3"/>
  <c r="M1359" i="3"/>
  <c r="K1359" i="3"/>
  <c r="G1359" i="3"/>
  <c r="D1359" i="3"/>
  <c r="C1359" i="3"/>
  <c r="M1358" i="3"/>
  <c r="K1358" i="3"/>
  <c r="G1358" i="3"/>
  <c r="D1358" i="3"/>
  <c r="C1358" i="3"/>
  <c r="M1357" i="3"/>
  <c r="K1357" i="3"/>
  <c r="G1357" i="3"/>
  <c r="D1357" i="3"/>
  <c r="C1357" i="3"/>
  <c r="M1356" i="3"/>
  <c r="K1356" i="3"/>
  <c r="G1356" i="3"/>
  <c r="D1356" i="3"/>
  <c r="C1356" i="3"/>
  <c r="M1355" i="3"/>
  <c r="K1355" i="3"/>
  <c r="G1355" i="3"/>
  <c r="D1355" i="3"/>
  <c r="C1355" i="3"/>
  <c r="M1354" i="3"/>
  <c r="K1354" i="3"/>
  <c r="G1354" i="3"/>
  <c r="D1354" i="3"/>
  <c r="C1354" i="3"/>
  <c r="M1353" i="3"/>
  <c r="K1353" i="3"/>
  <c r="G1353" i="3"/>
  <c r="D1353" i="3"/>
  <c r="C1353" i="3"/>
  <c r="M1352" i="3"/>
  <c r="K1352" i="3"/>
  <c r="G1352" i="3"/>
  <c r="D1352" i="3"/>
  <c r="C1352" i="3"/>
  <c r="M1351" i="3"/>
  <c r="K1351" i="3"/>
  <c r="G1351" i="3"/>
  <c r="D1351" i="3"/>
  <c r="C1351" i="3"/>
  <c r="M1350" i="3"/>
  <c r="K1350" i="3"/>
  <c r="G1350" i="3"/>
  <c r="D1350" i="3"/>
  <c r="C1350" i="3"/>
  <c r="M1349" i="3"/>
  <c r="K1349" i="3"/>
  <c r="G1349" i="3"/>
  <c r="D1349" i="3"/>
  <c r="C1349" i="3"/>
  <c r="M1348" i="3"/>
  <c r="K1348" i="3"/>
  <c r="G1348" i="3"/>
  <c r="D1348" i="3"/>
  <c r="C1348" i="3"/>
  <c r="M1347" i="3"/>
  <c r="K1347" i="3"/>
  <c r="G1347" i="3"/>
  <c r="D1347" i="3"/>
  <c r="C1347" i="3"/>
  <c r="M1346" i="3"/>
  <c r="K1346" i="3"/>
  <c r="G1346" i="3"/>
  <c r="D1346" i="3"/>
  <c r="C1346" i="3"/>
  <c r="M1345" i="3"/>
  <c r="K1345" i="3"/>
  <c r="G1345" i="3"/>
  <c r="D1345" i="3"/>
  <c r="C1345" i="3"/>
  <c r="M1344" i="3"/>
  <c r="K1344" i="3"/>
  <c r="G1344" i="3"/>
  <c r="D1344" i="3"/>
  <c r="C1344" i="3"/>
  <c r="M1343" i="3"/>
  <c r="K1343" i="3"/>
  <c r="G1343" i="3"/>
  <c r="D1343" i="3"/>
  <c r="C1343" i="3"/>
  <c r="M1342" i="3"/>
  <c r="K1342" i="3"/>
  <c r="G1342" i="3"/>
  <c r="D1342" i="3"/>
  <c r="C1342" i="3"/>
  <c r="M1341" i="3"/>
  <c r="K1341" i="3"/>
  <c r="G1341" i="3"/>
  <c r="D1341" i="3"/>
  <c r="C1341" i="3"/>
  <c r="M1340" i="3"/>
  <c r="K1340" i="3"/>
  <c r="G1340" i="3"/>
  <c r="D1340" i="3"/>
  <c r="C1340" i="3"/>
  <c r="M1339" i="3"/>
  <c r="K1339" i="3"/>
  <c r="G1339" i="3"/>
  <c r="D1339" i="3"/>
  <c r="C1339" i="3"/>
  <c r="M1338" i="3"/>
  <c r="K1338" i="3"/>
  <c r="G1338" i="3"/>
  <c r="D1338" i="3"/>
  <c r="C1338" i="3"/>
  <c r="M1337" i="3"/>
  <c r="K1337" i="3"/>
  <c r="G1337" i="3"/>
  <c r="D1337" i="3"/>
  <c r="C1337" i="3"/>
  <c r="M1336" i="3"/>
  <c r="K1336" i="3"/>
  <c r="G1336" i="3"/>
  <c r="D1336" i="3"/>
  <c r="C1336" i="3"/>
  <c r="M1335" i="3"/>
  <c r="K1335" i="3"/>
  <c r="G1335" i="3"/>
  <c r="D1335" i="3"/>
  <c r="C1335" i="3"/>
  <c r="M1334" i="3"/>
  <c r="K1334" i="3"/>
  <c r="G1334" i="3"/>
  <c r="D1334" i="3"/>
  <c r="C1334" i="3"/>
  <c r="M1333" i="3"/>
  <c r="K1333" i="3"/>
  <c r="G1333" i="3"/>
  <c r="D1333" i="3"/>
  <c r="C1333" i="3"/>
  <c r="M1332" i="3"/>
  <c r="K1332" i="3"/>
  <c r="G1332" i="3"/>
  <c r="D1332" i="3"/>
  <c r="C1332" i="3"/>
  <c r="M1331" i="3"/>
  <c r="K1331" i="3"/>
  <c r="G1331" i="3"/>
  <c r="D1331" i="3"/>
  <c r="C1331" i="3"/>
  <c r="M1330" i="3"/>
  <c r="K1330" i="3"/>
  <c r="G1330" i="3"/>
  <c r="D1330" i="3"/>
  <c r="C1330" i="3"/>
  <c r="M1329" i="3"/>
  <c r="K1329" i="3"/>
  <c r="G1329" i="3"/>
  <c r="D1329" i="3"/>
  <c r="C1329" i="3"/>
  <c r="M1328" i="3"/>
  <c r="K1328" i="3"/>
  <c r="G1328" i="3"/>
  <c r="D1328" i="3"/>
  <c r="C1328" i="3"/>
  <c r="M1327" i="3"/>
  <c r="K1327" i="3"/>
  <c r="G1327" i="3"/>
  <c r="D1327" i="3"/>
  <c r="C1327" i="3"/>
  <c r="M1326" i="3"/>
  <c r="K1326" i="3"/>
  <c r="G1326" i="3"/>
  <c r="D1326" i="3"/>
  <c r="C1326" i="3"/>
  <c r="M1325" i="3"/>
  <c r="K1325" i="3"/>
  <c r="G1325" i="3"/>
  <c r="D1325" i="3"/>
  <c r="C1325" i="3"/>
  <c r="M1324" i="3"/>
  <c r="K1324" i="3"/>
  <c r="G1324" i="3"/>
  <c r="D1324" i="3"/>
  <c r="C1324" i="3"/>
  <c r="M1323" i="3"/>
  <c r="K1323" i="3"/>
  <c r="G1323" i="3"/>
  <c r="D1323" i="3"/>
  <c r="C1323" i="3"/>
  <c r="M1322" i="3"/>
  <c r="K1322" i="3"/>
  <c r="G1322" i="3"/>
  <c r="D1322" i="3"/>
  <c r="C1322" i="3"/>
  <c r="M1321" i="3"/>
  <c r="K1321" i="3"/>
  <c r="G1321" i="3"/>
  <c r="D1321" i="3"/>
  <c r="C1321" i="3"/>
  <c r="M1320" i="3"/>
  <c r="K1320" i="3"/>
  <c r="G1320" i="3"/>
  <c r="D1320" i="3"/>
  <c r="C1320" i="3"/>
  <c r="M1319" i="3"/>
  <c r="K1319" i="3"/>
  <c r="G1319" i="3"/>
  <c r="D1319" i="3"/>
  <c r="C1319" i="3"/>
  <c r="M1318" i="3"/>
  <c r="K1318" i="3"/>
  <c r="G1318" i="3"/>
  <c r="D1318" i="3"/>
  <c r="C1318" i="3"/>
  <c r="M1317" i="3"/>
  <c r="K1317" i="3"/>
  <c r="G1317" i="3"/>
  <c r="D1317" i="3"/>
  <c r="C1317" i="3"/>
  <c r="M1316" i="3"/>
  <c r="K1316" i="3"/>
  <c r="G1316" i="3"/>
  <c r="D1316" i="3"/>
  <c r="C1316" i="3"/>
  <c r="M1315" i="3"/>
  <c r="K1315" i="3"/>
  <c r="G1315" i="3"/>
  <c r="D1315" i="3"/>
  <c r="C1315" i="3"/>
  <c r="M1314" i="3"/>
  <c r="K1314" i="3"/>
  <c r="G1314" i="3"/>
  <c r="D1314" i="3"/>
  <c r="C1314" i="3"/>
  <c r="M1313" i="3"/>
  <c r="K1313" i="3"/>
  <c r="G1313" i="3"/>
  <c r="D1313" i="3"/>
  <c r="C1313" i="3"/>
  <c r="M1312" i="3"/>
  <c r="K1312" i="3"/>
  <c r="G1312" i="3"/>
  <c r="D1312" i="3"/>
  <c r="C1312" i="3"/>
  <c r="M1311" i="3"/>
  <c r="K1311" i="3"/>
  <c r="G1311" i="3"/>
  <c r="D1311" i="3"/>
  <c r="C1311" i="3"/>
  <c r="M1310" i="3"/>
  <c r="K1310" i="3"/>
  <c r="G1310" i="3"/>
  <c r="D1310" i="3"/>
  <c r="C1310" i="3"/>
  <c r="M1309" i="3"/>
  <c r="K1309" i="3"/>
  <c r="G1309" i="3"/>
  <c r="D1309" i="3"/>
  <c r="C1309" i="3"/>
  <c r="M1308" i="3"/>
  <c r="K1308" i="3"/>
  <c r="G1308" i="3"/>
  <c r="D1308" i="3"/>
  <c r="C1308" i="3"/>
  <c r="M1307" i="3"/>
  <c r="K1307" i="3"/>
  <c r="G1307" i="3"/>
  <c r="D1307" i="3"/>
  <c r="C1307" i="3"/>
  <c r="M1306" i="3"/>
  <c r="K1306" i="3"/>
  <c r="G1306" i="3"/>
  <c r="D1306" i="3"/>
  <c r="C1306" i="3"/>
  <c r="M1305" i="3"/>
  <c r="K1305" i="3"/>
  <c r="G1305" i="3"/>
  <c r="D1305" i="3"/>
  <c r="C1305" i="3"/>
  <c r="M1304" i="3"/>
  <c r="K1304" i="3"/>
  <c r="G1304" i="3"/>
  <c r="D1304" i="3"/>
  <c r="C1304" i="3"/>
  <c r="M1303" i="3"/>
  <c r="K1303" i="3"/>
  <c r="G1303" i="3"/>
  <c r="D1303" i="3"/>
  <c r="C1303" i="3"/>
  <c r="M1302" i="3"/>
  <c r="K1302" i="3"/>
  <c r="G1302" i="3"/>
  <c r="D1302" i="3"/>
  <c r="C1302" i="3"/>
  <c r="M1301" i="3"/>
  <c r="K1301" i="3"/>
  <c r="G1301" i="3"/>
  <c r="D1301" i="3"/>
  <c r="C1301" i="3"/>
  <c r="M1300" i="3"/>
  <c r="K1300" i="3"/>
  <c r="G1300" i="3"/>
  <c r="D1300" i="3"/>
  <c r="C1300" i="3"/>
  <c r="M1299" i="3"/>
  <c r="K1299" i="3"/>
  <c r="G1299" i="3"/>
  <c r="D1299" i="3"/>
  <c r="C1299" i="3"/>
  <c r="M1298" i="3"/>
  <c r="K1298" i="3"/>
  <c r="G1298" i="3"/>
  <c r="D1298" i="3"/>
  <c r="C1298" i="3"/>
  <c r="M1297" i="3"/>
  <c r="K1297" i="3"/>
  <c r="G1297" i="3"/>
  <c r="D1297" i="3"/>
  <c r="C1297" i="3"/>
  <c r="M1296" i="3"/>
  <c r="K1296" i="3"/>
  <c r="G1296" i="3"/>
  <c r="D1296" i="3"/>
  <c r="C1296" i="3"/>
  <c r="M1295" i="3"/>
  <c r="K1295" i="3"/>
  <c r="G1295" i="3"/>
  <c r="D1295" i="3"/>
  <c r="C1295" i="3"/>
  <c r="M1294" i="3"/>
  <c r="K1294" i="3"/>
  <c r="G1294" i="3"/>
  <c r="D1294" i="3"/>
  <c r="C1294" i="3"/>
  <c r="M1293" i="3"/>
  <c r="K1293" i="3"/>
  <c r="G1293" i="3"/>
  <c r="D1293" i="3"/>
  <c r="C1293" i="3"/>
  <c r="M1292" i="3"/>
  <c r="K1292" i="3"/>
  <c r="G1292" i="3"/>
  <c r="D1292" i="3"/>
  <c r="C1292" i="3"/>
  <c r="M1291" i="3"/>
  <c r="K1291" i="3"/>
  <c r="G1291" i="3"/>
  <c r="D1291" i="3"/>
  <c r="C1291" i="3"/>
  <c r="M1290" i="3"/>
  <c r="K1290" i="3"/>
  <c r="G1290" i="3"/>
  <c r="D1290" i="3"/>
  <c r="C1290" i="3"/>
  <c r="M1289" i="3"/>
  <c r="K1289" i="3"/>
  <c r="G1289" i="3"/>
  <c r="D1289" i="3"/>
  <c r="C1289" i="3"/>
  <c r="M1288" i="3"/>
  <c r="K1288" i="3"/>
  <c r="G1288" i="3"/>
  <c r="D1288" i="3"/>
  <c r="C1288" i="3"/>
  <c r="M1287" i="3"/>
  <c r="K1287" i="3"/>
  <c r="G1287" i="3"/>
  <c r="D1287" i="3"/>
  <c r="C1287" i="3"/>
  <c r="M1286" i="3"/>
  <c r="K1286" i="3"/>
  <c r="G1286" i="3"/>
  <c r="D1286" i="3"/>
  <c r="C1286" i="3"/>
  <c r="M1285" i="3"/>
  <c r="K1285" i="3"/>
  <c r="G1285" i="3"/>
  <c r="D1285" i="3"/>
  <c r="C1285" i="3"/>
  <c r="M1284" i="3"/>
  <c r="K1284" i="3"/>
  <c r="G1284" i="3"/>
  <c r="D1284" i="3"/>
  <c r="C1284" i="3"/>
  <c r="M1283" i="3"/>
  <c r="K1283" i="3"/>
  <c r="G1283" i="3"/>
  <c r="D1283" i="3"/>
  <c r="C1283" i="3"/>
  <c r="M1282" i="3"/>
  <c r="K1282" i="3"/>
  <c r="G1282" i="3"/>
  <c r="D1282" i="3"/>
  <c r="C1282" i="3"/>
  <c r="M1281" i="3"/>
  <c r="K1281" i="3"/>
  <c r="G1281" i="3"/>
  <c r="D1281" i="3"/>
  <c r="C1281" i="3"/>
  <c r="M1280" i="3"/>
  <c r="K1280" i="3"/>
  <c r="G1280" i="3"/>
  <c r="D1280" i="3"/>
  <c r="C1280" i="3"/>
  <c r="M1279" i="3"/>
  <c r="K1279" i="3"/>
  <c r="G1279" i="3"/>
  <c r="D1279" i="3"/>
  <c r="C1279" i="3"/>
  <c r="M1278" i="3"/>
  <c r="K1278" i="3"/>
  <c r="G1278" i="3"/>
  <c r="D1278" i="3"/>
  <c r="C1278" i="3"/>
  <c r="M1277" i="3"/>
  <c r="K1277" i="3"/>
  <c r="G1277" i="3"/>
  <c r="D1277" i="3"/>
  <c r="C1277" i="3"/>
  <c r="M1276" i="3"/>
  <c r="K1276" i="3"/>
  <c r="G1276" i="3"/>
  <c r="D1276" i="3"/>
  <c r="C1276" i="3"/>
  <c r="M1275" i="3"/>
  <c r="K1275" i="3"/>
  <c r="G1275" i="3"/>
  <c r="D1275" i="3"/>
  <c r="C1275" i="3"/>
  <c r="M1274" i="3"/>
  <c r="K1274" i="3"/>
  <c r="G1274" i="3"/>
  <c r="D1274" i="3"/>
  <c r="C1274" i="3"/>
  <c r="M1273" i="3"/>
  <c r="K1273" i="3"/>
  <c r="G1273" i="3"/>
  <c r="D1273" i="3"/>
  <c r="C1273" i="3"/>
  <c r="M1272" i="3"/>
  <c r="K1272" i="3"/>
  <c r="G1272" i="3"/>
  <c r="D1272" i="3"/>
  <c r="C1272" i="3"/>
  <c r="M1271" i="3"/>
  <c r="K1271" i="3"/>
  <c r="G1271" i="3"/>
  <c r="D1271" i="3"/>
  <c r="C1271" i="3"/>
  <c r="M1270" i="3"/>
  <c r="K1270" i="3"/>
  <c r="G1270" i="3"/>
  <c r="D1270" i="3"/>
  <c r="C1270" i="3"/>
  <c r="M1269" i="3"/>
  <c r="K1269" i="3"/>
  <c r="G1269" i="3"/>
  <c r="D1269" i="3"/>
  <c r="C1269" i="3"/>
  <c r="M1268" i="3"/>
  <c r="K1268" i="3"/>
  <c r="G1268" i="3"/>
  <c r="D1268" i="3"/>
  <c r="C1268" i="3"/>
  <c r="M1267" i="3"/>
  <c r="K1267" i="3"/>
  <c r="G1267" i="3"/>
  <c r="D1267" i="3"/>
  <c r="C1267" i="3"/>
  <c r="M1266" i="3"/>
  <c r="K1266" i="3"/>
  <c r="G1266" i="3"/>
  <c r="D1266" i="3"/>
  <c r="C1266" i="3"/>
  <c r="M1265" i="3"/>
  <c r="K1265" i="3"/>
  <c r="G1265" i="3"/>
  <c r="D1265" i="3"/>
  <c r="C1265" i="3"/>
  <c r="M1264" i="3"/>
  <c r="K1264" i="3"/>
  <c r="G1264" i="3"/>
  <c r="D1264" i="3"/>
  <c r="C1264" i="3"/>
  <c r="M1263" i="3"/>
  <c r="K1263" i="3"/>
  <c r="G1263" i="3"/>
  <c r="D1263" i="3"/>
  <c r="C1263" i="3"/>
  <c r="M1262" i="3"/>
  <c r="K1262" i="3"/>
  <c r="G1262" i="3"/>
  <c r="D1262" i="3"/>
  <c r="C1262" i="3"/>
  <c r="M1261" i="3"/>
  <c r="K1261" i="3"/>
  <c r="G1261" i="3"/>
  <c r="D1261" i="3"/>
  <c r="C1261" i="3"/>
  <c r="M1260" i="3"/>
  <c r="K1260" i="3"/>
  <c r="G1260" i="3"/>
  <c r="D1260" i="3"/>
  <c r="C1260" i="3"/>
  <c r="M1259" i="3"/>
  <c r="K1259" i="3"/>
  <c r="G1259" i="3"/>
  <c r="D1259" i="3"/>
  <c r="C1259" i="3"/>
  <c r="M1258" i="3"/>
  <c r="K1258" i="3"/>
  <c r="G1258" i="3"/>
  <c r="D1258" i="3"/>
  <c r="C1258" i="3"/>
  <c r="M1257" i="3"/>
  <c r="K1257" i="3"/>
  <c r="G1257" i="3"/>
  <c r="D1257" i="3"/>
  <c r="C1257" i="3"/>
  <c r="M1256" i="3"/>
  <c r="K1256" i="3"/>
  <c r="G1256" i="3"/>
  <c r="D1256" i="3"/>
  <c r="C1256" i="3"/>
  <c r="M1255" i="3"/>
  <c r="K1255" i="3"/>
  <c r="G1255" i="3"/>
  <c r="D1255" i="3"/>
  <c r="C1255" i="3"/>
  <c r="M1254" i="3"/>
  <c r="K1254" i="3"/>
  <c r="G1254" i="3"/>
  <c r="D1254" i="3"/>
  <c r="C1254" i="3"/>
  <c r="M1253" i="3"/>
  <c r="K1253" i="3"/>
  <c r="G1253" i="3"/>
  <c r="D1253" i="3"/>
  <c r="C1253" i="3"/>
  <c r="M1252" i="3"/>
  <c r="K1252" i="3"/>
  <c r="G1252" i="3"/>
  <c r="D1252" i="3"/>
  <c r="C1252" i="3"/>
  <c r="M1251" i="3"/>
  <c r="K1251" i="3"/>
  <c r="G1251" i="3"/>
  <c r="D1251" i="3"/>
  <c r="C1251" i="3"/>
  <c r="M1250" i="3"/>
  <c r="K1250" i="3"/>
  <c r="G1250" i="3"/>
  <c r="D1250" i="3"/>
  <c r="C1250" i="3"/>
  <c r="M1249" i="3"/>
  <c r="K1249" i="3"/>
  <c r="G1249" i="3"/>
  <c r="D1249" i="3"/>
  <c r="C1249" i="3"/>
  <c r="M1248" i="3"/>
  <c r="K1248" i="3"/>
  <c r="G1248" i="3"/>
  <c r="D1248" i="3"/>
  <c r="C1248" i="3"/>
  <c r="M1247" i="3"/>
  <c r="K1247" i="3"/>
  <c r="G1247" i="3"/>
  <c r="D1247" i="3"/>
  <c r="C1247" i="3"/>
  <c r="M1246" i="3"/>
  <c r="K1246" i="3"/>
  <c r="G1246" i="3"/>
  <c r="D1246" i="3"/>
  <c r="C1246" i="3"/>
  <c r="M1245" i="3"/>
  <c r="K1245" i="3"/>
  <c r="G1245" i="3"/>
  <c r="D1245" i="3"/>
  <c r="C1245" i="3"/>
  <c r="M1244" i="3"/>
  <c r="K1244" i="3"/>
  <c r="G1244" i="3"/>
  <c r="D1244" i="3"/>
  <c r="C1244" i="3"/>
  <c r="M1243" i="3"/>
  <c r="K1243" i="3"/>
  <c r="G1243" i="3"/>
  <c r="D1243" i="3"/>
  <c r="C1243" i="3"/>
  <c r="M1242" i="3"/>
  <c r="K1242" i="3"/>
  <c r="G1242" i="3"/>
  <c r="D1242" i="3"/>
  <c r="C1242" i="3"/>
  <c r="M1241" i="3"/>
  <c r="K1241" i="3"/>
  <c r="G1241" i="3"/>
  <c r="D1241" i="3"/>
  <c r="C1241" i="3"/>
  <c r="M1240" i="3"/>
  <c r="K1240" i="3"/>
  <c r="G1240" i="3"/>
  <c r="D1240" i="3"/>
  <c r="C1240" i="3"/>
  <c r="M1239" i="3"/>
  <c r="K1239" i="3"/>
  <c r="G1239" i="3"/>
  <c r="D1239" i="3"/>
  <c r="C1239" i="3"/>
  <c r="M1238" i="3"/>
  <c r="K1238" i="3"/>
  <c r="G1238" i="3"/>
  <c r="D1238" i="3"/>
  <c r="C1238" i="3"/>
  <c r="M1237" i="3"/>
  <c r="K1237" i="3"/>
  <c r="G1237" i="3"/>
  <c r="D1237" i="3"/>
  <c r="C1237" i="3"/>
  <c r="M1236" i="3"/>
  <c r="K1236" i="3"/>
  <c r="G1236" i="3"/>
  <c r="D1236" i="3"/>
  <c r="C1236" i="3"/>
  <c r="M1235" i="3"/>
  <c r="K1235" i="3"/>
  <c r="G1235" i="3"/>
  <c r="D1235" i="3"/>
  <c r="C1235" i="3"/>
  <c r="M1234" i="3"/>
  <c r="K1234" i="3"/>
  <c r="G1234" i="3"/>
  <c r="D1234" i="3"/>
  <c r="C1234" i="3"/>
  <c r="M1233" i="3"/>
  <c r="K1233" i="3"/>
  <c r="G1233" i="3"/>
  <c r="D1233" i="3"/>
  <c r="C1233" i="3"/>
  <c r="M1232" i="3"/>
  <c r="K1232" i="3"/>
  <c r="G1232" i="3"/>
  <c r="D1232" i="3"/>
  <c r="C1232" i="3"/>
  <c r="M1231" i="3"/>
  <c r="K1231" i="3"/>
  <c r="G1231" i="3"/>
  <c r="D1231" i="3"/>
  <c r="C1231" i="3"/>
  <c r="M1230" i="3"/>
  <c r="K1230" i="3"/>
  <c r="G1230" i="3"/>
  <c r="D1230" i="3"/>
  <c r="C1230" i="3"/>
  <c r="M1229" i="3"/>
  <c r="K1229" i="3"/>
  <c r="G1229" i="3"/>
  <c r="D1229" i="3"/>
  <c r="C1229" i="3"/>
  <c r="M1228" i="3"/>
  <c r="K1228" i="3"/>
  <c r="G1228" i="3"/>
  <c r="D1228" i="3"/>
  <c r="C1228" i="3"/>
  <c r="M1227" i="3"/>
  <c r="K1227" i="3"/>
  <c r="G1227" i="3"/>
  <c r="D1227" i="3"/>
  <c r="C1227" i="3"/>
  <c r="M1226" i="3"/>
  <c r="K1226" i="3"/>
  <c r="G1226" i="3"/>
  <c r="D1226" i="3"/>
  <c r="C1226" i="3"/>
  <c r="M1225" i="3"/>
  <c r="K1225" i="3"/>
  <c r="G1225" i="3"/>
  <c r="D1225" i="3"/>
  <c r="C1225" i="3"/>
  <c r="M1224" i="3"/>
  <c r="K1224" i="3"/>
  <c r="G1224" i="3"/>
  <c r="D1224" i="3"/>
  <c r="C1224" i="3"/>
  <c r="M1223" i="3"/>
  <c r="K1223" i="3"/>
  <c r="G1223" i="3"/>
  <c r="D1223" i="3"/>
  <c r="C1223" i="3"/>
  <c r="M1222" i="3"/>
  <c r="K1222" i="3"/>
  <c r="G1222" i="3"/>
  <c r="D1222" i="3"/>
  <c r="C1222" i="3"/>
  <c r="M1221" i="3"/>
  <c r="K1221" i="3"/>
  <c r="G1221" i="3"/>
  <c r="D1221" i="3"/>
  <c r="C1221" i="3"/>
  <c r="M1220" i="3"/>
  <c r="K1220" i="3"/>
  <c r="G1220" i="3"/>
  <c r="D1220" i="3"/>
  <c r="C1220" i="3"/>
  <c r="M1219" i="3"/>
  <c r="K1219" i="3"/>
  <c r="G1219" i="3"/>
  <c r="D1219" i="3"/>
  <c r="C1219" i="3"/>
  <c r="M1218" i="3"/>
  <c r="K1218" i="3"/>
  <c r="G1218" i="3"/>
  <c r="D1218" i="3"/>
  <c r="C1218" i="3"/>
  <c r="M1217" i="3"/>
  <c r="K1217" i="3"/>
  <c r="G1217" i="3"/>
  <c r="D1217" i="3"/>
  <c r="C1217" i="3"/>
  <c r="M1216" i="3"/>
  <c r="K1216" i="3"/>
  <c r="G1216" i="3"/>
  <c r="D1216" i="3"/>
  <c r="C1216" i="3"/>
  <c r="M1215" i="3"/>
  <c r="K1215" i="3"/>
  <c r="G1215" i="3"/>
  <c r="D1215" i="3"/>
  <c r="C1215" i="3"/>
  <c r="M1214" i="3"/>
  <c r="K1214" i="3"/>
  <c r="G1214" i="3"/>
  <c r="D1214" i="3"/>
  <c r="C1214" i="3"/>
  <c r="M1213" i="3"/>
  <c r="K1213" i="3"/>
  <c r="G1213" i="3"/>
  <c r="D1213" i="3"/>
  <c r="C1213" i="3"/>
  <c r="M1212" i="3"/>
  <c r="K1212" i="3"/>
  <c r="G1212" i="3"/>
  <c r="D1212" i="3"/>
  <c r="C1212" i="3"/>
  <c r="M1211" i="3"/>
  <c r="K1211" i="3"/>
  <c r="G1211" i="3"/>
  <c r="D1211" i="3"/>
  <c r="C1211" i="3"/>
  <c r="M1210" i="3"/>
  <c r="K1210" i="3"/>
  <c r="G1210" i="3"/>
  <c r="D1210" i="3"/>
  <c r="C1210" i="3"/>
  <c r="M1209" i="3"/>
  <c r="K1209" i="3"/>
  <c r="G1209" i="3"/>
  <c r="D1209" i="3"/>
  <c r="C1209" i="3"/>
  <c r="M1208" i="3"/>
  <c r="K1208" i="3"/>
  <c r="G1208" i="3"/>
  <c r="D1208" i="3"/>
  <c r="C1208" i="3"/>
  <c r="M1207" i="3"/>
  <c r="K1207" i="3"/>
  <c r="G1207" i="3"/>
  <c r="D1207" i="3"/>
  <c r="C1207" i="3"/>
  <c r="M1206" i="3"/>
  <c r="K1206" i="3"/>
  <c r="G1206" i="3"/>
  <c r="D1206" i="3"/>
  <c r="C1206" i="3"/>
  <c r="M1205" i="3"/>
  <c r="K1205" i="3"/>
  <c r="G1205" i="3"/>
  <c r="D1205" i="3"/>
  <c r="C1205" i="3"/>
  <c r="M1204" i="3"/>
  <c r="K1204" i="3"/>
  <c r="G1204" i="3"/>
  <c r="D1204" i="3"/>
  <c r="C1204" i="3"/>
  <c r="M1203" i="3"/>
  <c r="K1203" i="3"/>
  <c r="G1203" i="3"/>
  <c r="D1203" i="3"/>
  <c r="C1203" i="3"/>
  <c r="M1202" i="3"/>
  <c r="K1202" i="3"/>
  <c r="G1202" i="3"/>
  <c r="D1202" i="3"/>
  <c r="C1202" i="3"/>
  <c r="M1201" i="3"/>
  <c r="K1201" i="3"/>
  <c r="G1201" i="3"/>
  <c r="D1201" i="3"/>
  <c r="C1201" i="3"/>
  <c r="M1200" i="3"/>
  <c r="K1200" i="3"/>
  <c r="G1200" i="3"/>
  <c r="D1200" i="3"/>
  <c r="C1200" i="3"/>
  <c r="M1199" i="3"/>
  <c r="K1199" i="3"/>
  <c r="G1199" i="3"/>
  <c r="D1199" i="3"/>
  <c r="C1199" i="3"/>
  <c r="M1198" i="3"/>
  <c r="K1198" i="3"/>
  <c r="G1198" i="3"/>
  <c r="D1198" i="3"/>
  <c r="C1198" i="3"/>
  <c r="M1197" i="3"/>
  <c r="K1197" i="3"/>
  <c r="G1197" i="3"/>
  <c r="D1197" i="3"/>
  <c r="C1197" i="3"/>
  <c r="M1196" i="3"/>
  <c r="K1196" i="3"/>
  <c r="G1196" i="3"/>
  <c r="D1196" i="3"/>
  <c r="C1196" i="3"/>
  <c r="M1195" i="3"/>
  <c r="K1195" i="3"/>
  <c r="G1195" i="3"/>
  <c r="D1195" i="3"/>
  <c r="C1195" i="3"/>
  <c r="M1194" i="3"/>
  <c r="K1194" i="3"/>
  <c r="G1194" i="3"/>
  <c r="D1194" i="3"/>
  <c r="C1194" i="3"/>
  <c r="M1193" i="3"/>
  <c r="K1193" i="3"/>
  <c r="G1193" i="3"/>
  <c r="D1193" i="3"/>
  <c r="C1193" i="3"/>
  <c r="M1192" i="3"/>
  <c r="K1192" i="3"/>
  <c r="G1192" i="3"/>
  <c r="D1192" i="3"/>
  <c r="C1192" i="3"/>
  <c r="M1191" i="3"/>
  <c r="K1191" i="3"/>
  <c r="G1191" i="3"/>
  <c r="D1191" i="3"/>
  <c r="C1191" i="3"/>
  <c r="M1190" i="3"/>
  <c r="K1190" i="3"/>
  <c r="G1190" i="3"/>
  <c r="D1190" i="3"/>
  <c r="C1190" i="3"/>
  <c r="M1189" i="3"/>
  <c r="K1189" i="3"/>
  <c r="G1189" i="3"/>
  <c r="D1189" i="3"/>
  <c r="C1189" i="3"/>
  <c r="M1188" i="3"/>
  <c r="K1188" i="3"/>
  <c r="G1188" i="3"/>
  <c r="D1188" i="3"/>
  <c r="C1188" i="3"/>
  <c r="M1187" i="3"/>
  <c r="K1187" i="3"/>
  <c r="G1187" i="3"/>
  <c r="D1187" i="3"/>
  <c r="C1187" i="3"/>
  <c r="M1186" i="3"/>
  <c r="K1186" i="3"/>
  <c r="G1186" i="3"/>
  <c r="D1186" i="3"/>
  <c r="C1186" i="3"/>
  <c r="M1185" i="3"/>
  <c r="K1185" i="3"/>
  <c r="G1185" i="3"/>
  <c r="D1185" i="3"/>
  <c r="C1185" i="3"/>
  <c r="M1184" i="3"/>
  <c r="K1184" i="3"/>
  <c r="G1184" i="3"/>
  <c r="D1184" i="3"/>
  <c r="C1184" i="3"/>
  <c r="M1183" i="3"/>
  <c r="K1183" i="3"/>
  <c r="G1183" i="3"/>
  <c r="D1183" i="3"/>
  <c r="C1183" i="3"/>
  <c r="M1182" i="3"/>
  <c r="K1182" i="3"/>
  <c r="G1182" i="3"/>
  <c r="D1182" i="3"/>
  <c r="C1182" i="3"/>
  <c r="M1181" i="3"/>
  <c r="K1181" i="3"/>
  <c r="G1181" i="3"/>
  <c r="D1181" i="3"/>
  <c r="C1181" i="3"/>
  <c r="M1180" i="3"/>
  <c r="K1180" i="3"/>
  <c r="G1180" i="3"/>
  <c r="D1180" i="3"/>
  <c r="C1180" i="3"/>
  <c r="M1179" i="3"/>
  <c r="K1179" i="3"/>
  <c r="G1179" i="3"/>
  <c r="D1179" i="3"/>
  <c r="C1179" i="3"/>
  <c r="M1178" i="3"/>
  <c r="K1178" i="3"/>
  <c r="G1178" i="3"/>
  <c r="D1178" i="3"/>
  <c r="C1178" i="3"/>
  <c r="M1177" i="3"/>
  <c r="K1177" i="3"/>
  <c r="G1177" i="3"/>
  <c r="D1177" i="3"/>
  <c r="C1177" i="3"/>
  <c r="M1176" i="3"/>
  <c r="K1176" i="3"/>
  <c r="G1176" i="3"/>
  <c r="D1176" i="3"/>
  <c r="C1176" i="3"/>
  <c r="M1175" i="3"/>
  <c r="K1175" i="3"/>
  <c r="G1175" i="3"/>
  <c r="D1175" i="3"/>
  <c r="C1175" i="3"/>
  <c r="M1174" i="3"/>
  <c r="K1174" i="3"/>
  <c r="G1174" i="3"/>
  <c r="D1174" i="3"/>
  <c r="C1174" i="3"/>
  <c r="M1173" i="3"/>
  <c r="K1173" i="3"/>
  <c r="G1173" i="3"/>
  <c r="D1173" i="3"/>
  <c r="C1173" i="3"/>
  <c r="M1172" i="3"/>
  <c r="K1172" i="3"/>
  <c r="G1172" i="3"/>
  <c r="D1172" i="3"/>
  <c r="C1172" i="3"/>
  <c r="M1171" i="3"/>
  <c r="K1171" i="3"/>
  <c r="G1171" i="3"/>
  <c r="D1171" i="3"/>
  <c r="C1171" i="3"/>
  <c r="M1170" i="3"/>
  <c r="K1170" i="3"/>
  <c r="G1170" i="3"/>
  <c r="D1170" i="3"/>
  <c r="C1170" i="3"/>
  <c r="M1169" i="3"/>
  <c r="K1169" i="3"/>
  <c r="G1169" i="3"/>
  <c r="D1169" i="3"/>
  <c r="C1169" i="3"/>
  <c r="M1168" i="3"/>
  <c r="K1168" i="3"/>
  <c r="G1168" i="3"/>
  <c r="D1168" i="3"/>
  <c r="C1168" i="3"/>
  <c r="M1167" i="3"/>
  <c r="K1167" i="3"/>
  <c r="G1167" i="3"/>
  <c r="D1167" i="3"/>
  <c r="C1167" i="3"/>
  <c r="M1166" i="3"/>
  <c r="K1166" i="3"/>
  <c r="G1166" i="3"/>
  <c r="D1166" i="3"/>
  <c r="C1166" i="3"/>
  <c r="M1165" i="3"/>
  <c r="K1165" i="3"/>
  <c r="G1165" i="3"/>
  <c r="D1165" i="3"/>
  <c r="C1165" i="3"/>
  <c r="M1164" i="3"/>
  <c r="K1164" i="3"/>
  <c r="G1164" i="3"/>
  <c r="D1164" i="3"/>
  <c r="C1164" i="3"/>
  <c r="M1163" i="3"/>
  <c r="K1163" i="3"/>
  <c r="G1163" i="3"/>
  <c r="D1163" i="3"/>
  <c r="C1163" i="3"/>
  <c r="M1162" i="3"/>
  <c r="K1162" i="3"/>
  <c r="G1162" i="3"/>
  <c r="D1162" i="3"/>
  <c r="C1162" i="3"/>
  <c r="M1161" i="3"/>
  <c r="K1161" i="3"/>
  <c r="G1161" i="3"/>
  <c r="D1161" i="3"/>
  <c r="C1161" i="3"/>
  <c r="M1160" i="3"/>
  <c r="K1160" i="3"/>
  <c r="G1160" i="3"/>
  <c r="D1160" i="3"/>
  <c r="C1160" i="3"/>
  <c r="M1159" i="3"/>
  <c r="K1159" i="3"/>
  <c r="G1159" i="3"/>
  <c r="D1159" i="3"/>
  <c r="C1159" i="3"/>
  <c r="M1158" i="3"/>
  <c r="K1158" i="3"/>
  <c r="G1158" i="3"/>
  <c r="D1158" i="3"/>
  <c r="C1158" i="3"/>
  <c r="M1157" i="3"/>
  <c r="K1157" i="3"/>
  <c r="G1157" i="3"/>
  <c r="D1157" i="3"/>
  <c r="C1157" i="3"/>
  <c r="M1156" i="3"/>
  <c r="K1156" i="3"/>
  <c r="G1156" i="3"/>
  <c r="D1156" i="3"/>
  <c r="C1156" i="3"/>
  <c r="M1155" i="3"/>
  <c r="K1155" i="3"/>
  <c r="G1155" i="3"/>
  <c r="D1155" i="3"/>
  <c r="C1155" i="3"/>
  <c r="M1154" i="3"/>
  <c r="K1154" i="3"/>
  <c r="G1154" i="3"/>
  <c r="D1154" i="3"/>
  <c r="C1154" i="3"/>
  <c r="M1153" i="3"/>
  <c r="K1153" i="3"/>
  <c r="G1153" i="3"/>
  <c r="D1153" i="3"/>
  <c r="C1153" i="3"/>
  <c r="M1152" i="3"/>
  <c r="K1152" i="3"/>
  <c r="G1152" i="3"/>
  <c r="D1152" i="3"/>
  <c r="C1152" i="3"/>
  <c r="M1151" i="3"/>
  <c r="K1151" i="3"/>
  <c r="G1151" i="3"/>
  <c r="D1151" i="3"/>
  <c r="C1151" i="3"/>
  <c r="M1150" i="3"/>
  <c r="K1150" i="3"/>
  <c r="G1150" i="3"/>
  <c r="D1150" i="3"/>
  <c r="C1150" i="3"/>
  <c r="M1149" i="3"/>
  <c r="K1149" i="3"/>
  <c r="G1149" i="3"/>
  <c r="D1149" i="3"/>
  <c r="C1149" i="3"/>
  <c r="M1148" i="3"/>
  <c r="K1148" i="3"/>
  <c r="G1148" i="3"/>
  <c r="D1148" i="3"/>
  <c r="C1148" i="3"/>
  <c r="M1147" i="3"/>
  <c r="K1147" i="3"/>
  <c r="G1147" i="3"/>
  <c r="D1147" i="3"/>
  <c r="C1147" i="3"/>
  <c r="M1146" i="3"/>
  <c r="K1146" i="3"/>
  <c r="G1146" i="3"/>
  <c r="D1146" i="3"/>
  <c r="C1146" i="3"/>
  <c r="M1145" i="3"/>
  <c r="K1145" i="3"/>
  <c r="G1145" i="3"/>
  <c r="D1145" i="3"/>
  <c r="C1145" i="3"/>
  <c r="M1144" i="3"/>
  <c r="K1144" i="3"/>
  <c r="G1144" i="3"/>
  <c r="D1144" i="3"/>
  <c r="C1144" i="3"/>
  <c r="M1143" i="3"/>
  <c r="K1143" i="3"/>
  <c r="G1143" i="3"/>
  <c r="D1143" i="3"/>
  <c r="C1143" i="3"/>
  <c r="M1142" i="3"/>
  <c r="K1142" i="3"/>
  <c r="G1142" i="3"/>
  <c r="D1142" i="3"/>
  <c r="C1142" i="3"/>
  <c r="M1141" i="3"/>
  <c r="K1141" i="3"/>
  <c r="G1141" i="3"/>
  <c r="D1141" i="3"/>
  <c r="C1141" i="3"/>
  <c r="M1140" i="3"/>
  <c r="K1140" i="3"/>
  <c r="G1140" i="3"/>
  <c r="D1140" i="3"/>
  <c r="C1140" i="3"/>
  <c r="M1139" i="3"/>
  <c r="K1139" i="3"/>
  <c r="G1139" i="3"/>
  <c r="D1139" i="3"/>
  <c r="C1139" i="3"/>
  <c r="M1138" i="3"/>
  <c r="K1138" i="3"/>
  <c r="G1138" i="3"/>
  <c r="D1138" i="3"/>
  <c r="C1138" i="3"/>
  <c r="M1137" i="3"/>
  <c r="K1137" i="3"/>
  <c r="G1137" i="3"/>
  <c r="D1137" i="3"/>
  <c r="C1137" i="3"/>
  <c r="M1136" i="3"/>
  <c r="K1136" i="3"/>
  <c r="G1136" i="3"/>
  <c r="D1136" i="3"/>
  <c r="C1136" i="3"/>
  <c r="M1135" i="3"/>
  <c r="K1135" i="3"/>
  <c r="G1135" i="3"/>
  <c r="D1135" i="3"/>
  <c r="C1135" i="3"/>
  <c r="M1134" i="3"/>
  <c r="K1134" i="3"/>
  <c r="G1134" i="3"/>
  <c r="D1134" i="3"/>
  <c r="C1134" i="3"/>
  <c r="M1133" i="3"/>
  <c r="K1133" i="3"/>
  <c r="G1133" i="3"/>
  <c r="D1133" i="3"/>
  <c r="C1133" i="3"/>
  <c r="M1132" i="3"/>
  <c r="K1132" i="3"/>
  <c r="G1132" i="3"/>
  <c r="D1132" i="3"/>
  <c r="C1132" i="3"/>
  <c r="M1131" i="3"/>
  <c r="K1131" i="3"/>
  <c r="G1131" i="3"/>
  <c r="D1131" i="3"/>
  <c r="C1131" i="3"/>
  <c r="M1130" i="3"/>
  <c r="K1130" i="3"/>
  <c r="G1130" i="3"/>
  <c r="D1130" i="3"/>
  <c r="C1130" i="3"/>
  <c r="M1129" i="3"/>
  <c r="K1129" i="3"/>
  <c r="G1129" i="3"/>
  <c r="D1129" i="3"/>
  <c r="C1129" i="3"/>
  <c r="M1128" i="3"/>
  <c r="K1128" i="3"/>
  <c r="G1128" i="3"/>
  <c r="D1128" i="3"/>
  <c r="C1128" i="3"/>
  <c r="M1127" i="3"/>
  <c r="K1127" i="3"/>
  <c r="G1127" i="3"/>
  <c r="D1127" i="3"/>
  <c r="C1127" i="3"/>
  <c r="M1126" i="3"/>
  <c r="K1126" i="3"/>
  <c r="G1126" i="3"/>
  <c r="D1126" i="3"/>
  <c r="C1126" i="3"/>
  <c r="M1125" i="3"/>
  <c r="K1125" i="3"/>
  <c r="G1125" i="3"/>
  <c r="D1125" i="3"/>
  <c r="C1125" i="3"/>
  <c r="M1124" i="3"/>
  <c r="K1124" i="3"/>
  <c r="G1124" i="3"/>
  <c r="D1124" i="3"/>
  <c r="C1124" i="3"/>
  <c r="M1123" i="3"/>
  <c r="K1123" i="3"/>
  <c r="G1123" i="3"/>
  <c r="D1123" i="3"/>
  <c r="C1123" i="3"/>
  <c r="M1122" i="3"/>
  <c r="K1122" i="3"/>
  <c r="G1122" i="3"/>
  <c r="D1122" i="3"/>
  <c r="C1122" i="3"/>
  <c r="M1121" i="3"/>
  <c r="K1121" i="3"/>
  <c r="G1121" i="3"/>
  <c r="D1121" i="3"/>
  <c r="C1121" i="3"/>
  <c r="M1120" i="3"/>
  <c r="K1120" i="3"/>
  <c r="G1120" i="3"/>
  <c r="D1120" i="3"/>
  <c r="C1120" i="3"/>
  <c r="M1119" i="3"/>
  <c r="K1119" i="3"/>
  <c r="G1119" i="3"/>
  <c r="D1119" i="3"/>
  <c r="C1119" i="3"/>
  <c r="M1118" i="3"/>
  <c r="K1118" i="3"/>
  <c r="G1118" i="3"/>
  <c r="D1118" i="3"/>
  <c r="C1118" i="3"/>
  <c r="M1117" i="3"/>
  <c r="K1117" i="3"/>
  <c r="G1117" i="3"/>
  <c r="D1117" i="3"/>
  <c r="C1117" i="3"/>
  <c r="M1116" i="3"/>
  <c r="K1116" i="3"/>
  <c r="G1116" i="3"/>
  <c r="D1116" i="3"/>
  <c r="C1116" i="3"/>
  <c r="M1115" i="3"/>
  <c r="K1115" i="3"/>
  <c r="G1115" i="3"/>
  <c r="D1115" i="3"/>
  <c r="C1115" i="3"/>
  <c r="M1114" i="3"/>
  <c r="K1114" i="3"/>
  <c r="G1114" i="3"/>
  <c r="D1114" i="3"/>
  <c r="C1114" i="3"/>
  <c r="M1113" i="3"/>
  <c r="K1113" i="3"/>
  <c r="G1113" i="3"/>
  <c r="D1113" i="3"/>
  <c r="C1113" i="3"/>
  <c r="M1112" i="3"/>
  <c r="K1112" i="3"/>
  <c r="G1112" i="3"/>
  <c r="D1112" i="3"/>
  <c r="C1112" i="3"/>
  <c r="M1111" i="3"/>
  <c r="K1111" i="3"/>
  <c r="G1111" i="3"/>
  <c r="D1111" i="3"/>
  <c r="C1111" i="3"/>
  <c r="M1110" i="3"/>
  <c r="K1110" i="3"/>
  <c r="G1110" i="3"/>
  <c r="D1110" i="3"/>
  <c r="C1110" i="3"/>
  <c r="M1109" i="3"/>
  <c r="K1109" i="3"/>
  <c r="G1109" i="3"/>
  <c r="D1109" i="3"/>
  <c r="C1109" i="3"/>
  <c r="M1108" i="3"/>
  <c r="K1108" i="3"/>
  <c r="G1108" i="3"/>
  <c r="D1108" i="3"/>
  <c r="C1108" i="3"/>
  <c r="M1107" i="3"/>
  <c r="K1107" i="3"/>
  <c r="G1107" i="3"/>
  <c r="D1107" i="3"/>
  <c r="C1107" i="3"/>
  <c r="M1106" i="3"/>
  <c r="K1106" i="3"/>
  <c r="G1106" i="3"/>
  <c r="D1106" i="3"/>
  <c r="C1106" i="3"/>
  <c r="M1105" i="3"/>
  <c r="K1105" i="3"/>
  <c r="G1105" i="3"/>
  <c r="D1105" i="3"/>
  <c r="C1105" i="3"/>
  <c r="M1104" i="3"/>
  <c r="K1104" i="3"/>
  <c r="G1104" i="3"/>
  <c r="D1104" i="3"/>
  <c r="C1104" i="3"/>
  <c r="M1103" i="3"/>
  <c r="K1103" i="3"/>
  <c r="G1103" i="3"/>
  <c r="D1103" i="3"/>
  <c r="C1103" i="3"/>
  <c r="M1102" i="3"/>
  <c r="K1102" i="3"/>
  <c r="G1102" i="3"/>
  <c r="D1102" i="3"/>
  <c r="C1102" i="3"/>
  <c r="M1101" i="3"/>
  <c r="K1101" i="3"/>
  <c r="G1101" i="3"/>
  <c r="D1101" i="3"/>
  <c r="C1101" i="3"/>
  <c r="M1100" i="3"/>
  <c r="K1100" i="3"/>
  <c r="G1100" i="3"/>
  <c r="D1100" i="3"/>
  <c r="C1100" i="3"/>
  <c r="M1099" i="3"/>
  <c r="K1099" i="3"/>
  <c r="G1099" i="3"/>
  <c r="D1099" i="3"/>
  <c r="C1099" i="3"/>
  <c r="M1098" i="3"/>
  <c r="K1098" i="3"/>
  <c r="G1098" i="3"/>
  <c r="D1098" i="3"/>
  <c r="C1098" i="3"/>
  <c r="M1097" i="3"/>
  <c r="K1097" i="3"/>
  <c r="G1097" i="3"/>
  <c r="D1097" i="3"/>
  <c r="C1097" i="3"/>
  <c r="M1096" i="3"/>
  <c r="K1096" i="3"/>
  <c r="G1096" i="3"/>
  <c r="D1096" i="3"/>
  <c r="C1096" i="3"/>
  <c r="M1095" i="3"/>
  <c r="K1095" i="3"/>
  <c r="G1095" i="3"/>
  <c r="D1095" i="3"/>
  <c r="C1095" i="3"/>
  <c r="M1094" i="3"/>
  <c r="K1094" i="3"/>
  <c r="G1094" i="3"/>
  <c r="D1094" i="3"/>
  <c r="C1094" i="3"/>
  <c r="M1093" i="3"/>
  <c r="K1093" i="3"/>
  <c r="G1093" i="3"/>
  <c r="D1093" i="3"/>
  <c r="C1093" i="3"/>
  <c r="M1092" i="3"/>
  <c r="K1092" i="3"/>
  <c r="G1092" i="3"/>
  <c r="D1092" i="3"/>
  <c r="C1092" i="3"/>
  <c r="M1091" i="3"/>
  <c r="K1091" i="3"/>
  <c r="G1091" i="3"/>
  <c r="D1091" i="3"/>
  <c r="C1091" i="3"/>
  <c r="M1090" i="3"/>
  <c r="K1090" i="3"/>
  <c r="G1090" i="3"/>
  <c r="D1090" i="3"/>
  <c r="C1090" i="3"/>
  <c r="M1089" i="3"/>
  <c r="K1089" i="3"/>
  <c r="G1089" i="3"/>
  <c r="D1089" i="3"/>
  <c r="C1089" i="3"/>
  <c r="M1088" i="3"/>
  <c r="K1088" i="3"/>
  <c r="G1088" i="3"/>
  <c r="D1088" i="3"/>
  <c r="C1088" i="3"/>
  <c r="M1087" i="3"/>
  <c r="K1087" i="3"/>
  <c r="G1087" i="3"/>
  <c r="D1087" i="3"/>
  <c r="C1087" i="3"/>
  <c r="M1086" i="3"/>
  <c r="K1086" i="3"/>
  <c r="G1086" i="3"/>
  <c r="D1086" i="3"/>
  <c r="C1086" i="3"/>
  <c r="M1085" i="3"/>
  <c r="K1085" i="3"/>
  <c r="G1085" i="3"/>
  <c r="D1085" i="3"/>
  <c r="C1085" i="3"/>
  <c r="M1084" i="3"/>
  <c r="K1084" i="3"/>
  <c r="G1084" i="3"/>
  <c r="D1084" i="3"/>
  <c r="C1084" i="3"/>
  <c r="M1083" i="3"/>
  <c r="K1083" i="3"/>
  <c r="G1083" i="3"/>
  <c r="D1083" i="3"/>
  <c r="C1083" i="3"/>
  <c r="M1082" i="3"/>
  <c r="K1082" i="3"/>
  <c r="G1082" i="3"/>
  <c r="D1082" i="3"/>
  <c r="C1082" i="3"/>
  <c r="M1081" i="3"/>
  <c r="K1081" i="3"/>
  <c r="G1081" i="3"/>
  <c r="D1081" i="3"/>
  <c r="C1081" i="3"/>
  <c r="M1080" i="3"/>
  <c r="K1080" i="3"/>
  <c r="G1080" i="3"/>
  <c r="D1080" i="3"/>
  <c r="C1080" i="3"/>
  <c r="M1079" i="3"/>
  <c r="K1079" i="3"/>
  <c r="G1079" i="3"/>
  <c r="D1079" i="3"/>
  <c r="C1079" i="3"/>
  <c r="M1078" i="3"/>
  <c r="K1078" i="3"/>
  <c r="G1078" i="3"/>
  <c r="D1078" i="3"/>
  <c r="C1078" i="3"/>
  <c r="M1077" i="3"/>
  <c r="K1077" i="3"/>
  <c r="G1077" i="3"/>
  <c r="D1077" i="3"/>
  <c r="C1077" i="3"/>
  <c r="M1076" i="3"/>
  <c r="K1076" i="3"/>
  <c r="G1076" i="3"/>
  <c r="D1076" i="3"/>
  <c r="C1076" i="3"/>
  <c r="M1075" i="3"/>
  <c r="K1075" i="3"/>
  <c r="G1075" i="3"/>
  <c r="D1075" i="3"/>
  <c r="C1075" i="3"/>
  <c r="M1074" i="3"/>
  <c r="K1074" i="3"/>
  <c r="G1074" i="3"/>
  <c r="D1074" i="3"/>
  <c r="C1074" i="3"/>
  <c r="M1073" i="3"/>
  <c r="K1073" i="3"/>
  <c r="G1073" i="3"/>
  <c r="D1073" i="3"/>
  <c r="C1073" i="3"/>
  <c r="M1072" i="3"/>
  <c r="K1072" i="3"/>
  <c r="G1072" i="3"/>
  <c r="D1072" i="3"/>
  <c r="C1072" i="3"/>
  <c r="M1071" i="3"/>
  <c r="K1071" i="3"/>
  <c r="G1071" i="3"/>
  <c r="D1071" i="3"/>
  <c r="C1071" i="3"/>
  <c r="M1070" i="3"/>
  <c r="K1070" i="3"/>
  <c r="G1070" i="3"/>
  <c r="D1070" i="3"/>
  <c r="C1070" i="3"/>
  <c r="M1069" i="3"/>
  <c r="K1069" i="3"/>
  <c r="G1069" i="3"/>
  <c r="D1069" i="3"/>
  <c r="C1069" i="3"/>
  <c r="M1068" i="3"/>
  <c r="K1068" i="3"/>
  <c r="G1068" i="3"/>
  <c r="D1068" i="3"/>
  <c r="C1068" i="3"/>
  <c r="M1067" i="3"/>
  <c r="K1067" i="3"/>
  <c r="G1067" i="3"/>
  <c r="D1067" i="3"/>
  <c r="C1067" i="3"/>
  <c r="M1066" i="3"/>
  <c r="K1066" i="3"/>
  <c r="G1066" i="3"/>
  <c r="D1066" i="3"/>
  <c r="C1066" i="3"/>
  <c r="M1065" i="3"/>
  <c r="K1065" i="3"/>
  <c r="G1065" i="3"/>
  <c r="D1065" i="3"/>
  <c r="C1065" i="3"/>
  <c r="M1064" i="3"/>
  <c r="K1064" i="3"/>
  <c r="G1064" i="3"/>
  <c r="D1064" i="3"/>
  <c r="C1064" i="3"/>
  <c r="M1063" i="3"/>
  <c r="K1063" i="3"/>
  <c r="G1063" i="3"/>
  <c r="D1063" i="3"/>
  <c r="C1063" i="3"/>
  <c r="M1062" i="3"/>
  <c r="K1062" i="3"/>
  <c r="G1062" i="3"/>
  <c r="D1062" i="3"/>
  <c r="C1062" i="3"/>
  <c r="M1061" i="3"/>
  <c r="K1061" i="3"/>
  <c r="G1061" i="3"/>
  <c r="D1061" i="3"/>
  <c r="C1061" i="3"/>
  <c r="M1060" i="3"/>
  <c r="K1060" i="3"/>
  <c r="G1060" i="3"/>
  <c r="D1060" i="3"/>
  <c r="C1060" i="3"/>
  <c r="M1059" i="3"/>
  <c r="K1059" i="3"/>
  <c r="G1059" i="3"/>
  <c r="D1059" i="3"/>
  <c r="C1059" i="3"/>
  <c r="M1058" i="3"/>
  <c r="K1058" i="3"/>
  <c r="G1058" i="3"/>
  <c r="D1058" i="3"/>
  <c r="C1058" i="3"/>
  <c r="M1057" i="3"/>
  <c r="K1057" i="3"/>
  <c r="G1057" i="3"/>
  <c r="D1057" i="3"/>
  <c r="C1057" i="3"/>
  <c r="M1056" i="3"/>
  <c r="K1056" i="3"/>
  <c r="G1056" i="3"/>
  <c r="D1056" i="3"/>
  <c r="C1056" i="3"/>
  <c r="M1055" i="3"/>
  <c r="K1055" i="3"/>
  <c r="G1055" i="3"/>
  <c r="D1055" i="3"/>
  <c r="C1055" i="3"/>
  <c r="M1054" i="3"/>
  <c r="K1054" i="3"/>
  <c r="G1054" i="3"/>
  <c r="D1054" i="3"/>
  <c r="C1054" i="3"/>
  <c r="M1053" i="3"/>
  <c r="K1053" i="3"/>
  <c r="G1053" i="3"/>
  <c r="D1053" i="3"/>
  <c r="C1053" i="3"/>
  <c r="M1052" i="3"/>
  <c r="K1052" i="3"/>
  <c r="G1052" i="3"/>
  <c r="D1052" i="3"/>
  <c r="C1052" i="3"/>
  <c r="M1051" i="3"/>
  <c r="K1051" i="3"/>
  <c r="G1051" i="3"/>
  <c r="D1051" i="3"/>
  <c r="C1051" i="3"/>
  <c r="M1050" i="3"/>
  <c r="K1050" i="3"/>
  <c r="G1050" i="3"/>
  <c r="D1050" i="3"/>
  <c r="C1050" i="3"/>
  <c r="M1049" i="3"/>
  <c r="K1049" i="3"/>
  <c r="G1049" i="3"/>
  <c r="D1049" i="3"/>
  <c r="C1049" i="3"/>
  <c r="M1048" i="3"/>
  <c r="K1048" i="3"/>
  <c r="G1048" i="3"/>
  <c r="D1048" i="3"/>
  <c r="C1048" i="3"/>
  <c r="M1047" i="3"/>
  <c r="K1047" i="3"/>
  <c r="G1047" i="3"/>
  <c r="D1047" i="3"/>
  <c r="C1047" i="3"/>
  <c r="M1046" i="3"/>
  <c r="K1046" i="3"/>
  <c r="G1046" i="3"/>
  <c r="D1046" i="3"/>
  <c r="C1046" i="3"/>
  <c r="M1045" i="3"/>
  <c r="K1045" i="3"/>
  <c r="G1045" i="3"/>
  <c r="D1045" i="3"/>
  <c r="C1045" i="3"/>
  <c r="M1044" i="3"/>
  <c r="K1044" i="3"/>
  <c r="G1044" i="3"/>
  <c r="D1044" i="3"/>
  <c r="C1044" i="3"/>
  <c r="M1043" i="3"/>
  <c r="K1043" i="3"/>
  <c r="G1043" i="3"/>
  <c r="D1043" i="3"/>
  <c r="C1043" i="3"/>
  <c r="M1042" i="3"/>
  <c r="K1042" i="3"/>
  <c r="G1042" i="3"/>
  <c r="D1042" i="3"/>
  <c r="C1042" i="3"/>
  <c r="M1041" i="3"/>
  <c r="K1041" i="3"/>
  <c r="G1041" i="3"/>
  <c r="D1041" i="3"/>
  <c r="C1041" i="3"/>
  <c r="M1040" i="3"/>
  <c r="K1040" i="3"/>
  <c r="G1040" i="3"/>
  <c r="D1040" i="3"/>
  <c r="C1040" i="3"/>
  <c r="M1039" i="3"/>
  <c r="K1039" i="3"/>
  <c r="G1039" i="3"/>
  <c r="D1039" i="3"/>
  <c r="C1039" i="3"/>
  <c r="M1038" i="3"/>
  <c r="K1038" i="3"/>
  <c r="G1038" i="3"/>
  <c r="D1038" i="3"/>
  <c r="C1038" i="3"/>
  <c r="M1037" i="3"/>
  <c r="K1037" i="3"/>
  <c r="G1037" i="3"/>
  <c r="D1037" i="3"/>
  <c r="C1037" i="3"/>
  <c r="M1036" i="3"/>
  <c r="K1036" i="3"/>
  <c r="G1036" i="3"/>
  <c r="D1036" i="3"/>
  <c r="C1036" i="3"/>
  <c r="M1035" i="3"/>
  <c r="K1035" i="3"/>
  <c r="G1035" i="3"/>
  <c r="D1035" i="3"/>
  <c r="C1035" i="3"/>
  <c r="M1034" i="3"/>
  <c r="K1034" i="3"/>
  <c r="G1034" i="3"/>
  <c r="D1034" i="3"/>
  <c r="C1034" i="3"/>
  <c r="M1033" i="3"/>
  <c r="K1033" i="3"/>
  <c r="G1033" i="3"/>
  <c r="D1033" i="3"/>
  <c r="C1033" i="3"/>
  <c r="M1032" i="3"/>
  <c r="K1032" i="3"/>
  <c r="G1032" i="3"/>
  <c r="D1032" i="3"/>
  <c r="C1032" i="3"/>
  <c r="M1031" i="3"/>
  <c r="K1031" i="3"/>
  <c r="G1031" i="3"/>
  <c r="D1031" i="3"/>
  <c r="C1031" i="3"/>
  <c r="M1030" i="3"/>
  <c r="K1030" i="3"/>
  <c r="G1030" i="3"/>
  <c r="D1030" i="3"/>
  <c r="C1030" i="3"/>
  <c r="M1029" i="3"/>
  <c r="K1029" i="3"/>
  <c r="G1029" i="3"/>
  <c r="D1029" i="3"/>
  <c r="C1029" i="3"/>
  <c r="M1028" i="3"/>
  <c r="K1028" i="3"/>
  <c r="G1028" i="3"/>
  <c r="D1028" i="3"/>
  <c r="C1028" i="3"/>
  <c r="M1027" i="3"/>
  <c r="K1027" i="3"/>
  <c r="G1027" i="3"/>
  <c r="D1027" i="3"/>
  <c r="C1027" i="3"/>
  <c r="M1026" i="3"/>
  <c r="K1026" i="3"/>
  <c r="G1026" i="3"/>
  <c r="D1026" i="3"/>
  <c r="C1026" i="3"/>
  <c r="M1025" i="3"/>
  <c r="K1025" i="3"/>
  <c r="G1025" i="3"/>
  <c r="D1025" i="3"/>
  <c r="C1025" i="3"/>
  <c r="M1024" i="3"/>
  <c r="K1024" i="3"/>
  <c r="G1024" i="3"/>
  <c r="D1024" i="3"/>
  <c r="C1024" i="3"/>
  <c r="M1023" i="3"/>
  <c r="K1023" i="3"/>
  <c r="G1023" i="3"/>
  <c r="D1023" i="3"/>
  <c r="C1023" i="3"/>
  <c r="M1022" i="3"/>
  <c r="K1022" i="3"/>
  <c r="G1022" i="3"/>
  <c r="D1022" i="3"/>
  <c r="C1022" i="3"/>
  <c r="M1021" i="3"/>
  <c r="K1021" i="3"/>
  <c r="G1021" i="3"/>
  <c r="D1021" i="3"/>
  <c r="C1021" i="3"/>
  <c r="M1020" i="3"/>
  <c r="K1020" i="3"/>
  <c r="G1020" i="3"/>
  <c r="D1020" i="3"/>
  <c r="C1020" i="3"/>
  <c r="M1019" i="3"/>
  <c r="K1019" i="3"/>
  <c r="G1019" i="3"/>
  <c r="D1019" i="3"/>
  <c r="C1019" i="3"/>
  <c r="M1018" i="3"/>
  <c r="K1018" i="3"/>
  <c r="G1018" i="3"/>
  <c r="D1018" i="3"/>
  <c r="C1018" i="3"/>
  <c r="M1017" i="3"/>
  <c r="K1017" i="3"/>
  <c r="G1017" i="3"/>
  <c r="D1017" i="3"/>
  <c r="C1017" i="3"/>
  <c r="M1016" i="3"/>
  <c r="K1016" i="3"/>
  <c r="G1016" i="3"/>
  <c r="D1016" i="3"/>
  <c r="C1016" i="3"/>
  <c r="M1015" i="3"/>
  <c r="K1015" i="3"/>
  <c r="G1015" i="3"/>
  <c r="D1015" i="3"/>
  <c r="C1015" i="3"/>
  <c r="M1014" i="3"/>
  <c r="K1014" i="3"/>
  <c r="G1014" i="3"/>
  <c r="D1014" i="3"/>
  <c r="C1014" i="3"/>
  <c r="M1013" i="3"/>
  <c r="K1013" i="3"/>
  <c r="G1013" i="3"/>
  <c r="D1013" i="3"/>
  <c r="C1013" i="3"/>
  <c r="M1012" i="3"/>
  <c r="K1012" i="3"/>
  <c r="G1012" i="3"/>
  <c r="D1012" i="3"/>
  <c r="C1012" i="3"/>
  <c r="M1011" i="3"/>
  <c r="K1011" i="3"/>
  <c r="G1011" i="3"/>
  <c r="D1011" i="3"/>
  <c r="C1011" i="3"/>
  <c r="M1010" i="3"/>
  <c r="K1010" i="3"/>
  <c r="G1010" i="3"/>
  <c r="D1010" i="3"/>
  <c r="C1010" i="3"/>
  <c r="M1009" i="3"/>
  <c r="K1009" i="3"/>
  <c r="G1009" i="3"/>
  <c r="D1009" i="3"/>
  <c r="C1009" i="3"/>
  <c r="M1008" i="3"/>
  <c r="K1008" i="3"/>
  <c r="G1008" i="3"/>
  <c r="D1008" i="3"/>
  <c r="C1008" i="3"/>
  <c r="M1007" i="3"/>
  <c r="K1007" i="3"/>
  <c r="G1007" i="3"/>
  <c r="D1007" i="3"/>
  <c r="C1007" i="3"/>
  <c r="M1006" i="3"/>
  <c r="K1006" i="3"/>
  <c r="G1006" i="3"/>
  <c r="D1006" i="3"/>
  <c r="C1006" i="3"/>
  <c r="M1005" i="3"/>
  <c r="K1005" i="3"/>
  <c r="G1005" i="3"/>
  <c r="D1005" i="3"/>
  <c r="C1005" i="3"/>
  <c r="M1004" i="3"/>
  <c r="K1004" i="3"/>
  <c r="G1004" i="3"/>
  <c r="D1004" i="3"/>
  <c r="C1004" i="3"/>
  <c r="M1003" i="3"/>
  <c r="K1003" i="3"/>
  <c r="G1003" i="3"/>
  <c r="D1003" i="3"/>
  <c r="C1003" i="3"/>
  <c r="M1002" i="3"/>
  <c r="K1002" i="3"/>
  <c r="G1002" i="3"/>
  <c r="D1002" i="3"/>
  <c r="C1002" i="3"/>
  <c r="M1001" i="3"/>
  <c r="K1001" i="3"/>
  <c r="G1001" i="3"/>
  <c r="D1001" i="3"/>
  <c r="C1001" i="3"/>
  <c r="M1000" i="3"/>
  <c r="K1000" i="3"/>
  <c r="G1000" i="3"/>
  <c r="D1000" i="3"/>
  <c r="C1000" i="3"/>
  <c r="M999" i="3"/>
  <c r="K999" i="3"/>
  <c r="G999" i="3"/>
  <c r="D999" i="3"/>
  <c r="C999" i="3"/>
  <c r="M998" i="3"/>
  <c r="K998" i="3"/>
  <c r="G998" i="3"/>
  <c r="D998" i="3"/>
  <c r="C998" i="3"/>
  <c r="M997" i="3"/>
  <c r="K997" i="3"/>
  <c r="G997" i="3"/>
  <c r="D997" i="3"/>
  <c r="C997" i="3"/>
  <c r="M996" i="3"/>
  <c r="K996" i="3"/>
  <c r="G996" i="3"/>
  <c r="D996" i="3"/>
  <c r="C996" i="3"/>
  <c r="M995" i="3"/>
  <c r="K995" i="3"/>
  <c r="G995" i="3"/>
  <c r="D995" i="3"/>
  <c r="C995" i="3"/>
  <c r="M994" i="3"/>
  <c r="K994" i="3"/>
  <c r="G994" i="3"/>
  <c r="D994" i="3"/>
  <c r="C994" i="3"/>
  <c r="M993" i="3"/>
  <c r="K993" i="3"/>
  <c r="G993" i="3"/>
  <c r="D993" i="3"/>
  <c r="C993" i="3"/>
  <c r="M992" i="3"/>
  <c r="K992" i="3"/>
  <c r="G992" i="3"/>
  <c r="D992" i="3"/>
  <c r="C992" i="3"/>
  <c r="M991" i="3"/>
  <c r="K991" i="3"/>
  <c r="G991" i="3"/>
  <c r="D991" i="3"/>
  <c r="C991" i="3"/>
  <c r="M990" i="3"/>
  <c r="K990" i="3"/>
  <c r="G990" i="3"/>
  <c r="D990" i="3"/>
  <c r="C990" i="3"/>
  <c r="M989" i="3"/>
  <c r="K989" i="3"/>
  <c r="G989" i="3"/>
  <c r="D989" i="3"/>
  <c r="C989" i="3"/>
  <c r="M988" i="3"/>
  <c r="K988" i="3"/>
  <c r="G988" i="3"/>
  <c r="D988" i="3"/>
  <c r="C988" i="3"/>
  <c r="M987" i="3"/>
  <c r="K987" i="3"/>
  <c r="G987" i="3"/>
  <c r="D987" i="3"/>
  <c r="C987" i="3"/>
  <c r="M986" i="3"/>
  <c r="K986" i="3"/>
  <c r="G986" i="3"/>
  <c r="D986" i="3"/>
  <c r="C986" i="3"/>
  <c r="M985" i="3"/>
  <c r="K985" i="3"/>
  <c r="G985" i="3"/>
  <c r="D985" i="3"/>
  <c r="C985" i="3"/>
  <c r="M984" i="3"/>
  <c r="K984" i="3"/>
  <c r="G984" i="3"/>
  <c r="D984" i="3"/>
  <c r="C984" i="3"/>
  <c r="M983" i="3"/>
  <c r="K983" i="3"/>
  <c r="G983" i="3"/>
  <c r="D983" i="3"/>
  <c r="C983" i="3"/>
  <c r="M982" i="3"/>
  <c r="K982" i="3"/>
  <c r="G982" i="3"/>
  <c r="D982" i="3"/>
  <c r="C982" i="3"/>
  <c r="M981" i="3"/>
  <c r="K981" i="3"/>
  <c r="G981" i="3"/>
  <c r="D981" i="3"/>
  <c r="C981" i="3"/>
  <c r="M980" i="3"/>
  <c r="K980" i="3"/>
  <c r="G980" i="3"/>
  <c r="D980" i="3"/>
  <c r="C980" i="3"/>
  <c r="M979" i="3"/>
  <c r="K979" i="3"/>
  <c r="G979" i="3"/>
  <c r="D979" i="3"/>
  <c r="C979" i="3"/>
  <c r="M978" i="3"/>
  <c r="K978" i="3"/>
  <c r="G978" i="3"/>
  <c r="D978" i="3"/>
  <c r="C978" i="3"/>
  <c r="M977" i="3"/>
  <c r="K977" i="3"/>
  <c r="G977" i="3"/>
  <c r="D977" i="3"/>
  <c r="C977" i="3"/>
  <c r="M976" i="3"/>
  <c r="K976" i="3"/>
  <c r="G976" i="3"/>
  <c r="D976" i="3"/>
  <c r="C976" i="3"/>
  <c r="M975" i="3"/>
  <c r="K975" i="3"/>
  <c r="G975" i="3"/>
  <c r="D975" i="3"/>
  <c r="C975" i="3"/>
  <c r="M974" i="3"/>
  <c r="K974" i="3"/>
  <c r="G974" i="3"/>
  <c r="D974" i="3"/>
  <c r="C974" i="3"/>
  <c r="M973" i="3"/>
  <c r="K973" i="3"/>
  <c r="G973" i="3"/>
  <c r="D973" i="3"/>
  <c r="C973" i="3"/>
  <c r="M972" i="3"/>
  <c r="K972" i="3"/>
  <c r="G972" i="3"/>
  <c r="D972" i="3"/>
  <c r="C972" i="3"/>
  <c r="M971" i="3"/>
  <c r="K971" i="3"/>
  <c r="G971" i="3"/>
  <c r="D971" i="3"/>
  <c r="C971" i="3"/>
  <c r="M970" i="3"/>
  <c r="K970" i="3"/>
  <c r="G970" i="3"/>
  <c r="D970" i="3"/>
  <c r="C970" i="3"/>
  <c r="M969" i="3"/>
  <c r="K969" i="3"/>
  <c r="G969" i="3"/>
  <c r="D969" i="3"/>
  <c r="C969" i="3"/>
  <c r="M968" i="3"/>
  <c r="K968" i="3"/>
  <c r="G968" i="3"/>
  <c r="D968" i="3"/>
  <c r="C968" i="3"/>
  <c r="M967" i="3"/>
  <c r="K967" i="3"/>
  <c r="G967" i="3"/>
  <c r="D967" i="3"/>
  <c r="C967" i="3"/>
  <c r="M966" i="3"/>
  <c r="K966" i="3"/>
  <c r="G966" i="3"/>
  <c r="D966" i="3"/>
  <c r="C966" i="3"/>
  <c r="M965" i="3"/>
  <c r="K965" i="3"/>
  <c r="G965" i="3"/>
  <c r="D965" i="3"/>
  <c r="C965" i="3"/>
  <c r="M964" i="3"/>
  <c r="K964" i="3"/>
  <c r="G964" i="3"/>
  <c r="D964" i="3"/>
  <c r="C964" i="3"/>
  <c r="M963" i="3"/>
  <c r="K963" i="3"/>
  <c r="G963" i="3"/>
  <c r="D963" i="3"/>
  <c r="C963" i="3"/>
  <c r="M962" i="3"/>
  <c r="K962" i="3"/>
  <c r="G962" i="3"/>
  <c r="D962" i="3"/>
  <c r="C962" i="3"/>
  <c r="M961" i="3"/>
  <c r="K961" i="3"/>
  <c r="G961" i="3"/>
  <c r="D961" i="3"/>
  <c r="C961" i="3"/>
  <c r="M960" i="3"/>
  <c r="K960" i="3"/>
  <c r="G960" i="3"/>
  <c r="D960" i="3"/>
  <c r="C960" i="3"/>
  <c r="M959" i="3"/>
  <c r="K959" i="3"/>
  <c r="G959" i="3"/>
  <c r="D959" i="3"/>
  <c r="C959" i="3"/>
  <c r="M958" i="3"/>
  <c r="K958" i="3"/>
  <c r="G958" i="3"/>
  <c r="D958" i="3"/>
  <c r="C958" i="3"/>
  <c r="M957" i="3"/>
  <c r="K957" i="3"/>
  <c r="G957" i="3"/>
  <c r="D957" i="3"/>
  <c r="C957" i="3"/>
  <c r="M956" i="3"/>
  <c r="K956" i="3"/>
  <c r="G956" i="3"/>
  <c r="D956" i="3"/>
  <c r="C956" i="3"/>
  <c r="M955" i="3"/>
  <c r="K955" i="3"/>
  <c r="G955" i="3"/>
  <c r="D955" i="3"/>
  <c r="C955" i="3"/>
  <c r="M954" i="3"/>
  <c r="K954" i="3"/>
  <c r="G954" i="3"/>
  <c r="D954" i="3"/>
  <c r="C954" i="3"/>
  <c r="M953" i="3"/>
  <c r="K953" i="3"/>
  <c r="G953" i="3"/>
  <c r="D953" i="3"/>
  <c r="C953" i="3"/>
  <c r="M952" i="3"/>
  <c r="K952" i="3"/>
  <c r="G952" i="3"/>
  <c r="D952" i="3"/>
  <c r="C952" i="3"/>
  <c r="M951" i="3"/>
  <c r="K951" i="3"/>
  <c r="G951" i="3"/>
  <c r="D951" i="3"/>
  <c r="C951" i="3"/>
  <c r="M950" i="3"/>
  <c r="K950" i="3"/>
  <c r="G950" i="3"/>
  <c r="D950" i="3"/>
  <c r="C950" i="3"/>
  <c r="M949" i="3"/>
  <c r="K949" i="3"/>
  <c r="G949" i="3"/>
  <c r="D949" i="3"/>
  <c r="C949" i="3"/>
  <c r="M948" i="3"/>
  <c r="K948" i="3"/>
  <c r="G948" i="3"/>
  <c r="D948" i="3"/>
  <c r="C948" i="3"/>
  <c r="M947" i="3"/>
  <c r="K947" i="3"/>
  <c r="G947" i="3"/>
  <c r="D947" i="3"/>
  <c r="C947" i="3"/>
  <c r="M946" i="3"/>
  <c r="K946" i="3"/>
  <c r="G946" i="3"/>
  <c r="D946" i="3"/>
  <c r="C946" i="3"/>
  <c r="M945" i="3"/>
  <c r="K945" i="3"/>
  <c r="G945" i="3"/>
  <c r="D945" i="3"/>
  <c r="C945" i="3"/>
  <c r="M944" i="3"/>
  <c r="K944" i="3"/>
  <c r="G944" i="3"/>
  <c r="D944" i="3"/>
  <c r="C944" i="3"/>
  <c r="M943" i="3"/>
  <c r="K943" i="3"/>
  <c r="G943" i="3"/>
  <c r="D943" i="3"/>
  <c r="C943" i="3"/>
  <c r="M942" i="3"/>
  <c r="K942" i="3"/>
  <c r="G942" i="3"/>
  <c r="D942" i="3"/>
  <c r="C942" i="3"/>
  <c r="M941" i="3"/>
  <c r="K941" i="3"/>
  <c r="G941" i="3"/>
  <c r="D941" i="3"/>
  <c r="C941" i="3"/>
  <c r="M940" i="3"/>
  <c r="K940" i="3"/>
  <c r="G940" i="3"/>
  <c r="D940" i="3"/>
  <c r="C940" i="3"/>
  <c r="M939" i="3"/>
  <c r="K939" i="3"/>
  <c r="G939" i="3"/>
  <c r="D939" i="3"/>
  <c r="C939" i="3"/>
  <c r="M938" i="3"/>
  <c r="K938" i="3"/>
  <c r="G938" i="3"/>
  <c r="D938" i="3"/>
  <c r="C938" i="3"/>
  <c r="M937" i="3"/>
  <c r="K937" i="3"/>
  <c r="G937" i="3"/>
  <c r="D937" i="3"/>
  <c r="C937" i="3"/>
  <c r="M936" i="3"/>
  <c r="K936" i="3"/>
  <c r="G936" i="3"/>
  <c r="D936" i="3"/>
  <c r="C936" i="3"/>
  <c r="M935" i="3"/>
  <c r="K935" i="3"/>
  <c r="G935" i="3"/>
  <c r="D935" i="3"/>
  <c r="C935" i="3"/>
  <c r="M934" i="3"/>
  <c r="K934" i="3"/>
  <c r="G934" i="3"/>
  <c r="D934" i="3"/>
  <c r="C934" i="3"/>
  <c r="M933" i="3"/>
  <c r="K933" i="3"/>
  <c r="G933" i="3"/>
  <c r="D933" i="3"/>
  <c r="C933" i="3"/>
  <c r="M932" i="3"/>
  <c r="K932" i="3"/>
  <c r="G932" i="3"/>
  <c r="D932" i="3"/>
  <c r="C932" i="3"/>
  <c r="M931" i="3"/>
  <c r="K931" i="3"/>
  <c r="G931" i="3"/>
  <c r="D931" i="3"/>
  <c r="C931" i="3"/>
  <c r="M930" i="3"/>
  <c r="K930" i="3"/>
  <c r="G930" i="3"/>
  <c r="D930" i="3"/>
  <c r="C930" i="3"/>
  <c r="M929" i="3"/>
  <c r="K929" i="3"/>
  <c r="G929" i="3"/>
  <c r="D929" i="3"/>
  <c r="C929" i="3"/>
  <c r="M928" i="3"/>
  <c r="K928" i="3"/>
  <c r="G928" i="3"/>
  <c r="D928" i="3"/>
  <c r="C928" i="3"/>
  <c r="M927" i="3"/>
  <c r="K927" i="3"/>
  <c r="G927" i="3"/>
  <c r="D927" i="3"/>
  <c r="C927" i="3"/>
  <c r="M926" i="3"/>
  <c r="K926" i="3"/>
  <c r="G926" i="3"/>
  <c r="D926" i="3"/>
  <c r="C926" i="3"/>
  <c r="M925" i="3"/>
  <c r="K925" i="3"/>
  <c r="G925" i="3"/>
  <c r="D925" i="3"/>
  <c r="C925" i="3"/>
  <c r="M924" i="3"/>
  <c r="K924" i="3"/>
  <c r="G924" i="3"/>
  <c r="D924" i="3"/>
  <c r="C924" i="3"/>
  <c r="M923" i="3"/>
  <c r="K923" i="3"/>
  <c r="G923" i="3"/>
  <c r="D923" i="3"/>
  <c r="C923" i="3"/>
  <c r="M922" i="3"/>
  <c r="K922" i="3"/>
  <c r="G922" i="3"/>
  <c r="D922" i="3"/>
  <c r="C922" i="3"/>
  <c r="M921" i="3"/>
  <c r="K921" i="3"/>
  <c r="G921" i="3"/>
  <c r="D921" i="3"/>
  <c r="C921" i="3"/>
  <c r="M920" i="3"/>
  <c r="K920" i="3"/>
  <c r="G920" i="3"/>
  <c r="D920" i="3"/>
  <c r="C920" i="3"/>
  <c r="M919" i="3"/>
  <c r="K919" i="3"/>
  <c r="G919" i="3"/>
  <c r="D919" i="3"/>
  <c r="C919" i="3"/>
  <c r="M918" i="3"/>
  <c r="K918" i="3"/>
  <c r="G918" i="3"/>
  <c r="D918" i="3"/>
  <c r="C918" i="3"/>
  <c r="M917" i="3"/>
  <c r="K917" i="3"/>
  <c r="G917" i="3"/>
  <c r="D917" i="3"/>
  <c r="C917" i="3"/>
  <c r="M916" i="3"/>
  <c r="K916" i="3"/>
  <c r="G916" i="3"/>
  <c r="D916" i="3"/>
  <c r="C916" i="3"/>
  <c r="M915" i="3"/>
  <c r="K915" i="3"/>
  <c r="G915" i="3"/>
  <c r="D915" i="3"/>
  <c r="C915" i="3"/>
  <c r="M914" i="3"/>
  <c r="K914" i="3"/>
  <c r="G914" i="3"/>
  <c r="D914" i="3"/>
  <c r="C914" i="3"/>
  <c r="M913" i="3"/>
  <c r="K913" i="3"/>
  <c r="G913" i="3"/>
  <c r="D913" i="3"/>
  <c r="C913" i="3"/>
  <c r="M912" i="3"/>
  <c r="K912" i="3"/>
  <c r="G912" i="3"/>
  <c r="D912" i="3"/>
  <c r="C912" i="3"/>
  <c r="M911" i="3"/>
  <c r="K911" i="3"/>
  <c r="G911" i="3"/>
  <c r="D911" i="3"/>
  <c r="C911" i="3"/>
  <c r="M910" i="3"/>
  <c r="K910" i="3"/>
  <c r="G910" i="3"/>
  <c r="D910" i="3"/>
  <c r="C910" i="3"/>
  <c r="M909" i="3"/>
  <c r="K909" i="3"/>
  <c r="G909" i="3"/>
  <c r="D909" i="3"/>
  <c r="C909" i="3"/>
  <c r="M908" i="3"/>
  <c r="K908" i="3"/>
  <c r="G908" i="3"/>
  <c r="D908" i="3"/>
  <c r="C908" i="3"/>
  <c r="M907" i="3"/>
  <c r="K907" i="3"/>
  <c r="G907" i="3"/>
  <c r="D907" i="3"/>
  <c r="C907" i="3"/>
  <c r="M906" i="3"/>
  <c r="K906" i="3"/>
  <c r="G906" i="3"/>
  <c r="D906" i="3"/>
  <c r="C906" i="3"/>
  <c r="M905" i="3"/>
  <c r="K905" i="3"/>
  <c r="G905" i="3"/>
  <c r="D905" i="3"/>
  <c r="C905" i="3"/>
  <c r="M904" i="3"/>
  <c r="K904" i="3"/>
  <c r="G904" i="3"/>
  <c r="D904" i="3"/>
  <c r="C904" i="3"/>
  <c r="M903" i="3"/>
  <c r="K903" i="3"/>
  <c r="G903" i="3"/>
  <c r="D903" i="3"/>
  <c r="C903" i="3"/>
  <c r="M902" i="3"/>
  <c r="K902" i="3"/>
  <c r="G902" i="3"/>
  <c r="D902" i="3"/>
  <c r="C902" i="3"/>
  <c r="M901" i="3"/>
  <c r="K901" i="3"/>
  <c r="G901" i="3"/>
  <c r="D901" i="3"/>
  <c r="C901" i="3"/>
  <c r="M900" i="3"/>
  <c r="K900" i="3"/>
  <c r="G900" i="3"/>
  <c r="D900" i="3"/>
  <c r="C900" i="3"/>
  <c r="M899" i="3"/>
  <c r="K899" i="3"/>
  <c r="G899" i="3"/>
  <c r="D899" i="3"/>
  <c r="C899" i="3"/>
  <c r="M898" i="3"/>
  <c r="K898" i="3"/>
  <c r="G898" i="3"/>
  <c r="D898" i="3"/>
  <c r="C898" i="3"/>
  <c r="M897" i="3"/>
  <c r="K897" i="3"/>
  <c r="G897" i="3"/>
  <c r="D897" i="3"/>
  <c r="C897" i="3"/>
  <c r="M896" i="3"/>
  <c r="K896" i="3"/>
  <c r="G896" i="3"/>
  <c r="D896" i="3"/>
  <c r="C896" i="3"/>
  <c r="M895" i="3"/>
  <c r="K895" i="3"/>
  <c r="G895" i="3"/>
  <c r="D895" i="3"/>
  <c r="C895" i="3"/>
  <c r="M894" i="3"/>
  <c r="K894" i="3"/>
  <c r="G894" i="3"/>
  <c r="D894" i="3"/>
  <c r="C894" i="3"/>
  <c r="M893" i="3"/>
  <c r="K893" i="3"/>
  <c r="G893" i="3"/>
  <c r="D893" i="3"/>
  <c r="C893" i="3"/>
  <c r="M892" i="3"/>
  <c r="K892" i="3"/>
  <c r="G892" i="3"/>
  <c r="D892" i="3"/>
  <c r="C892" i="3"/>
  <c r="M891" i="3"/>
  <c r="K891" i="3"/>
  <c r="G891" i="3"/>
  <c r="D891" i="3"/>
  <c r="C891" i="3"/>
  <c r="M890" i="3"/>
  <c r="K890" i="3"/>
  <c r="G890" i="3"/>
  <c r="D890" i="3"/>
  <c r="C890" i="3"/>
  <c r="M889" i="3"/>
  <c r="K889" i="3"/>
  <c r="G889" i="3"/>
  <c r="D889" i="3"/>
  <c r="C889" i="3"/>
  <c r="M888" i="3"/>
  <c r="K888" i="3"/>
  <c r="G888" i="3"/>
  <c r="D888" i="3"/>
  <c r="C888" i="3"/>
  <c r="M887" i="3"/>
  <c r="K887" i="3"/>
  <c r="G887" i="3"/>
  <c r="D887" i="3"/>
  <c r="C887" i="3"/>
  <c r="M886" i="3"/>
  <c r="K886" i="3"/>
  <c r="G886" i="3"/>
  <c r="D886" i="3"/>
  <c r="C886" i="3"/>
  <c r="M885" i="3"/>
  <c r="K885" i="3"/>
  <c r="G885" i="3"/>
  <c r="D885" i="3"/>
  <c r="C885" i="3"/>
  <c r="M884" i="3"/>
  <c r="K884" i="3"/>
  <c r="G884" i="3"/>
  <c r="D884" i="3"/>
  <c r="C884" i="3"/>
  <c r="M883" i="3"/>
  <c r="K883" i="3"/>
  <c r="G883" i="3"/>
  <c r="D883" i="3"/>
  <c r="C883" i="3"/>
  <c r="M882" i="3"/>
  <c r="K882" i="3"/>
  <c r="G882" i="3"/>
  <c r="D882" i="3"/>
  <c r="C882" i="3"/>
  <c r="M881" i="3"/>
  <c r="K881" i="3"/>
  <c r="G881" i="3"/>
  <c r="D881" i="3"/>
  <c r="C881" i="3"/>
  <c r="M880" i="3"/>
  <c r="K880" i="3"/>
  <c r="G880" i="3"/>
  <c r="D880" i="3"/>
  <c r="C880" i="3"/>
  <c r="M879" i="3"/>
  <c r="K879" i="3"/>
  <c r="G879" i="3"/>
  <c r="D879" i="3"/>
  <c r="C879" i="3"/>
  <c r="M878" i="3"/>
  <c r="K878" i="3"/>
  <c r="G878" i="3"/>
  <c r="D878" i="3"/>
  <c r="C878" i="3"/>
  <c r="M877" i="3"/>
  <c r="K877" i="3"/>
  <c r="G877" i="3"/>
  <c r="D877" i="3"/>
  <c r="C877" i="3"/>
  <c r="M876" i="3"/>
  <c r="K876" i="3"/>
  <c r="G876" i="3"/>
  <c r="D876" i="3"/>
  <c r="C876" i="3"/>
  <c r="M875" i="3"/>
  <c r="K875" i="3"/>
  <c r="G875" i="3"/>
  <c r="D875" i="3"/>
  <c r="C875" i="3"/>
  <c r="M874" i="3"/>
  <c r="K874" i="3"/>
  <c r="G874" i="3"/>
  <c r="D874" i="3"/>
  <c r="C874" i="3"/>
  <c r="M873" i="3"/>
  <c r="K873" i="3"/>
  <c r="G873" i="3"/>
  <c r="D873" i="3"/>
  <c r="C873" i="3"/>
  <c r="M872" i="3"/>
  <c r="K872" i="3"/>
  <c r="G872" i="3"/>
  <c r="D872" i="3"/>
  <c r="C872" i="3"/>
  <c r="M871" i="3"/>
  <c r="K871" i="3"/>
  <c r="G871" i="3"/>
  <c r="D871" i="3"/>
  <c r="C871" i="3"/>
  <c r="M870" i="3"/>
  <c r="K870" i="3"/>
  <c r="G870" i="3"/>
  <c r="D870" i="3"/>
  <c r="C870" i="3"/>
  <c r="M869" i="3"/>
  <c r="K869" i="3"/>
  <c r="G869" i="3"/>
  <c r="D869" i="3"/>
  <c r="C869" i="3"/>
  <c r="M868" i="3"/>
  <c r="K868" i="3"/>
  <c r="G868" i="3"/>
  <c r="D868" i="3"/>
  <c r="C868" i="3"/>
  <c r="M867" i="3"/>
  <c r="K867" i="3"/>
  <c r="G867" i="3"/>
  <c r="D867" i="3"/>
  <c r="C867" i="3"/>
  <c r="M866" i="3"/>
  <c r="K866" i="3"/>
  <c r="G866" i="3"/>
  <c r="D866" i="3"/>
  <c r="C866" i="3"/>
  <c r="M865" i="3"/>
  <c r="K865" i="3"/>
  <c r="G865" i="3"/>
  <c r="D865" i="3"/>
  <c r="C865" i="3"/>
  <c r="M864" i="3"/>
  <c r="K864" i="3"/>
  <c r="G864" i="3"/>
  <c r="D864" i="3"/>
  <c r="C864" i="3"/>
  <c r="M863" i="3"/>
  <c r="K863" i="3"/>
  <c r="G863" i="3"/>
  <c r="D863" i="3"/>
  <c r="C863" i="3"/>
  <c r="M862" i="3"/>
  <c r="K862" i="3"/>
  <c r="G862" i="3"/>
  <c r="D862" i="3"/>
  <c r="C862" i="3"/>
  <c r="M861" i="3"/>
  <c r="K861" i="3"/>
  <c r="G861" i="3"/>
  <c r="D861" i="3"/>
  <c r="C861" i="3"/>
  <c r="M860" i="3"/>
  <c r="K860" i="3"/>
  <c r="G860" i="3"/>
  <c r="D860" i="3"/>
  <c r="C860" i="3"/>
  <c r="M859" i="3"/>
  <c r="K859" i="3"/>
  <c r="G859" i="3"/>
  <c r="D859" i="3"/>
  <c r="C859" i="3"/>
  <c r="M858" i="3"/>
  <c r="K858" i="3"/>
  <c r="G858" i="3"/>
  <c r="D858" i="3"/>
  <c r="C858" i="3"/>
  <c r="M857" i="3"/>
  <c r="K857" i="3"/>
  <c r="G857" i="3"/>
  <c r="D857" i="3"/>
  <c r="C857" i="3"/>
  <c r="M856" i="3"/>
  <c r="K856" i="3"/>
  <c r="G856" i="3"/>
  <c r="D856" i="3"/>
  <c r="C856" i="3"/>
  <c r="M855" i="3"/>
  <c r="K855" i="3"/>
  <c r="G855" i="3"/>
  <c r="D855" i="3"/>
  <c r="C855" i="3"/>
  <c r="M854" i="3"/>
  <c r="K854" i="3"/>
  <c r="G854" i="3"/>
  <c r="D854" i="3"/>
  <c r="C854" i="3"/>
  <c r="M853" i="3"/>
  <c r="K853" i="3"/>
  <c r="G853" i="3"/>
  <c r="D853" i="3"/>
  <c r="C853" i="3"/>
  <c r="M852" i="3"/>
  <c r="K852" i="3"/>
  <c r="G852" i="3"/>
  <c r="D852" i="3"/>
  <c r="C852" i="3"/>
  <c r="M851" i="3"/>
  <c r="K851" i="3"/>
  <c r="G851" i="3"/>
  <c r="D851" i="3"/>
  <c r="C851" i="3"/>
  <c r="M850" i="3"/>
  <c r="K850" i="3"/>
  <c r="G850" i="3"/>
  <c r="D850" i="3"/>
  <c r="C850" i="3"/>
  <c r="M849" i="3"/>
  <c r="K849" i="3"/>
  <c r="G849" i="3"/>
  <c r="D849" i="3"/>
  <c r="C849" i="3"/>
  <c r="M848" i="3"/>
  <c r="K848" i="3"/>
  <c r="G848" i="3"/>
  <c r="D848" i="3"/>
  <c r="C848" i="3"/>
  <c r="M847" i="3"/>
  <c r="K847" i="3"/>
  <c r="G847" i="3"/>
  <c r="D847" i="3"/>
  <c r="C847" i="3"/>
  <c r="M846" i="3"/>
  <c r="K846" i="3"/>
  <c r="G846" i="3"/>
  <c r="D846" i="3"/>
  <c r="C846" i="3"/>
  <c r="M845" i="3"/>
  <c r="K845" i="3"/>
  <c r="G845" i="3"/>
  <c r="D845" i="3"/>
  <c r="C845" i="3"/>
  <c r="M844" i="3"/>
  <c r="K844" i="3"/>
  <c r="G844" i="3"/>
  <c r="D844" i="3"/>
  <c r="C844" i="3"/>
  <c r="M843" i="3"/>
  <c r="K843" i="3"/>
  <c r="G843" i="3"/>
  <c r="D843" i="3"/>
  <c r="C843" i="3"/>
  <c r="M842" i="3"/>
  <c r="K842" i="3"/>
  <c r="G842" i="3"/>
  <c r="D842" i="3"/>
  <c r="C842" i="3"/>
  <c r="M841" i="3"/>
  <c r="K841" i="3"/>
  <c r="G841" i="3"/>
  <c r="D841" i="3"/>
  <c r="C841" i="3"/>
  <c r="M840" i="3"/>
  <c r="K840" i="3"/>
  <c r="G840" i="3"/>
  <c r="D840" i="3"/>
  <c r="C840" i="3"/>
  <c r="M839" i="3"/>
  <c r="K839" i="3"/>
  <c r="G839" i="3"/>
  <c r="D839" i="3"/>
  <c r="C839" i="3"/>
  <c r="M838" i="3"/>
  <c r="K838" i="3"/>
  <c r="G838" i="3"/>
  <c r="D838" i="3"/>
  <c r="C838" i="3"/>
  <c r="M837" i="3"/>
  <c r="K837" i="3"/>
  <c r="G837" i="3"/>
  <c r="D837" i="3"/>
  <c r="C837" i="3"/>
  <c r="M836" i="3"/>
  <c r="K836" i="3"/>
  <c r="G836" i="3"/>
  <c r="D836" i="3"/>
  <c r="C836" i="3"/>
  <c r="M835" i="3"/>
  <c r="K835" i="3"/>
  <c r="G835" i="3"/>
  <c r="D835" i="3"/>
  <c r="C835" i="3"/>
  <c r="M834" i="3"/>
  <c r="K834" i="3"/>
  <c r="G834" i="3"/>
  <c r="D834" i="3"/>
  <c r="C834" i="3"/>
  <c r="M833" i="3"/>
  <c r="K833" i="3"/>
  <c r="G833" i="3"/>
  <c r="D833" i="3"/>
  <c r="C833" i="3"/>
  <c r="M832" i="3"/>
  <c r="K832" i="3"/>
  <c r="G832" i="3"/>
  <c r="D832" i="3"/>
  <c r="C832" i="3"/>
  <c r="M831" i="3"/>
  <c r="K831" i="3"/>
  <c r="G831" i="3"/>
  <c r="D831" i="3"/>
  <c r="C831" i="3"/>
  <c r="M830" i="3"/>
  <c r="K830" i="3"/>
  <c r="G830" i="3"/>
  <c r="D830" i="3"/>
  <c r="C830" i="3"/>
  <c r="M829" i="3"/>
  <c r="K829" i="3"/>
  <c r="G829" i="3"/>
  <c r="D829" i="3"/>
  <c r="C829" i="3"/>
  <c r="M828" i="3"/>
  <c r="K828" i="3"/>
  <c r="G828" i="3"/>
  <c r="D828" i="3"/>
  <c r="C828" i="3"/>
  <c r="M827" i="3"/>
  <c r="K827" i="3"/>
  <c r="G827" i="3"/>
  <c r="D827" i="3"/>
  <c r="C827" i="3"/>
  <c r="M826" i="3"/>
  <c r="K826" i="3"/>
  <c r="G826" i="3"/>
  <c r="D826" i="3"/>
  <c r="C826" i="3"/>
  <c r="M825" i="3"/>
  <c r="K825" i="3"/>
  <c r="G825" i="3"/>
  <c r="D825" i="3"/>
  <c r="C825" i="3"/>
  <c r="M824" i="3"/>
  <c r="K824" i="3"/>
  <c r="G824" i="3"/>
  <c r="D824" i="3"/>
  <c r="C824" i="3"/>
  <c r="M823" i="3"/>
  <c r="K823" i="3"/>
  <c r="G823" i="3"/>
  <c r="D823" i="3"/>
  <c r="C823" i="3"/>
  <c r="M822" i="3"/>
  <c r="K822" i="3"/>
  <c r="G822" i="3"/>
  <c r="D822" i="3"/>
  <c r="C822" i="3"/>
  <c r="M821" i="3"/>
  <c r="K821" i="3"/>
  <c r="G821" i="3"/>
  <c r="D821" i="3"/>
  <c r="C821" i="3"/>
  <c r="M820" i="3"/>
  <c r="K820" i="3"/>
  <c r="G820" i="3"/>
  <c r="D820" i="3"/>
  <c r="C820" i="3"/>
  <c r="M819" i="3"/>
  <c r="K819" i="3"/>
  <c r="G819" i="3"/>
  <c r="D819" i="3"/>
  <c r="C819" i="3"/>
  <c r="M818" i="3"/>
  <c r="K818" i="3"/>
  <c r="G818" i="3"/>
  <c r="D818" i="3"/>
  <c r="C818" i="3"/>
  <c r="M817" i="3"/>
  <c r="K817" i="3"/>
  <c r="G817" i="3"/>
  <c r="D817" i="3"/>
  <c r="C817" i="3"/>
  <c r="M816" i="3"/>
  <c r="K816" i="3"/>
  <c r="G816" i="3"/>
  <c r="D816" i="3"/>
  <c r="C816" i="3"/>
  <c r="M815" i="3"/>
  <c r="K815" i="3"/>
  <c r="G815" i="3"/>
  <c r="D815" i="3"/>
  <c r="C815" i="3"/>
  <c r="M814" i="3"/>
  <c r="K814" i="3"/>
  <c r="G814" i="3"/>
  <c r="D814" i="3"/>
  <c r="C814" i="3"/>
  <c r="M813" i="3"/>
  <c r="K813" i="3"/>
  <c r="G813" i="3"/>
  <c r="D813" i="3"/>
  <c r="C813" i="3"/>
  <c r="M812" i="3"/>
  <c r="K812" i="3"/>
  <c r="G812" i="3"/>
  <c r="D812" i="3"/>
  <c r="C812" i="3"/>
  <c r="M811" i="3"/>
  <c r="K811" i="3"/>
  <c r="G811" i="3"/>
  <c r="D811" i="3"/>
  <c r="C811" i="3"/>
  <c r="M810" i="3"/>
  <c r="K810" i="3"/>
  <c r="G810" i="3"/>
  <c r="D810" i="3"/>
  <c r="C810" i="3"/>
  <c r="M809" i="3"/>
  <c r="K809" i="3"/>
  <c r="G809" i="3"/>
  <c r="D809" i="3"/>
  <c r="C809" i="3"/>
  <c r="M808" i="3"/>
  <c r="K808" i="3"/>
  <c r="G808" i="3"/>
  <c r="D808" i="3"/>
  <c r="C808" i="3"/>
  <c r="M807" i="3"/>
  <c r="K807" i="3"/>
  <c r="G807" i="3"/>
  <c r="D807" i="3"/>
  <c r="C807" i="3"/>
  <c r="M806" i="3"/>
  <c r="K806" i="3"/>
  <c r="G806" i="3"/>
  <c r="D806" i="3"/>
  <c r="C806" i="3"/>
  <c r="M805" i="3"/>
  <c r="K805" i="3"/>
  <c r="G805" i="3"/>
  <c r="D805" i="3"/>
  <c r="C805" i="3"/>
  <c r="M804" i="3"/>
  <c r="K804" i="3"/>
  <c r="G804" i="3"/>
  <c r="D804" i="3"/>
  <c r="C804" i="3"/>
  <c r="M803" i="3"/>
  <c r="K803" i="3"/>
  <c r="G803" i="3"/>
  <c r="D803" i="3"/>
  <c r="C803" i="3"/>
  <c r="M802" i="3"/>
  <c r="K802" i="3"/>
  <c r="G802" i="3"/>
  <c r="D802" i="3"/>
  <c r="C802" i="3"/>
  <c r="M801" i="3"/>
  <c r="K801" i="3"/>
  <c r="G801" i="3"/>
  <c r="D801" i="3"/>
  <c r="C801" i="3"/>
  <c r="M800" i="3"/>
  <c r="K800" i="3"/>
  <c r="G800" i="3"/>
  <c r="D800" i="3"/>
  <c r="C800" i="3"/>
  <c r="M799" i="3"/>
  <c r="K799" i="3"/>
  <c r="G799" i="3"/>
  <c r="D799" i="3"/>
  <c r="C799" i="3"/>
  <c r="M798" i="3"/>
  <c r="K798" i="3"/>
  <c r="G798" i="3"/>
  <c r="D798" i="3"/>
  <c r="C798" i="3"/>
  <c r="M797" i="3"/>
  <c r="K797" i="3"/>
  <c r="G797" i="3"/>
  <c r="D797" i="3"/>
  <c r="C797" i="3"/>
  <c r="M796" i="3"/>
  <c r="K796" i="3"/>
  <c r="G796" i="3"/>
  <c r="D796" i="3"/>
  <c r="C796" i="3"/>
  <c r="M795" i="3"/>
  <c r="K795" i="3"/>
  <c r="G795" i="3"/>
  <c r="D795" i="3"/>
  <c r="C795" i="3"/>
  <c r="M794" i="3"/>
  <c r="K794" i="3"/>
  <c r="G794" i="3"/>
  <c r="D794" i="3"/>
  <c r="C794" i="3"/>
  <c r="M793" i="3"/>
  <c r="K793" i="3"/>
  <c r="G793" i="3"/>
  <c r="D793" i="3"/>
  <c r="C793" i="3"/>
  <c r="M792" i="3"/>
  <c r="K792" i="3"/>
  <c r="G792" i="3"/>
  <c r="D792" i="3"/>
  <c r="C792" i="3"/>
  <c r="M791" i="3"/>
  <c r="K791" i="3"/>
  <c r="G791" i="3"/>
  <c r="D791" i="3"/>
  <c r="C791" i="3"/>
  <c r="M790" i="3"/>
  <c r="K790" i="3"/>
  <c r="G790" i="3"/>
  <c r="D790" i="3"/>
  <c r="C790" i="3"/>
  <c r="M789" i="3"/>
  <c r="K789" i="3"/>
  <c r="G789" i="3"/>
  <c r="D789" i="3"/>
  <c r="C789" i="3"/>
  <c r="M788" i="3"/>
  <c r="K788" i="3"/>
  <c r="G788" i="3"/>
  <c r="D788" i="3"/>
  <c r="C788" i="3"/>
  <c r="M787" i="3"/>
  <c r="K787" i="3"/>
  <c r="G787" i="3"/>
  <c r="D787" i="3"/>
  <c r="C787" i="3"/>
  <c r="M786" i="3"/>
  <c r="K786" i="3"/>
  <c r="G786" i="3"/>
  <c r="D786" i="3"/>
  <c r="C786" i="3"/>
  <c r="M785" i="3"/>
  <c r="K785" i="3"/>
  <c r="G785" i="3"/>
  <c r="D785" i="3"/>
  <c r="C785" i="3"/>
  <c r="M784" i="3"/>
  <c r="K784" i="3"/>
  <c r="G784" i="3"/>
  <c r="D784" i="3"/>
  <c r="C784" i="3"/>
  <c r="M783" i="3"/>
  <c r="K783" i="3"/>
  <c r="G783" i="3"/>
  <c r="D783" i="3"/>
  <c r="C783" i="3"/>
  <c r="M782" i="3"/>
  <c r="K782" i="3"/>
  <c r="G782" i="3"/>
  <c r="D782" i="3"/>
  <c r="C782" i="3"/>
  <c r="M781" i="3"/>
  <c r="K781" i="3"/>
  <c r="G781" i="3"/>
  <c r="D781" i="3"/>
  <c r="C781" i="3"/>
  <c r="M780" i="3"/>
  <c r="K780" i="3"/>
  <c r="G780" i="3"/>
  <c r="D780" i="3"/>
  <c r="C780" i="3"/>
  <c r="M779" i="3"/>
  <c r="K779" i="3"/>
  <c r="G779" i="3"/>
  <c r="D779" i="3"/>
  <c r="C779" i="3"/>
  <c r="M778" i="3"/>
  <c r="K778" i="3"/>
  <c r="G778" i="3"/>
  <c r="D778" i="3"/>
  <c r="C778" i="3"/>
  <c r="M777" i="3"/>
  <c r="K777" i="3"/>
  <c r="G777" i="3"/>
  <c r="D777" i="3"/>
  <c r="C777" i="3"/>
  <c r="M776" i="3"/>
  <c r="K776" i="3"/>
  <c r="G776" i="3"/>
  <c r="D776" i="3"/>
  <c r="C776" i="3"/>
  <c r="M775" i="3"/>
  <c r="K775" i="3"/>
  <c r="G775" i="3"/>
  <c r="D775" i="3"/>
  <c r="C775" i="3"/>
  <c r="M774" i="3"/>
  <c r="K774" i="3"/>
  <c r="G774" i="3"/>
  <c r="D774" i="3"/>
  <c r="C774" i="3"/>
  <c r="M773" i="3"/>
  <c r="K773" i="3"/>
  <c r="G773" i="3"/>
  <c r="D773" i="3"/>
  <c r="C773" i="3"/>
  <c r="M772" i="3"/>
  <c r="K772" i="3"/>
  <c r="G772" i="3"/>
  <c r="D772" i="3"/>
  <c r="C772" i="3"/>
  <c r="M771" i="3"/>
  <c r="K771" i="3"/>
  <c r="G771" i="3"/>
  <c r="D771" i="3"/>
  <c r="C771" i="3"/>
  <c r="M770" i="3"/>
  <c r="K770" i="3"/>
  <c r="G770" i="3"/>
  <c r="D770" i="3"/>
  <c r="C770" i="3"/>
  <c r="M769" i="3"/>
  <c r="K769" i="3"/>
  <c r="G769" i="3"/>
  <c r="D769" i="3"/>
  <c r="C769" i="3"/>
  <c r="M768" i="3"/>
  <c r="K768" i="3"/>
  <c r="G768" i="3"/>
  <c r="D768" i="3"/>
  <c r="C768" i="3"/>
  <c r="M767" i="3"/>
  <c r="K767" i="3"/>
  <c r="G767" i="3"/>
  <c r="D767" i="3"/>
  <c r="C767" i="3"/>
  <c r="M766" i="3"/>
  <c r="K766" i="3"/>
  <c r="G766" i="3"/>
  <c r="D766" i="3"/>
  <c r="C766" i="3"/>
  <c r="M765" i="3"/>
  <c r="K765" i="3"/>
  <c r="G765" i="3"/>
  <c r="D765" i="3"/>
  <c r="C765" i="3"/>
  <c r="M764" i="3"/>
  <c r="K764" i="3"/>
  <c r="G764" i="3"/>
  <c r="D764" i="3"/>
  <c r="C764" i="3"/>
  <c r="M763" i="3"/>
  <c r="K763" i="3"/>
  <c r="G763" i="3"/>
  <c r="D763" i="3"/>
  <c r="C763" i="3"/>
  <c r="M762" i="3"/>
  <c r="K762" i="3"/>
  <c r="G762" i="3"/>
  <c r="D762" i="3"/>
  <c r="C762" i="3"/>
  <c r="M761" i="3"/>
  <c r="K761" i="3"/>
  <c r="G761" i="3"/>
  <c r="D761" i="3"/>
  <c r="C761" i="3"/>
  <c r="M760" i="3"/>
  <c r="K760" i="3"/>
  <c r="G760" i="3"/>
  <c r="D760" i="3"/>
  <c r="C760" i="3"/>
  <c r="M759" i="3"/>
  <c r="K759" i="3"/>
  <c r="G759" i="3"/>
  <c r="D759" i="3"/>
  <c r="C759" i="3"/>
  <c r="M758" i="3"/>
  <c r="K758" i="3"/>
  <c r="G758" i="3"/>
  <c r="D758" i="3"/>
  <c r="C758" i="3"/>
  <c r="M757" i="3"/>
  <c r="K757" i="3"/>
  <c r="G757" i="3"/>
  <c r="D757" i="3"/>
  <c r="C757" i="3"/>
  <c r="M756" i="3"/>
  <c r="K756" i="3"/>
  <c r="G756" i="3"/>
  <c r="D756" i="3"/>
  <c r="C756" i="3"/>
  <c r="M755" i="3"/>
  <c r="K755" i="3"/>
  <c r="G755" i="3"/>
  <c r="D755" i="3"/>
  <c r="C755" i="3"/>
  <c r="M754" i="3"/>
  <c r="K754" i="3"/>
  <c r="G754" i="3"/>
  <c r="D754" i="3"/>
  <c r="C754" i="3"/>
  <c r="M753" i="3"/>
  <c r="K753" i="3"/>
  <c r="G753" i="3"/>
  <c r="D753" i="3"/>
  <c r="C753" i="3"/>
  <c r="M752" i="3"/>
  <c r="K752" i="3"/>
  <c r="G752" i="3"/>
  <c r="D752" i="3"/>
  <c r="C752" i="3"/>
  <c r="M751" i="3"/>
  <c r="K751" i="3"/>
  <c r="G751" i="3"/>
  <c r="D751" i="3"/>
  <c r="C751" i="3"/>
  <c r="M750" i="3"/>
  <c r="K750" i="3"/>
  <c r="G750" i="3"/>
  <c r="D750" i="3"/>
  <c r="C750" i="3"/>
  <c r="M749" i="3"/>
  <c r="K749" i="3"/>
  <c r="G749" i="3"/>
  <c r="D749" i="3"/>
  <c r="C749" i="3"/>
  <c r="M748" i="3"/>
  <c r="K748" i="3"/>
  <c r="G748" i="3"/>
  <c r="D748" i="3"/>
  <c r="C748" i="3"/>
  <c r="M747" i="3"/>
  <c r="K747" i="3"/>
  <c r="G747" i="3"/>
  <c r="D747" i="3"/>
  <c r="C747" i="3"/>
  <c r="M746" i="3"/>
  <c r="K746" i="3"/>
  <c r="G746" i="3"/>
  <c r="D746" i="3"/>
  <c r="C746" i="3"/>
  <c r="M745" i="3"/>
  <c r="K745" i="3"/>
  <c r="G745" i="3"/>
  <c r="D745" i="3"/>
  <c r="C745" i="3"/>
  <c r="M744" i="3"/>
  <c r="K744" i="3"/>
  <c r="G744" i="3"/>
  <c r="D744" i="3"/>
  <c r="C744" i="3"/>
  <c r="M743" i="3"/>
  <c r="K743" i="3"/>
  <c r="G743" i="3"/>
  <c r="D743" i="3"/>
  <c r="C743" i="3"/>
  <c r="M742" i="3"/>
  <c r="K742" i="3"/>
  <c r="G742" i="3"/>
  <c r="D742" i="3"/>
  <c r="C742" i="3"/>
  <c r="M741" i="3"/>
  <c r="K741" i="3"/>
  <c r="G741" i="3"/>
  <c r="D741" i="3"/>
  <c r="C741" i="3"/>
  <c r="M740" i="3"/>
  <c r="K740" i="3"/>
  <c r="G740" i="3"/>
  <c r="D740" i="3"/>
  <c r="C740" i="3"/>
  <c r="M739" i="3"/>
  <c r="K739" i="3"/>
  <c r="G739" i="3"/>
  <c r="D739" i="3"/>
  <c r="C739" i="3"/>
  <c r="M738" i="3"/>
  <c r="K738" i="3"/>
  <c r="G738" i="3"/>
  <c r="D738" i="3"/>
  <c r="C738" i="3"/>
  <c r="M737" i="3"/>
  <c r="K737" i="3"/>
  <c r="G737" i="3"/>
  <c r="D737" i="3"/>
  <c r="C737" i="3"/>
  <c r="M736" i="3"/>
  <c r="K736" i="3"/>
  <c r="G736" i="3"/>
  <c r="D736" i="3"/>
  <c r="C736" i="3"/>
  <c r="M735" i="3"/>
  <c r="K735" i="3"/>
  <c r="G735" i="3"/>
  <c r="D735" i="3"/>
  <c r="C735" i="3"/>
  <c r="M734" i="3"/>
  <c r="K734" i="3"/>
  <c r="G734" i="3"/>
  <c r="D734" i="3"/>
  <c r="C734" i="3"/>
  <c r="M733" i="3"/>
  <c r="K733" i="3"/>
  <c r="G733" i="3"/>
  <c r="D733" i="3"/>
  <c r="C733" i="3"/>
  <c r="M732" i="3"/>
  <c r="K732" i="3"/>
  <c r="G732" i="3"/>
  <c r="D732" i="3"/>
  <c r="C732" i="3"/>
  <c r="M731" i="3"/>
  <c r="K731" i="3"/>
  <c r="G731" i="3"/>
  <c r="D731" i="3"/>
  <c r="C731" i="3"/>
  <c r="M730" i="3"/>
  <c r="K730" i="3"/>
  <c r="G730" i="3"/>
  <c r="D730" i="3"/>
  <c r="C730" i="3"/>
  <c r="M729" i="3"/>
  <c r="K729" i="3"/>
  <c r="G729" i="3"/>
  <c r="D729" i="3"/>
  <c r="C729" i="3"/>
  <c r="M728" i="3"/>
  <c r="K728" i="3"/>
  <c r="G728" i="3"/>
  <c r="D728" i="3"/>
  <c r="C728" i="3"/>
  <c r="M727" i="3"/>
  <c r="K727" i="3"/>
  <c r="G727" i="3"/>
  <c r="D727" i="3"/>
  <c r="C727" i="3"/>
  <c r="M726" i="3"/>
  <c r="K726" i="3"/>
  <c r="G726" i="3"/>
  <c r="D726" i="3"/>
  <c r="C726" i="3"/>
  <c r="M725" i="3"/>
  <c r="K725" i="3"/>
  <c r="G725" i="3"/>
  <c r="D725" i="3"/>
  <c r="C725" i="3"/>
  <c r="M724" i="3"/>
  <c r="K724" i="3"/>
  <c r="G724" i="3"/>
  <c r="D724" i="3"/>
  <c r="C724" i="3"/>
  <c r="M723" i="3"/>
  <c r="K723" i="3"/>
  <c r="G723" i="3"/>
  <c r="D723" i="3"/>
  <c r="C723" i="3"/>
  <c r="M722" i="3"/>
  <c r="K722" i="3"/>
  <c r="G722" i="3"/>
  <c r="D722" i="3"/>
  <c r="C722" i="3"/>
  <c r="M721" i="3"/>
  <c r="K721" i="3"/>
  <c r="G721" i="3"/>
  <c r="D721" i="3"/>
  <c r="C721" i="3"/>
  <c r="M720" i="3"/>
  <c r="K720" i="3"/>
  <c r="G720" i="3"/>
  <c r="D720" i="3"/>
  <c r="C720" i="3"/>
  <c r="M719" i="3"/>
  <c r="K719" i="3"/>
  <c r="G719" i="3"/>
  <c r="D719" i="3"/>
  <c r="C719" i="3"/>
  <c r="M718" i="3"/>
  <c r="K718" i="3"/>
  <c r="G718" i="3"/>
  <c r="D718" i="3"/>
  <c r="C718" i="3"/>
  <c r="M717" i="3"/>
  <c r="K717" i="3"/>
  <c r="G717" i="3"/>
  <c r="D717" i="3"/>
  <c r="C717" i="3"/>
  <c r="M716" i="3"/>
  <c r="K716" i="3"/>
  <c r="G716" i="3"/>
  <c r="D716" i="3"/>
  <c r="C716" i="3"/>
  <c r="M715" i="3"/>
  <c r="K715" i="3"/>
  <c r="G715" i="3"/>
  <c r="D715" i="3"/>
  <c r="C715" i="3"/>
  <c r="M714" i="3"/>
  <c r="K714" i="3"/>
  <c r="G714" i="3"/>
  <c r="D714" i="3"/>
  <c r="C714" i="3"/>
  <c r="M713" i="3"/>
  <c r="K713" i="3"/>
  <c r="G713" i="3"/>
  <c r="D713" i="3"/>
  <c r="C713" i="3"/>
  <c r="M712" i="3"/>
  <c r="K712" i="3"/>
  <c r="G712" i="3"/>
  <c r="D712" i="3"/>
  <c r="C712" i="3"/>
  <c r="M711" i="3"/>
  <c r="K711" i="3"/>
  <c r="G711" i="3"/>
  <c r="D711" i="3"/>
  <c r="C711" i="3"/>
  <c r="M710" i="3"/>
  <c r="K710" i="3"/>
  <c r="G710" i="3"/>
  <c r="D710" i="3"/>
  <c r="C710" i="3"/>
  <c r="M709" i="3"/>
  <c r="K709" i="3"/>
  <c r="G709" i="3"/>
  <c r="D709" i="3"/>
  <c r="C709" i="3"/>
  <c r="M708" i="3"/>
  <c r="K708" i="3"/>
  <c r="G708" i="3"/>
  <c r="D708" i="3"/>
  <c r="C708" i="3"/>
  <c r="M707" i="3"/>
  <c r="K707" i="3"/>
  <c r="G707" i="3"/>
  <c r="D707" i="3"/>
  <c r="C707" i="3"/>
  <c r="M706" i="3"/>
  <c r="K706" i="3"/>
  <c r="G706" i="3"/>
  <c r="D706" i="3"/>
  <c r="C706" i="3"/>
  <c r="M705" i="3"/>
  <c r="K705" i="3"/>
  <c r="G705" i="3"/>
  <c r="D705" i="3"/>
  <c r="C705" i="3"/>
  <c r="M704" i="3"/>
  <c r="K704" i="3"/>
  <c r="G704" i="3"/>
  <c r="D704" i="3"/>
  <c r="C704" i="3"/>
  <c r="M703" i="3"/>
  <c r="K703" i="3"/>
  <c r="G703" i="3"/>
  <c r="D703" i="3"/>
  <c r="C703" i="3"/>
  <c r="M702" i="3"/>
  <c r="K702" i="3"/>
  <c r="G702" i="3"/>
  <c r="D702" i="3"/>
  <c r="C702" i="3"/>
  <c r="M701" i="3"/>
  <c r="K701" i="3"/>
  <c r="G701" i="3"/>
  <c r="D701" i="3"/>
  <c r="C701" i="3"/>
  <c r="M700" i="3"/>
  <c r="K700" i="3"/>
  <c r="G700" i="3"/>
  <c r="D700" i="3"/>
  <c r="C700" i="3"/>
  <c r="M699" i="3"/>
  <c r="K699" i="3"/>
  <c r="G699" i="3"/>
  <c r="D699" i="3"/>
  <c r="C699" i="3"/>
  <c r="M698" i="3"/>
  <c r="K698" i="3"/>
  <c r="G698" i="3"/>
  <c r="D698" i="3"/>
  <c r="C698" i="3"/>
  <c r="M697" i="3"/>
  <c r="K697" i="3"/>
  <c r="G697" i="3"/>
  <c r="D697" i="3"/>
  <c r="C697" i="3"/>
  <c r="M696" i="3"/>
  <c r="K696" i="3"/>
  <c r="G696" i="3"/>
  <c r="D696" i="3"/>
  <c r="C696" i="3"/>
  <c r="M695" i="3"/>
  <c r="K695" i="3"/>
  <c r="G695" i="3"/>
  <c r="D695" i="3"/>
  <c r="C695" i="3"/>
  <c r="M694" i="3"/>
  <c r="K694" i="3"/>
  <c r="G694" i="3"/>
  <c r="D694" i="3"/>
  <c r="C694" i="3"/>
  <c r="M693" i="3"/>
  <c r="K693" i="3"/>
  <c r="G693" i="3"/>
  <c r="D693" i="3"/>
  <c r="C693" i="3"/>
  <c r="M692" i="3"/>
  <c r="K692" i="3"/>
  <c r="G692" i="3"/>
  <c r="D692" i="3"/>
  <c r="C692" i="3"/>
  <c r="M691" i="3"/>
  <c r="K691" i="3"/>
  <c r="G691" i="3"/>
  <c r="D691" i="3"/>
  <c r="C691" i="3"/>
  <c r="M690" i="3"/>
  <c r="K690" i="3"/>
  <c r="G690" i="3"/>
  <c r="D690" i="3"/>
  <c r="C690" i="3"/>
  <c r="M689" i="3"/>
  <c r="K689" i="3"/>
  <c r="G689" i="3"/>
  <c r="D689" i="3"/>
  <c r="C689" i="3"/>
  <c r="M688" i="3"/>
  <c r="K688" i="3"/>
  <c r="G688" i="3"/>
  <c r="D688" i="3"/>
  <c r="C688" i="3"/>
  <c r="M687" i="3"/>
  <c r="K687" i="3"/>
  <c r="G687" i="3"/>
  <c r="D687" i="3"/>
  <c r="C687" i="3"/>
  <c r="M686" i="3"/>
  <c r="K686" i="3"/>
  <c r="G686" i="3"/>
  <c r="D686" i="3"/>
  <c r="C686" i="3"/>
  <c r="M685" i="3"/>
  <c r="K685" i="3"/>
  <c r="G685" i="3"/>
  <c r="D685" i="3"/>
  <c r="C685" i="3"/>
  <c r="M684" i="3"/>
  <c r="K684" i="3"/>
  <c r="G684" i="3"/>
  <c r="D684" i="3"/>
  <c r="C684" i="3"/>
  <c r="M683" i="3"/>
  <c r="K683" i="3"/>
  <c r="G683" i="3"/>
  <c r="D683" i="3"/>
  <c r="C683" i="3"/>
  <c r="M682" i="3"/>
  <c r="K682" i="3"/>
  <c r="G682" i="3"/>
  <c r="D682" i="3"/>
  <c r="C682" i="3"/>
  <c r="M681" i="3"/>
  <c r="K681" i="3"/>
  <c r="G681" i="3"/>
  <c r="D681" i="3"/>
  <c r="C681" i="3"/>
  <c r="M680" i="3"/>
  <c r="K680" i="3"/>
  <c r="G680" i="3"/>
  <c r="D680" i="3"/>
  <c r="C680" i="3"/>
  <c r="M679" i="3"/>
  <c r="K679" i="3"/>
  <c r="G679" i="3"/>
  <c r="D679" i="3"/>
  <c r="C679" i="3"/>
  <c r="M678" i="3"/>
  <c r="K678" i="3"/>
  <c r="G678" i="3"/>
  <c r="D678" i="3"/>
  <c r="C678" i="3"/>
  <c r="M677" i="3"/>
  <c r="K677" i="3"/>
  <c r="G677" i="3"/>
  <c r="D677" i="3"/>
  <c r="C677" i="3"/>
  <c r="M676" i="3"/>
  <c r="K676" i="3"/>
  <c r="G676" i="3"/>
  <c r="D676" i="3"/>
  <c r="C676" i="3"/>
  <c r="M675" i="3"/>
  <c r="K675" i="3"/>
  <c r="G675" i="3"/>
  <c r="D675" i="3"/>
  <c r="C675" i="3"/>
  <c r="M674" i="3"/>
  <c r="K674" i="3"/>
  <c r="G674" i="3"/>
  <c r="D674" i="3"/>
  <c r="C674" i="3"/>
  <c r="M673" i="3"/>
  <c r="K673" i="3"/>
  <c r="G673" i="3"/>
  <c r="D673" i="3"/>
  <c r="C673" i="3"/>
  <c r="M672" i="3"/>
  <c r="K672" i="3"/>
  <c r="G672" i="3"/>
  <c r="D672" i="3"/>
  <c r="C672" i="3"/>
  <c r="M671" i="3"/>
  <c r="K671" i="3"/>
  <c r="G671" i="3"/>
  <c r="D671" i="3"/>
  <c r="C671" i="3"/>
  <c r="M670" i="3"/>
  <c r="K670" i="3"/>
  <c r="G670" i="3"/>
  <c r="D670" i="3"/>
  <c r="C670" i="3"/>
  <c r="M669" i="3"/>
  <c r="K669" i="3"/>
  <c r="G669" i="3"/>
  <c r="D669" i="3"/>
  <c r="C669" i="3"/>
  <c r="M668" i="3"/>
  <c r="K668" i="3"/>
  <c r="G668" i="3"/>
  <c r="D668" i="3"/>
  <c r="C668" i="3"/>
  <c r="M667" i="3"/>
  <c r="K667" i="3"/>
  <c r="G667" i="3"/>
  <c r="D667" i="3"/>
  <c r="C667" i="3"/>
  <c r="M666" i="3"/>
  <c r="K666" i="3"/>
  <c r="G666" i="3"/>
  <c r="D666" i="3"/>
  <c r="C666" i="3"/>
  <c r="M665" i="3"/>
  <c r="K665" i="3"/>
  <c r="G665" i="3"/>
  <c r="D665" i="3"/>
  <c r="C665" i="3"/>
  <c r="M664" i="3"/>
  <c r="K664" i="3"/>
  <c r="G664" i="3"/>
  <c r="D664" i="3"/>
  <c r="C664" i="3"/>
  <c r="M663" i="3"/>
  <c r="K663" i="3"/>
  <c r="G663" i="3"/>
  <c r="D663" i="3"/>
  <c r="C663" i="3"/>
  <c r="M662" i="3"/>
  <c r="K662" i="3"/>
  <c r="G662" i="3"/>
  <c r="D662" i="3"/>
  <c r="C662" i="3"/>
  <c r="M661" i="3"/>
  <c r="K661" i="3"/>
  <c r="G661" i="3"/>
  <c r="D661" i="3"/>
  <c r="C661" i="3"/>
  <c r="M660" i="3"/>
  <c r="K660" i="3"/>
  <c r="G660" i="3"/>
  <c r="D660" i="3"/>
  <c r="C660" i="3"/>
  <c r="M659" i="3"/>
  <c r="K659" i="3"/>
  <c r="G659" i="3"/>
  <c r="D659" i="3"/>
  <c r="C659" i="3"/>
  <c r="M658" i="3"/>
  <c r="K658" i="3"/>
  <c r="G658" i="3"/>
  <c r="D658" i="3"/>
  <c r="C658" i="3"/>
  <c r="M657" i="3"/>
  <c r="K657" i="3"/>
  <c r="G657" i="3"/>
  <c r="D657" i="3"/>
  <c r="C657" i="3"/>
  <c r="M656" i="3"/>
  <c r="K656" i="3"/>
  <c r="G656" i="3"/>
  <c r="D656" i="3"/>
  <c r="C656" i="3"/>
  <c r="M655" i="3"/>
  <c r="K655" i="3"/>
  <c r="G655" i="3"/>
  <c r="D655" i="3"/>
  <c r="C655" i="3"/>
  <c r="M654" i="3"/>
  <c r="K654" i="3"/>
  <c r="G654" i="3"/>
  <c r="D654" i="3"/>
  <c r="C654" i="3"/>
  <c r="M653" i="3"/>
  <c r="K653" i="3"/>
  <c r="G653" i="3"/>
  <c r="D653" i="3"/>
  <c r="C653" i="3"/>
  <c r="M652" i="3"/>
  <c r="K652" i="3"/>
  <c r="G652" i="3"/>
  <c r="D652" i="3"/>
  <c r="C652" i="3"/>
  <c r="M651" i="3"/>
  <c r="K651" i="3"/>
  <c r="G651" i="3"/>
  <c r="D651" i="3"/>
  <c r="C651" i="3"/>
  <c r="M650" i="3"/>
  <c r="K650" i="3"/>
  <c r="G650" i="3"/>
  <c r="D650" i="3"/>
  <c r="C650" i="3"/>
  <c r="M649" i="3"/>
  <c r="K649" i="3"/>
  <c r="G649" i="3"/>
  <c r="D649" i="3"/>
  <c r="C649" i="3"/>
  <c r="M648" i="3"/>
  <c r="K648" i="3"/>
  <c r="G648" i="3"/>
  <c r="D648" i="3"/>
  <c r="C648" i="3"/>
  <c r="M647" i="3"/>
  <c r="K647" i="3"/>
  <c r="G647" i="3"/>
  <c r="D647" i="3"/>
  <c r="C647" i="3"/>
  <c r="M646" i="3"/>
  <c r="K646" i="3"/>
  <c r="G646" i="3"/>
  <c r="D646" i="3"/>
  <c r="C646" i="3"/>
  <c r="M645" i="3"/>
  <c r="K645" i="3"/>
  <c r="G645" i="3"/>
  <c r="D645" i="3"/>
  <c r="C645" i="3"/>
  <c r="M644" i="3"/>
  <c r="K644" i="3"/>
  <c r="G644" i="3"/>
  <c r="D644" i="3"/>
  <c r="C644" i="3"/>
  <c r="M643" i="3"/>
  <c r="K643" i="3"/>
  <c r="G643" i="3"/>
  <c r="D643" i="3"/>
  <c r="C643" i="3"/>
  <c r="M642" i="3"/>
  <c r="K642" i="3"/>
  <c r="G642" i="3"/>
  <c r="D642" i="3"/>
  <c r="C642" i="3"/>
  <c r="M641" i="3"/>
  <c r="K641" i="3"/>
  <c r="G641" i="3"/>
  <c r="D641" i="3"/>
  <c r="C641" i="3"/>
  <c r="M640" i="3"/>
  <c r="K640" i="3"/>
  <c r="G640" i="3"/>
  <c r="D640" i="3"/>
  <c r="C640" i="3"/>
  <c r="M639" i="3"/>
  <c r="K639" i="3"/>
  <c r="G639" i="3"/>
  <c r="D639" i="3"/>
  <c r="C639" i="3"/>
  <c r="M638" i="3"/>
  <c r="K638" i="3"/>
  <c r="G638" i="3"/>
  <c r="D638" i="3"/>
  <c r="C638" i="3"/>
  <c r="M637" i="3"/>
  <c r="K637" i="3"/>
  <c r="G637" i="3"/>
  <c r="D637" i="3"/>
  <c r="C637" i="3"/>
  <c r="M636" i="3"/>
  <c r="K636" i="3"/>
  <c r="G636" i="3"/>
  <c r="D636" i="3"/>
  <c r="C636" i="3"/>
  <c r="M635" i="3"/>
  <c r="K635" i="3"/>
  <c r="G635" i="3"/>
  <c r="D635" i="3"/>
  <c r="C635" i="3"/>
  <c r="M634" i="3"/>
  <c r="K634" i="3"/>
  <c r="G634" i="3"/>
  <c r="D634" i="3"/>
  <c r="C634" i="3"/>
  <c r="M633" i="3"/>
  <c r="K633" i="3"/>
  <c r="G633" i="3"/>
  <c r="D633" i="3"/>
  <c r="C633" i="3"/>
  <c r="M632" i="3"/>
  <c r="K632" i="3"/>
  <c r="G632" i="3"/>
  <c r="D632" i="3"/>
  <c r="C632" i="3"/>
  <c r="M631" i="3"/>
  <c r="K631" i="3"/>
  <c r="G631" i="3"/>
  <c r="D631" i="3"/>
  <c r="C631" i="3"/>
  <c r="M630" i="3"/>
  <c r="K630" i="3"/>
  <c r="G630" i="3"/>
  <c r="D630" i="3"/>
  <c r="C630" i="3"/>
  <c r="M629" i="3"/>
  <c r="K629" i="3"/>
  <c r="G629" i="3"/>
  <c r="D629" i="3"/>
  <c r="C629" i="3"/>
  <c r="M628" i="3"/>
  <c r="K628" i="3"/>
  <c r="G628" i="3"/>
  <c r="D628" i="3"/>
  <c r="C628" i="3"/>
  <c r="M627" i="3"/>
  <c r="K627" i="3"/>
  <c r="G627" i="3"/>
  <c r="D627" i="3"/>
  <c r="C627" i="3"/>
  <c r="M626" i="3"/>
  <c r="K626" i="3"/>
  <c r="G626" i="3"/>
  <c r="D626" i="3"/>
  <c r="C626" i="3"/>
  <c r="M625" i="3"/>
  <c r="K625" i="3"/>
  <c r="G625" i="3"/>
  <c r="D625" i="3"/>
  <c r="C625" i="3"/>
  <c r="M624" i="3"/>
  <c r="K624" i="3"/>
  <c r="G624" i="3"/>
  <c r="D624" i="3"/>
  <c r="C624" i="3"/>
  <c r="M623" i="3"/>
  <c r="K623" i="3"/>
  <c r="G623" i="3"/>
  <c r="D623" i="3"/>
  <c r="C623" i="3"/>
  <c r="M622" i="3"/>
  <c r="K622" i="3"/>
  <c r="G622" i="3"/>
  <c r="D622" i="3"/>
  <c r="C622" i="3"/>
  <c r="M621" i="3"/>
  <c r="K621" i="3"/>
  <c r="G621" i="3"/>
  <c r="D621" i="3"/>
  <c r="C621" i="3"/>
  <c r="M620" i="3"/>
  <c r="K620" i="3"/>
  <c r="G620" i="3"/>
  <c r="D620" i="3"/>
  <c r="C620" i="3"/>
  <c r="M619" i="3"/>
  <c r="K619" i="3"/>
  <c r="G619" i="3"/>
  <c r="D619" i="3"/>
  <c r="C619" i="3"/>
  <c r="M618" i="3"/>
  <c r="K618" i="3"/>
  <c r="G618" i="3"/>
  <c r="D618" i="3"/>
  <c r="C618" i="3"/>
  <c r="M617" i="3"/>
  <c r="K617" i="3"/>
  <c r="G617" i="3"/>
  <c r="D617" i="3"/>
  <c r="C617" i="3"/>
  <c r="M616" i="3"/>
  <c r="K616" i="3"/>
  <c r="G616" i="3"/>
  <c r="D616" i="3"/>
  <c r="C616" i="3"/>
  <c r="M615" i="3"/>
  <c r="K615" i="3"/>
  <c r="G615" i="3"/>
  <c r="D615" i="3"/>
  <c r="C615" i="3"/>
  <c r="M614" i="3"/>
  <c r="K614" i="3"/>
  <c r="G614" i="3"/>
  <c r="D614" i="3"/>
  <c r="C614" i="3"/>
  <c r="M613" i="3"/>
  <c r="K613" i="3"/>
  <c r="G613" i="3"/>
  <c r="D613" i="3"/>
  <c r="C613" i="3"/>
  <c r="M612" i="3"/>
  <c r="K612" i="3"/>
  <c r="G612" i="3"/>
  <c r="D612" i="3"/>
  <c r="C612" i="3"/>
  <c r="M611" i="3"/>
  <c r="K611" i="3"/>
  <c r="G611" i="3"/>
  <c r="D611" i="3"/>
  <c r="C611" i="3"/>
  <c r="M610" i="3"/>
  <c r="K610" i="3"/>
  <c r="G610" i="3"/>
  <c r="D610" i="3"/>
  <c r="C610" i="3"/>
  <c r="M609" i="3"/>
  <c r="K609" i="3"/>
  <c r="G609" i="3"/>
  <c r="D609" i="3"/>
  <c r="C609" i="3"/>
  <c r="M608" i="3"/>
  <c r="K608" i="3"/>
  <c r="G608" i="3"/>
  <c r="D608" i="3"/>
  <c r="C608" i="3"/>
  <c r="M607" i="3"/>
  <c r="K607" i="3"/>
  <c r="G607" i="3"/>
  <c r="D607" i="3"/>
  <c r="C607" i="3"/>
  <c r="M606" i="3"/>
  <c r="K606" i="3"/>
  <c r="G606" i="3"/>
  <c r="D606" i="3"/>
  <c r="C606" i="3"/>
  <c r="M605" i="3"/>
  <c r="K605" i="3"/>
  <c r="G605" i="3"/>
  <c r="D605" i="3"/>
  <c r="C605" i="3"/>
  <c r="M604" i="3"/>
  <c r="K604" i="3"/>
  <c r="G604" i="3"/>
  <c r="D604" i="3"/>
  <c r="C604" i="3"/>
  <c r="M603" i="3"/>
  <c r="K603" i="3"/>
  <c r="G603" i="3"/>
  <c r="D603" i="3"/>
  <c r="C603" i="3"/>
  <c r="M602" i="3"/>
  <c r="K602" i="3"/>
  <c r="G602" i="3"/>
  <c r="D602" i="3"/>
  <c r="C602" i="3"/>
  <c r="M601" i="3"/>
  <c r="K601" i="3"/>
  <c r="G601" i="3"/>
  <c r="D601" i="3"/>
  <c r="C601" i="3"/>
  <c r="M600" i="3"/>
  <c r="K600" i="3"/>
  <c r="G600" i="3"/>
  <c r="D600" i="3"/>
  <c r="C600" i="3"/>
  <c r="M599" i="3"/>
  <c r="K599" i="3"/>
  <c r="G599" i="3"/>
  <c r="D599" i="3"/>
  <c r="C599" i="3"/>
  <c r="M598" i="3"/>
  <c r="K598" i="3"/>
  <c r="G598" i="3"/>
  <c r="D598" i="3"/>
  <c r="C598" i="3"/>
  <c r="M597" i="3"/>
  <c r="K597" i="3"/>
  <c r="G597" i="3"/>
  <c r="D597" i="3"/>
  <c r="C597" i="3"/>
  <c r="M596" i="3"/>
  <c r="K596" i="3"/>
  <c r="G596" i="3"/>
  <c r="D596" i="3"/>
  <c r="C596" i="3"/>
  <c r="M595" i="3"/>
  <c r="K595" i="3"/>
  <c r="G595" i="3"/>
  <c r="D595" i="3"/>
  <c r="C595" i="3"/>
  <c r="M594" i="3"/>
  <c r="K594" i="3"/>
  <c r="G594" i="3"/>
  <c r="D594" i="3"/>
  <c r="C594" i="3"/>
  <c r="M593" i="3"/>
  <c r="K593" i="3"/>
  <c r="G593" i="3"/>
  <c r="D593" i="3"/>
  <c r="C593" i="3"/>
  <c r="M592" i="3"/>
  <c r="K592" i="3"/>
  <c r="G592" i="3"/>
  <c r="D592" i="3"/>
  <c r="C592" i="3"/>
  <c r="M591" i="3"/>
  <c r="K591" i="3"/>
  <c r="G591" i="3"/>
  <c r="D591" i="3"/>
  <c r="C591" i="3"/>
  <c r="M590" i="3"/>
  <c r="K590" i="3"/>
  <c r="G590" i="3"/>
  <c r="D590" i="3"/>
  <c r="C590" i="3"/>
  <c r="M589" i="3"/>
  <c r="K589" i="3"/>
  <c r="G589" i="3"/>
  <c r="D589" i="3"/>
  <c r="C589" i="3"/>
  <c r="M588" i="3"/>
  <c r="K588" i="3"/>
  <c r="G588" i="3"/>
  <c r="D588" i="3"/>
  <c r="C588" i="3"/>
  <c r="M587" i="3"/>
  <c r="K587" i="3"/>
  <c r="G587" i="3"/>
  <c r="D587" i="3"/>
  <c r="C587" i="3"/>
  <c r="M586" i="3"/>
  <c r="K586" i="3"/>
  <c r="G586" i="3"/>
  <c r="D586" i="3"/>
  <c r="C586" i="3"/>
  <c r="M585" i="3"/>
  <c r="K585" i="3"/>
  <c r="G585" i="3"/>
  <c r="D585" i="3"/>
  <c r="C585" i="3"/>
  <c r="M584" i="3"/>
  <c r="K584" i="3"/>
  <c r="G584" i="3"/>
  <c r="D584" i="3"/>
  <c r="C584" i="3"/>
  <c r="M583" i="3"/>
  <c r="K583" i="3"/>
  <c r="G583" i="3"/>
  <c r="D583" i="3"/>
  <c r="C583" i="3"/>
  <c r="M582" i="3"/>
  <c r="K582" i="3"/>
  <c r="G582" i="3"/>
  <c r="D582" i="3"/>
  <c r="C582" i="3"/>
  <c r="M581" i="3"/>
  <c r="K581" i="3"/>
  <c r="G581" i="3"/>
  <c r="D581" i="3"/>
  <c r="C581" i="3"/>
  <c r="M580" i="3"/>
  <c r="K580" i="3"/>
  <c r="G580" i="3"/>
  <c r="D580" i="3"/>
  <c r="C580" i="3"/>
  <c r="M579" i="3"/>
  <c r="K579" i="3"/>
  <c r="G579" i="3"/>
  <c r="D579" i="3"/>
  <c r="C579" i="3"/>
  <c r="M578" i="3"/>
  <c r="K578" i="3"/>
  <c r="G578" i="3"/>
  <c r="D578" i="3"/>
  <c r="C578" i="3"/>
  <c r="M577" i="3"/>
  <c r="K577" i="3"/>
  <c r="G577" i="3"/>
  <c r="D577" i="3"/>
  <c r="C577" i="3"/>
  <c r="M576" i="3"/>
  <c r="K576" i="3"/>
  <c r="G576" i="3"/>
  <c r="D576" i="3"/>
  <c r="C576" i="3"/>
  <c r="M575" i="3"/>
  <c r="K575" i="3"/>
  <c r="G575" i="3"/>
  <c r="D575" i="3"/>
  <c r="C575" i="3"/>
  <c r="M574" i="3"/>
  <c r="K574" i="3"/>
  <c r="G574" i="3"/>
  <c r="D574" i="3"/>
  <c r="C574" i="3"/>
  <c r="M573" i="3"/>
  <c r="K573" i="3"/>
  <c r="G573" i="3"/>
  <c r="D573" i="3"/>
  <c r="C573" i="3"/>
  <c r="M572" i="3"/>
  <c r="K572" i="3"/>
  <c r="G572" i="3"/>
  <c r="D572" i="3"/>
  <c r="C572" i="3"/>
  <c r="M571" i="3"/>
  <c r="K571" i="3"/>
  <c r="G571" i="3"/>
  <c r="D571" i="3"/>
  <c r="C571" i="3"/>
  <c r="M570" i="3"/>
  <c r="K570" i="3"/>
  <c r="G570" i="3"/>
  <c r="D570" i="3"/>
  <c r="C570" i="3"/>
  <c r="M569" i="3"/>
  <c r="K569" i="3"/>
  <c r="G569" i="3"/>
  <c r="D569" i="3"/>
  <c r="C569" i="3"/>
  <c r="M568" i="3"/>
  <c r="K568" i="3"/>
  <c r="G568" i="3"/>
  <c r="D568" i="3"/>
  <c r="C568" i="3"/>
  <c r="M567" i="3"/>
  <c r="K567" i="3"/>
  <c r="G567" i="3"/>
  <c r="D567" i="3"/>
  <c r="C567" i="3"/>
  <c r="M566" i="3"/>
  <c r="K566" i="3"/>
  <c r="G566" i="3"/>
  <c r="D566" i="3"/>
  <c r="C566" i="3"/>
  <c r="M565" i="3"/>
  <c r="K565" i="3"/>
  <c r="G565" i="3"/>
  <c r="D565" i="3"/>
  <c r="C565" i="3"/>
  <c r="M564" i="3"/>
  <c r="K564" i="3"/>
  <c r="G564" i="3"/>
  <c r="D564" i="3"/>
  <c r="C564" i="3"/>
  <c r="M563" i="3"/>
  <c r="K563" i="3"/>
  <c r="G563" i="3"/>
  <c r="D563" i="3"/>
  <c r="C563" i="3"/>
  <c r="M562" i="3"/>
  <c r="K562" i="3"/>
  <c r="G562" i="3"/>
  <c r="D562" i="3"/>
  <c r="C562" i="3"/>
  <c r="M561" i="3"/>
  <c r="K561" i="3"/>
  <c r="G561" i="3"/>
  <c r="D561" i="3"/>
  <c r="C561" i="3"/>
  <c r="M560" i="3"/>
  <c r="K560" i="3"/>
  <c r="G560" i="3"/>
  <c r="D560" i="3"/>
  <c r="C560" i="3"/>
  <c r="M559" i="3"/>
  <c r="K559" i="3"/>
  <c r="G559" i="3"/>
  <c r="D559" i="3"/>
  <c r="C559" i="3"/>
  <c r="M558" i="3"/>
  <c r="K558" i="3"/>
  <c r="G558" i="3"/>
  <c r="D558" i="3"/>
  <c r="C558" i="3"/>
  <c r="M557" i="3"/>
  <c r="K557" i="3"/>
  <c r="G557" i="3"/>
  <c r="D557" i="3"/>
  <c r="C557" i="3"/>
  <c r="M556" i="3"/>
  <c r="K556" i="3"/>
  <c r="G556" i="3"/>
  <c r="D556" i="3"/>
  <c r="C556" i="3"/>
  <c r="M555" i="3"/>
  <c r="K555" i="3"/>
  <c r="G555" i="3"/>
  <c r="D555" i="3"/>
  <c r="C555" i="3"/>
  <c r="M554" i="3"/>
  <c r="K554" i="3"/>
  <c r="G554" i="3"/>
  <c r="D554" i="3"/>
  <c r="C554" i="3"/>
  <c r="M553" i="3"/>
  <c r="K553" i="3"/>
  <c r="G553" i="3"/>
  <c r="D553" i="3"/>
  <c r="C553" i="3"/>
  <c r="M552" i="3"/>
  <c r="K552" i="3"/>
  <c r="G552" i="3"/>
  <c r="D552" i="3"/>
  <c r="C552" i="3"/>
  <c r="M551" i="3"/>
  <c r="K551" i="3"/>
  <c r="G551" i="3"/>
  <c r="D551" i="3"/>
  <c r="C551" i="3"/>
  <c r="M550" i="3"/>
  <c r="K550" i="3"/>
  <c r="G550" i="3"/>
  <c r="D550" i="3"/>
  <c r="C550" i="3"/>
  <c r="M549" i="3"/>
  <c r="K549" i="3"/>
  <c r="G549" i="3"/>
  <c r="D549" i="3"/>
  <c r="C549" i="3"/>
  <c r="M548" i="3"/>
  <c r="K548" i="3"/>
  <c r="G548" i="3"/>
  <c r="D548" i="3"/>
  <c r="C548" i="3"/>
  <c r="M547" i="3"/>
  <c r="K547" i="3"/>
  <c r="G547" i="3"/>
  <c r="D547" i="3"/>
  <c r="C547" i="3"/>
  <c r="M546" i="3"/>
  <c r="K546" i="3"/>
  <c r="G546" i="3"/>
  <c r="D546" i="3"/>
  <c r="C546" i="3"/>
  <c r="M545" i="3"/>
  <c r="K545" i="3"/>
  <c r="G545" i="3"/>
  <c r="D545" i="3"/>
  <c r="C545" i="3"/>
  <c r="M544" i="3"/>
  <c r="K544" i="3"/>
  <c r="G544" i="3"/>
  <c r="D544" i="3"/>
  <c r="C544" i="3"/>
  <c r="M543" i="3"/>
  <c r="K543" i="3"/>
  <c r="G543" i="3"/>
  <c r="D543" i="3"/>
  <c r="C543" i="3"/>
  <c r="M542" i="3"/>
  <c r="K542" i="3"/>
  <c r="G542" i="3"/>
  <c r="D542" i="3"/>
  <c r="C542" i="3"/>
  <c r="M541" i="3"/>
  <c r="K541" i="3"/>
  <c r="G541" i="3"/>
  <c r="D541" i="3"/>
  <c r="C541" i="3"/>
  <c r="M540" i="3"/>
  <c r="K540" i="3"/>
  <c r="G540" i="3"/>
  <c r="D540" i="3"/>
  <c r="C540" i="3"/>
  <c r="M539" i="3"/>
  <c r="K539" i="3"/>
  <c r="G539" i="3"/>
  <c r="D539" i="3"/>
  <c r="C539" i="3"/>
  <c r="M538" i="3"/>
  <c r="K538" i="3"/>
  <c r="G538" i="3"/>
  <c r="D538" i="3"/>
  <c r="C538" i="3"/>
  <c r="M537" i="3"/>
  <c r="K537" i="3"/>
  <c r="G537" i="3"/>
  <c r="D537" i="3"/>
  <c r="C537" i="3"/>
  <c r="M536" i="3"/>
  <c r="K536" i="3"/>
  <c r="G536" i="3"/>
  <c r="D536" i="3"/>
  <c r="C536" i="3"/>
  <c r="M535" i="3"/>
  <c r="K535" i="3"/>
  <c r="G535" i="3"/>
  <c r="D535" i="3"/>
  <c r="C535" i="3"/>
  <c r="M534" i="3"/>
  <c r="K534" i="3"/>
  <c r="G534" i="3"/>
  <c r="D534" i="3"/>
  <c r="C534" i="3"/>
  <c r="M533" i="3"/>
  <c r="K533" i="3"/>
  <c r="G533" i="3"/>
  <c r="D533" i="3"/>
  <c r="C533" i="3"/>
  <c r="M532" i="3"/>
  <c r="K532" i="3"/>
  <c r="G532" i="3"/>
  <c r="D532" i="3"/>
  <c r="C532" i="3"/>
  <c r="M531" i="3"/>
  <c r="K531" i="3"/>
  <c r="G531" i="3"/>
  <c r="D531" i="3"/>
  <c r="C531" i="3"/>
  <c r="M530" i="3"/>
  <c r="K530" i="3"/>
  <c r="G530" i="3"/>
  <c r="D530" i="3"/>
  <c r="C530" i="3"/>
  <c r="M529" i="3"/>
  <c r="K529" i="3"/>
  <c r="G529" i="3"/>
  <c r="D529" i="3"/>
  <c r="C529" i="3"/>
  <c r="M528" i="3"/>
  <c r="K528" i="3"/>
  <c r="G528" i="3"/>
  <c r="D528" i="3"/>
  <c r="C528" i="3"/>
  <c r="M527" i="3"/>
  <c r="K527" i="3"/>
  <c r="G527" i="3"/>
  <c r="D527" i="3"/>
  <c r="C527" i="3"/>
  <c r="M526" i="3"/>
  <c r="K526" i="3"/>
  <c r="G526" i="3"/>
  <c r="D526" i="3"/>
  <c r="C526" i="3"/>
  <c r="M525" i="3"/>
  <c r="K525" i="3"/>
  <c r="G525" i="3"/>
  <c r="D525" i="3"/>
  <c r="C525" i="3"/>
  <c r="M524" i="3"/>
  <c r="K524" i="3"/>
  <c r="G524" i="3"/>
  <c r="D524" i="3"/>
  <c r="C524" i="3"/>
  <c r="M523" i="3"/>
  <c r="K523" i="3"/>
  <c r="G523" i="3"/>
  <c r="D523" i="3"/>
  <c r="C523" i="3"/>
  <c r="M522" i="3"/>
  <c r="K522" i="3"/>
  <c r="G522" i="3"/>
  <c r="D522" i="3"/>
  <c r="C522" i="3"/>
  <c r="M521" i="3"/>
  <c r="K521" i="3"/>
  <c r="G521" i="3"/>
  <c r="D521" i="3"/>
  <c r="C521" i="3"/>
  <c r="M520" i="3"/>
  <c r="K520" i="3"/>
  <c r="G520" i="3"/>
  <c r="D520" i="3"/>
  <c r="C520" i="3"/>
  <c r="M519" i="3"/>
  <c r="K519" i="3"/>
  <c r="G519" i="3"/>
  <c r="D519" i="3"/>
  <c r="C519" i="3"/>
  <c r="M518" i="3"/>
  <c r="K518" i="3"/>
  <c r="G518" i="3"/>
  <c r="D518" i="3"/>
  <c r="C518" i="3"/>
  <c r="M517" i="3"/>
  <c r="K517" i="3"/>
  <c r="G517" i="3"/>
  <c r="D517" i="3"/>
  <c r="C517" i="3"/>
  <c r="M516" i="3"/>
  <c r="K516" i="3"/>
  <c r="G516" i="3"/>
  <c r="D516" i="3"/>
  <c r="C516" i="3"/>
  <c r="M515" i="3"/>
  <c r="K515" i="3"/>
  <c r="G515" i="3"/>
  <c r="D515" i="3"/>
  <c r="C515" i="3"/>
  <c r="M514" i="3"/>
  <c r="K514" i="3"/>
  <c r="G514" i="3"/>
  <c r="D514" i="3"/>
  <c r="C514" i="3"/>
  <c r="M513" i="3"/>
  <c r="K513" i="3"/>
  <c r="G513" i="3"/>
  <c r="D513" i="3"/>
  <c r="C513" i="3"/>
  <c r="M512" i="3"/>
  <c r="K512" i="3"/>
  <c r="G512" i="3"/>
  <c r="D512" i="3"/>
  <c r="C512" i="3"/>
  <c r="M511" i="3"/>
  <c r="K511" i="3"/>
  <c r="G511" i="3"/>
  <c r="D511" i="3"/>
  <c r="C511" i="3"/>
  <c r="M510" i="3"/>
  <c r="K510" i="3"/>
  <c r="G510" i="3"/>
  <c r="D510" i="3"/>
  <c r="C510" i="3"/>
  <c r="M509" i="3"/>
  <c r="K509" i="3"/>
  <c r="G509" i="3"/>
  <c r="D509" i="3"/>
  <c r="C509" i="3"/>
  <c r="M508" i="3"/>
  <c r="K508" i="3"/>
  <c r="G508" i="3"/>
  <c r="D508" i="3"/>
  <c r="C508" i="3"/>
  <c r="M507" i="3"/>
  <c r="K507" i="3"/>
  <c r="G507" i="3"/>
  <c r="D507" i="3"/>
  <c r="C507" i="3"/>
  <c r="M506" i="3"/>
  <c r="K506" i="3"/>
  <c r="G506" i="3"/>
  <c r="D506" i="3"/>
  <c r="C506" i="3"/>
  <c r="M505" i="3"/>
  <c r="K505" i="3"/>
  <c r="G505" i="3"/>
  <c r="D505" i="3"/>
  <c r="C505" i="3"/>
  <c r="M504" i="3"/>
  <c r="K504" i="3"/>
  <c r="G504" i="3"/>
  <c r="D504" i="3"/>
  <c r="C504" i="3"/>
  <c r="M503" i="3"/>
  <c r="K503" i="3"/>
  <c r="G503" i="3"/>
  <c r="D503" i="3"/>
  <c r="C503" i="3"/>
  <c r="M502" i="3"/>
  <c r="K502" i="3"/>
  <c r="G502" i="3"/>
  <c r="D502" i="3"/>
  <c r="C502" i="3"/>
  <c r="M501" i="3"/>
  <c r="K501" i="3"/>
  <c r="G501" i="3"/>
  <c r="D501" i="3"/>
  <c r="C501" i="3"/>
  <c r="M500" i="3"/>
  <c r="K500" i="3"/>
  <c r="G500" i="3"/>
  <c r="D500" i="3"/>
  <c r="C500" i="3"/>
  <c r="M499" i="3"/>
  <c r="K499" i="3"/>
  <c r="G499" i="3"/>
  <c r="D499" i="3"/>
  <c r="C499" i="3"/>
  <c r="M498" i="3"/>
  <c r="K498" i="3"/>
  <c r="G498" i="3"/>
  <c r="D498" i="3"/>
  <c r="C498" i="3"/>
  <c r="M497" i="3"/>
  <c r="K497" i="3"/>
  <c r="G497" i="3"/>
  <c r="D497" i="3"/>
  <c r="C497" i="3"/>
  <c r="M496" i="3"/>
  <c r="K496" i="3"/>
  <c r="G496" i="3"/>
  <c r="D496" i="3"/>
  <c r="C496" i="3"/>
  <c r="M495" i="3"/>
  <c r="K495" i="3"/>
  <c r="G495" i="3"/>
  <c r="D495" i="3"/>
  <c r="C495" i="3"/>
  <c r="M494" i="3"/>
  <c r="K494" i="3"/>
  <c r="G494" i="3"/>
  <c r="D494" i="3"/>
  <c r="C494" i="3"/>
  <c r="M493" i="3"/>
  <c r="K493" i="3"/>
  <c r="G493" i="3"/>
  <c r="D493" i="3"/>
  <c r="C493" i="3"/>
  <c r="M492" i="3"/>
  <c r="K492" i="3"/>
  <c r="G492" i="3"/>
  <c r="D492" i="3"/>
  <c r="C492" i="3"/>
  <c r="M491" i="3"/>
  <c r="K491" i="3"/>
  <c r="G491" i="3"/>
  <c r="D491" i="3"/>
  <c r="C491" i="3"/>
  <c r="M490" i="3"/>
  <c r="K490" i="3"/>
  <c r="G490" i="3"/>
  <c r="D490" i="3"/>
  <c r="C490" i="3"/>
  <c r="M489" i="3"/>
  <c r="K489" i="3"/>
  <c r="G489" i="3"/>
  <c r="D489" i="3"/>
  <c r="C489" i="3"/>
  <c r="M488" i="3"/>
  <c r="K488" i="3"/>
  <c r="G488" i="3"/>
  <c r="D488" i="3"/>
  <c r="C488" i="3"/>
  <c r="M487" i="3"/>
  <c r="K487" i="3"/>
  <c r="G487" i="3"/>
  <c r="D487" i="3"/>
  <c r="C487" i="3"/>
  <c r="M486" i="3"/>
  <c r="K486" i="3"/>
  <c r="G486" i="3"/>
  <c r="D486" i="3"/>
  <c r="C486" i="3"/>
  <c r="M485" i="3"/>
  <c r="K485" i="3"/>
  <c r="G485" i="3"/>
  <c r="D485" i="3"/>
  <c r="C485" i="3"/>
  <c r="M484" i="3"/>
  <c r="K484" i="3"/>
  <c r="G484" i="3"/>
  <c r="D484" i="3"/>
  <c r="C484" i="3"/>
  <c r="M483" i="3"/>
  <c r="K483" i="3"/>
  <c r="G483" i="3"/>
  <c r="D483" i="3"/>
  <c r="C483" i="3"/>
  <c r="M482" i="3"/>
  <c r="K482" i="3"/>
  <c r="G482" i="3"/>
  <c r="D482" i="3"/>
  <c r="C482" i="3"/>
  <c r="M481" i="3"/>
  <c r="K481" i="3"/>
  <c r="G481" i="3"/>
  <c r="D481" i="3"/>
  <c r="C481" i="3"/>
  <c r="M480" i="3"/>
  <c r="K480" i="3"/>
  <c r="G480" i="3"/>
  <c r="D480" i="3"/>
  <c r="C480" i="3"/>
  <c r="M479" i="3"/>
  <c r="K479" i="3"/>
  <c r="G479" i="3"/>
  <c r="D479" i="3"/>
  <c r="C479" i="3"/>
  <c r="M478" i="3"/>
  <c r="K478" i="3"/>
  <c r="G478" i="3"/>
  <c r="D478" i="3"/>
  <c r="C478" i="3"/>
  <c r="M477" i="3"/>
  <c r="K477" i="3"/>
  <c r="G477" i="3"/>
  <c r="D477" i="3"/>
  <c r="C477" i="3"/>
  <c r="M476" i="3"/>
  <c r="K476" i="3"/>
  <c r="G476" i="3"/>
  <c r="D476" i="3"/>
  <c r="C476" i="3"/>
  <c r="M475" i="3"/>
  <c r="K475" i="3"/>
  <c r="G475" i="3"/>
  <c r="D475" i="3"/>
  <c r="C475" i="3"/>
  <c r="M474" i="3"/>
  <c r="K474" i="3"/>
  <c r="G474" i="3"/>
  <c r="D474" i="3"/>
  <c r="C474" i="3"/>
  <c r="M473" i="3"/>
  <c r="K473" i="3"/>
  <c r="G473" i="3"/>
  <c r="D473" i="3"/>
  <c r="C473" i="3"/>
  <c r="M472" i="3"/>
  <c r="K472" i="3"/>
  <c r="G472" i="3"/>
  <c r="D472" i="3"/>
  <c r="C472" i="3"/>
  <c r="M471" i="3"/>
  <c r="K471" i="3"/>
  <c r="G471" i="3"/>
  <c r="D471" i="3"/>
  <c r="C471" i="3"/>
  <c r="M470" i="3"/>
  <c r="K470" i="3"/>
  <c r="G470" i="3"/>
  <c r="D470" i="3"/>
  <c r="C470" i="3"/>
  <c r="M469" i="3"/>
  <c r="K469" i="3"/>
  <c r="G469" i="3"/>
  <c r="D469" i="3"/>
  <c r="C469" i="3"/>
  <c r="M468" i="3"/>
  <c r="K468" i="3"/>
  <c r="G468" i="3"/>
  <c r="D468" i="3"/>
  <c r="C468" i="3"/>
  <c r="M467" i="3"/>
  <c r="K467" i="3"/>
  <c r="G467" i="3"/>
  <c r="D467" i="3"/>
  <c r="C467" i="3"/>
  <c r="M466" i="3"/>
  <c r="K466" i="3"/>
  <c r="G466" i="3"/>
  <c r="D466" i="3"/>
  <c r="C466" i="3"/>
  <c r="M465" i="3"/>
  <c r="K465" i="3"/>
  <c r="G465" i="3"/>
  <c r="D465" i="3"/>
  <c r="C465" i="3"/>
  <c r="M464" i="3"/>
  <c r="K464" i="3"/>
  <c r="G464" i="3"/>
  <c r="D464" i="3"/>
  <c r="C464" i="3"/>
  <c r="M463" i="3"/>
  <c r="K463" i="3"/>
  <c r="G463" i="3"/>
  <c r="D463" i="3"/>
  <c r="C463" i="3"/>
  <c r="M462" i="3"/>
  <c r="K462" i="3"/>
  <c r="G462" i="3"/>
  <c r="D462" i="3"/>
  <c r="C462" i="3"/>
  <c r="M461" i="3"/>
  <c r="K461" i="3"/>
  <c r="G461" i="3"/>
  <c r="D461" i="3"/>
  <c r="C461" i="3"/>
  <c r="M460" i="3"/>
  <c r="K460" i="3"/>
  <c r="G460" i="3"/>
  <c r="D460" i="3"/>
  <c r="C460" i="3"/>
  <c r="M459" i="3"/>
  <c r="K459" i="3"/>
  <c r="G459" i="3"/>
  <c r="D459" i="3"/>
  <c r="C459" i="3"/>
  <c r="M458" i="3"/>
  <c r="K458" i="3"/>
  <c r="G458" i="3"/>
  <c r="D458" i="3"/>
  <c r="C458" i="3"/>
  <c r="M457" i="3"/>
  <c r="K457" i="3"/>
  <c r="G457" i="3"/>
  <c r="D457" i="3"/>
  <c r="C457" i="3"/>
  <c r="M456" i="3"/>
  <c r="K456" i="3"/>
  <c r="G456" i="3"/>
  <c r="D456" i="3"/>
  <c r="C456" i="3"/>
  <c r="M455" i="3"/>
  <c r="K455" i="3"/>
  <c r="G455" i="3"/>
  <c r="D455" i="3"/>
  <c r="C455" i="3"/>
  <c r="M454" i="3"/>
  <c r="K454" i="3"/>
  <c r="G454" i="3"/>
  <c r="D454" i="3"/>
  <c r="C454" i="3"/>
  <c r="M453" i="3"/>
  <c r="K453" i="3"/>
  <c r="G453" i="3"/>
  <c r="D453" i="3"/>
  <c r="C453" i="3"/>
  <c r="M452" i="3"/>
  <c r="K452" i="3"/>
  <c r="G452" i="3"/>
  <c r="D452" i="3"/>
  <c r="C452" i="3"/>
  <c r="M451" i="3"/>
  <c r="K451" i="3"/>
  <c r="G451" i="3"/>
  <c r="D451" i="3"/>
  <c r="C451" i="3"/>
  <c r="M450" i="3"/>
  <c r="K450" i="3"/>
  <c r="G450" i="3"/>
  <c r="D450" i="3"/>
  <c r="C450" i="3"/>
  <c r="M449" i="3"/>
  <c r="K449" i="3"/>
  <c r="G449" i="3"/>
  <c r="D449" i="3"/>
  <c r="C449" i="3"/>
  <c r="M448" i="3"/>
  <c r="K448" i="3"/>
  <c r="G448" i="3"/>
  <c r="D448" i="3"/>
  <c r="C448" i="3"/>
  <c r="M447" i="3"/>
  <c r="K447" i="3"/>
  <c r="G447" i="3"/>
  <c r="D447" i="3"/>
  <c r="C447" i="3"/>
  <c r="M446" i="3"/>
  <c r="K446" i="3"/>
  <c r="G446" i="3"/>
  <c r="D446" i="3"/>
  <c r="C446" i="3"/>
  <c r="M445" i="3"/>
  <c r="K445" i="3"/>
  <c r="G445" i="3"/>
  <c r="D445" i="3"/>
  <c r="C445" i="3"/>
  <c r="M444" i="3"/>
  <c r="K444" i="3"/>
  <c r="G444" i="3"/>
  <c r="D444" i="3"/>
  <c r="C444" i="3"/>
  <c r="M443" i="3"/>
  <c r="K443" i="3"/>
  <c r="G443" i="3"/>
  <c r="D443" i="3"/>
  <c r="C443" i="3"/>
  <c r="M442" i="3"/>
  <c r="K442" i="3"/>
  <c r="G442" i="3"/>
  <c r="D442" i="3"/>
  <c r="C442" i="3"/>
  <c r="M441" i="3"/>
  <c r="K441" i="3"/>
  <c r="G441" i="3"/>
  <c r="D441" i="3"/>
  <c r="C441" i="3"/>
  <c r="M440" i="3"/>
  <c r="K440" i="3"/>
  <c r="G440" i="3"/>
  <c r="D440" i="3"/>
  <c r="C440" i="3"/>
  <c r="M439" i="3"/>
  <c r="K439" i="3"/>
  <c r="G439" i="3"/>
  <c r="D439" i="3"/>
  <c r="C439" i="3"/>
  <c r="M438" i="3"/>
  <c r="K438" i="3"/>
  <c r="G438" i="3"/>
  <c r="D438" i="3"/>
  <c r="C438" i="3"/>
  <c r="M437" i="3"/>
  <c r="K437" i="3"/>
  <c r="G437" i="3"/>
  <c r="D437" i="3"/>
  <c r="C437" i="3"/>
  <c r="M436" i="3"/>
  <c r="K436" i="3"/>
  <c r="G436" i="3"/>
  <c r="D436" i="3"/>
  <c r="C436" i="3"/>
  <c r="M435" i="3"/>
  <c r="K435" i="3"/>
  <c r="G435" i="3"/>
  <c r="D435" i="3"/>
  <c r="C435" i="3"/>
  <c r="M434" i="3"/>
  <c r="K434" i="3"/>
  <c r="G434" i="3"/>
  <c r="D434" i="3"/>
  <c r="C434" i="3"/>
  <c r="M433" i="3"/>
  <c r="K433" i="3"/>
  <c r="G433" i="3"/>
  <c r="D433" i="3"/>
  <c r="C433" i="3"/>
  <c r="M432" i="3"/>
  <c r="K432" i="3"/>
  <c r="G432" i="3"/>
  <c r="D432" i="3"/>
  <c r="C432" i="3"/>
  <c r="M431" i="3"/>
  <c r="K431" i="3"/>
  <c r="G431" i="3"/>
  <c r="D431" i="3"/>
  <c r="C431" i="3"/>
  <c r="M430" i="3"/>
  <c r="K430" i="3"/>
  <c r="G430" i="3"/>
  <c r="D430" i="3"/>
  <c r="C430" i="3"/>
  <c r="M429" i="3"/>
  <c r="K429" i="3"/>
  <c r="G429" i="3"/>
  <c r="D429" i="3"/>
  <c r="C429" i="3"/>
  <c r="M428" i="3"/>
  <c r="K428" i="3"/>
  <c r="G428" i="3"/>
  <c r="D428" i="3"/>
  <c r="C428" i="3"/>
  <c r="M427" i="3"/>
  <c r="K427" i="3"/>
  <c r="G427" i="3"/>
  <c r="D427" i="3"/>
  <c r="C427" i="3"/>
  <c r="M426" i="3"/>
  <c r="K426" i="3"/>
  <c r="G426" i="3"/>
  <c r="D426" i="3"/>
  <c r="C426" i="3"/>
  <c r="M425" i="3"/>
  <c r="K425" i="3"/>
  <c r="G425" i="3"/>
  <c r="D425" i="3"/>
  <c r="C425" i="3"/>
  <c r="M424" i="3"/>
  <c r="K424" i="3"/>
  <c r="G424" i="3"/>
  <c r="D424" i="3"/>
  <c r="C424" i="3"/>
  <c r="M423" i="3"/>
  <c r="K423" i="3"/>
  <c r="G423" i="3"/>
  <c r="D423" i="3"/>
  <c r="C423" i="3"/>
  <c r="M422" i="3"/>
  <c r="K422" i="3"/>
  <c r="G422" i="3"/>
  <c r="D422" i="3"/>
  <c r="C422" i="3"/>
  <c r="M421" i="3"/>
  <c r="K421" i="3"/>
  <c r="G421" i="3"/>
  <c r="D421" i="3"/>
  <c r="C421" i="3"/>
  <c r="M420" i="3"/>
  <c r="K420" i="3"/>
  <c r="G420" i="3"/>
  <c r="D420" i="3"/>
  <c r="C420" i="3"/>
  <c r="M419" i="3"/>
  <c r="K419" i="3"/>
  <c r="G419" i="3"/>
  <c r="D419" i="3"/>
  <c r="C419" i="3"/>
  <c r="M418" i="3"/>
  <c r="K418" i="3"/>
  <c r="G418" i="3"/>
  <c r="D418" i="3"/>
  <c r="C418" i="3"/>
  <c r="M417" i="3"/>
  <c r="K417" i="3"/>
  <c r="G417" i="3"/>
  <c r="D417" i="3"/>
  <c r="C417" i="3"/>
  <c r="M416" i="3"/>
  <c r="K416" i="3"/>
  <c r="G416" i="3"/>
  <c r="D416" i="3"/>
  <c r="C416" i="3"/>
  <c r="M415" i="3"/>
  <c r="K415" i="3"/>
  <c r="G415" i="3"/>
  <c r="D415" i="3"/>
  <c r="C415" i="3"/>
  <c r="M414" i="3"/>
  <c r="K414" i="3"/>
  <c r="G414" i="3"/>
  <c r="D414" i="3"/>
  <c r="C414" i="3"/>
  <c r="M413" i="3"/>
  <c r="K413" i="3"/>
  <c r="G413" i="3"/>
  <c r="D413" i="3"/>
  <c r="C413" i="3"/>
  <c r="M412" i="3"/>
  <c r="K412" i="3"/>
  <c r="G412" i="3"/>
  <c r="D412" i="3"/>
  <c r="C412" i="3"/>
  <c r="M411" i="3"/>
  <c r="K411" i="3"/>
  <c r="G411" i="3"/>
  <c r="D411" i="3"/>
  <c r="C411" i="3"/>
  <c r="M410" i="3"/>
  <c r="K410" i="3"/>
  <c r="G410" i="3"/>
  <c r="D410" i="3"/>
  <c r="C410" i="3"/>
  <c r="M409" i="3"/>
  <c r="K409" i="3"/>
  <c r="G409" i="3"/>
  <c r="D409" i="3"/>
  <c r="C409" i="3"/>
  <c r="M408" i="3"/>
  <c r="K408" i="3"/>
  <c r="G408" i="3"/>
  <c r="D408" i="3"/>
  <c r="C408" i="3"/>
  <c r="M407" i="3"/>
  <c r="K407" i="3"/>
  <c r="G407" i="3"/>
  <c r="D407" i="3"/>
  <c r="C407" i="3"/>
  <c r="M406" i="3"/>
  <c r="K406" i="3"/>
  <c r="G406" i="3"/>
  <c r="D406" i="3"/>
  <c r="C406" i="3"/>
  <c r="M405" i="3"/>
  <c r="K405" i="3"/>
  <c r="G405" i="3"/>
  <c r="D405" i="3"/>
  <c r="C405" i="3"/>
  <c r="M404" i="3"/>
  <c r="K404" i="3"/>
  <c r="G404" i="3"/>
  <c r="D404" i="3"/>
  <c r="C404" i="3"/>
  <c r="M403" i="3"/>
  <c r="K403" i="3"/>
  <c r="G403" i="3"/>
  <c r="D403" i="3"/>
  <c r="C403" i="3"/>
  <c r="M402" i="3"/>
  <c r="K402" i="3"/>
  <c r="G402" i="3"/>
  <c r="D402" i="3"/>
  <c r="C402" i="3"/>
  <c r="M401" i="3"/>
  <c r="K401" i="3"/>
  <c r="G401" i="3"/>
  <c r="D401" i="3"/>
  <c r="C401" i="3"/>
  <c r="M400" i="3"/>
  <c r="K400" i="3"/>
  <c r="G400" i="3"/>
  <c r="D400" i="3"/>
  <c r="C400" i="3"/>
  <c r="M399" i="3"/>
  <c r="K399" i="3"/>
  <c r="G399" i="3"/>
  <c r="D399" i="3"/>
  <c r="C399" i="3"/>
  <c r="M398" i="3"/>
  <c r="K398" i="3"/>
  <c r="G398" i="3"/>
  <c r="D398" i="3"/>
  <c r="C398" i="3"/>
  <c r="M397" i="3"/>
  <c r="K397" i="3"/>
  <c r="G397" i="3"/>
  <c r="D397" i="3"/>
  <c r="C397" i="3"/>
  <c r="M396" i="3"/>
  <c r="K396" i="3"/>
  <c r="G396" i="3"/>
  <c r="D396" i="3"/>
  <c r="C396" i="3"/>
  <c r="M395" i="3"/>
  <c r="K395" i="3"/>
  <c r="G395" i="3"/>
  <c r="D395" i="3"/>
  <c r="C395" i="3"/>
  <c r="M394" i="3"/>
  <c r="K394" i="3"/>
  <c r="G394" i="3"/>
  <c r="D394" i="3"/>
  <c r="C394" i="3"/>
  <c r="M393" i="3"/>
  <c r="K393" i="3"/>
  <c r="G393" i="3"/>
  <c r="D393" i="3"/>
  <c r="C393" i="3"/>
  <c r="M392" i="3"/>
  <c r="K392" i="3"/>
  <c r="G392" i="3"/>
  <c r="D392" i="3"/>
  <c r="C392" i="3"/>
  <c r="M391" i="3"/>
  <c r="K391" i="3"/>
  <c r="G391" i="3"/>
  <c r="D391" i="3"/>
  <c r="C391" i="3"/>
  <c r="M390" i="3"/>
  <c r="K390" i="3"/>
  <c r="G390" i="3"/>
  <c r="D390" i="3"/>
  <c r="C390" i="3"/>
  <c r="M389" i="3"/>
  <c r="K389" i="3"/>
  <c r="G389" i="3"/>
  <c r="D389" i="3"/>
  <c r="C389" i="3"/>
  <c r="M388" i="3"/>
  <c r="K388" i="3"/>
  <c r="G388" i="3"/>
  <c r="D388" i="3"/>
  <c r="C388" i="3"/>
  <c r="M387" i="3"/>
  <c r="K387" i="3"/>
  <c r="G387" i="3"/>
  <c r="D387" i="3"/>
  <c r="C387" i="3"/>
  <c r="M386" i="3"/>
  <c r="K386" i="3"/>
  <c r="G386" i="3"/>
  <c r="D386" i="3"/>
  <c r="C386" i="3"/>
  <c r="M385" i="3"/>
  <c r="K385" i="3"/>
  <c r="G385" i="3"/>
  <c r="D385" i="3"/>
  <c r="C385" i="3"/>
  <c r="M384" i="3"/>
  <c r="K384" i="3"/>
  <c r="G384" i="3"/>
  <c r="D384" i="3"/>
  <c r="C384" i="3"/>
  <c r="M383" i="3"/>
  <c r="K383" i="3"/>
  <c r="G383" i="3"/>
  <c r="D383" i="3"/>
  <c r="C383" i="3"/>
  <c r="M382" i="3"/>
  <c r="K382" i="3"/>
  <c r="G382" i="3"/>
  <c r="D382" i="3"/>
  <c r="C382" i="3"/>
  <c r="M381" i="3"/>
  <c r="K381" i="3"/>
  <c r="G381" i="3"/>
  <c r="D381" i="3"/>
  <c r="C381" i="3"/>
  <c r="M380" i="3"/>
  <c r="K380" i="3"/>
  <c r="G380" i="3"/>
  <c r="D380" i="3"/>
  <c r="C380" i="3"/>
  <c r="M379" i="3"/>
  <c r="K379" i="3"/>
  <c r="G379" i="3"/>
  <c r="D379" i="3"/>
  <c r="C379" i="3"/>
  <c r="M378" i="3"/>
  <c r="K378" i="3"/>
  <c r="G378" i="3"/>
  <c r="D378" i="3"/>
  <c r="C378" i="3"/>
  <c r="M377" i="3"/>
  <c r="K377" i="3"/>
  <c r="G377" i="3"/>
  <c r="D377" i="3"/>
  <c r="C377" i="3"/>
  <c r="M376" i="3"/>
  <c r="K376" i="3"/>
  <c r="G376" i="3"/>
  <c r="D376" i="3"/>
  <c r="C376" i="3"/>
  <c r="M375" i="3"/>
  <c r="K375" i="3"/>
  <c r="G375" i="3"/>
  <c r="D375" i="3"/>
  <c r="C375" i="3"/>
  <c r="M374" i="3"/>
  <c r="K374" i="3"/>
  <c r="G374" i="3"/>
  <c r="D374" i="3"/>
  <c r="C374" i="3"/>
  <c r="M373" i="3"/>
  <c r="K373" i="3"/>
  <c r="G373" i="3"/>
  <c r="D373" i="3"/>
  <c r="C373" i="3"/>
  <c r="M372" i="3"/>
  <c r="K372" i="3"/>
  <c r="G372" i="3"/>
  <c r="D372" i="3"/>
  <c r="C372" i="3"/>
  <c r="M371" i="3"/>
  <c r="K371" i="3"/>
  <c r="G371" i="3"/>
  <c r="D371" i="3"/>
  <c r="C371" i="3"/>
  <c r="M370" i="3"/>
  <c r="K370" i="3"/>
  <c r="G370" i="3"/>
  <c r="D370" i="3"/>
  <c r="C370" i="3"/>
  <c r="M369" i="3"/>
  <c r="K369" i="3"/>
  <c r="G369" i="3"/>
  <c r="D369" i="3"/>
  <c r="C369" i="3"/>
  <c r="M368" i="3"/>
  <c r="K368" i="3"/>
  <c r="G368" i="3"/>
  <c r="D368" i="3"/>
  <c r="C368" i="3"/>
  <c r="M367" i="3"/>
  <c r="K367" i="3"/>
  <c r="G367" i="3"/>
  <c r="D367" i="3"/>
  <c r="C367" i="3"/>
  <c r="M366" i="3"/>
  <c r="K366" i="3"/>
  <c r="G366" i="3"/>
  <c r="D366" i="3"/>
  <c r="C366" i="3"/>
  <c r="M365" i="3"/>
  <c r="K365" i="3"/>
  <c r="G365" i="3"/>
  <c r="D365" i="3"/>
  <c r="C365" i="3"/>
  <c r="M364" i="3"/>
  <c r="K364" i="3"/>
  <c r="G364" i="3"/>
  <c r="D364" i="3"/>
  <c r="C364" i="3"/>
  <c r="M363" i="3"/>
  <c r="K363" i="3"/>
  <c r="G363" i="3"/>
  <c r="D363" i="3"/>
  <c r="C363" i="3"/>
  <c r="M362" i="3"/>
  <c r="K362" i="3"/>
  <c r="G362" i="3"/>
  <c r="D362" i="3"/>
  <c r="C362" i="3"/>
  <c r="M361" i="3"/>
  <c r="K361" i="3"/>
  <c r="G361" i="3"/>
  <c r="D361" i="3"/>
  <c r="C361" i="3"/>
  <c r="M360" i="3"/>
  <c r="K360" i="3"/>
  <c r="G360" i="3"/>
  <c r="D360" i="3"/>
  <c r="C360" i="3"/>
  <c r="M359" i="3"/>
  <c r="K359" i="3"/>
  <c r="G359" i="3"/>
  <c r="D359" i="3"/>
  <c r="C359" i="3"/>
  <c r="M358" i="3"/>
  <c r="K358" i="3"/>
  <c r="G358" i="3"/>
  <c r="D358" i="3"/>
  <c r="C358" i="3"/>
  <c r="M357" i="3"/>
  <c r="K357" i="3"/>
  <c r="G357" i="3"/>
  <c r="D357" i="3"/>
  <c r="C357" i="3"/>
  <c r="M356" i="3"/>
  <c r="K356" i="3"/>
  <c r="G356" i="3"/>
  <c r="D356" i="3"/>
  <c r="C356" i="3"/>
  <c r="M355" i="3"/>
  <c r="K355" i="3"/>
  <c r="G355" i="3"/>
  <c r="D355" i="3"/>
  <c r="C355" i="3"/>
  <c r="M354" i="3"/>
  <c r="K354" i="3"/>
  <c r="G354" i="3"/>
  <c r="D354" i="3"/>
  <c r="C354" i="3"/>
  <c r="M353" i="3"/>
  <c r="K353" i="3"/>
  <c r="G353" i="3"/>
  <c r="D353" i="3"/>
  <c r="C353" i="3"/>
  <c r="M352" i="3"/>
  <c r="K352" i="3"/>
  <c r="G352" i="3"/>
  <c r="D352" i="3"/>
  <c r="C352" i="3"/>
  <c r="M351" i="3"/>
  <c r="K351" i="3"/>
  <c r="G351" i="3"/>
  <c r="D351" i="3"/>
  <c r="C351" i="3"/>
  <c r="M350" i="3"/>
  <c r="K350" i="3"/>
  <c r="G350" i="3"/>
  <c r="D350" i="3"/>
  <c r="C350" i="3"/>
  <c r="M349" i="3"/>
  <c r="K349" i="3"/>
  <c r="G349" i="3"/>
  <c r="D349" i="3"/>
  <c r="C349" i="3"/>
  <c r="M348" i="3"/>
  <c r="K348" i="3"/>
  <c r="G348" i="3"/>
  <c r="D348" i="3"/>
  <c r="C348" i="3"/>
  <c r="M347" i="3"/>
  <c r="K347" i="3"/>
  <c r="G347" i="3"/>
  <c r="D347" i="3"/>
  <c r="C347" i="3"/>
  <c r="M346" i="3"/>
  <c r="K346" i="3"/>
  <c r="G346" i="3"/>
  <c r="D346" i="3"/>
  <c r="C346" i="3"/>
  <c r="M345" i="3"/>
  <c r="K345" i="3"/>
  <c r="G345" i="3"/>
  <c r="D345" i="3"/>
  <c r="C345" i="3"/>
  <c r="M344" i="3"/>
  <c r="K344" i="3"/>
  <c r="G344" i="3"/>
  <c r="D344" i="3"/>
  <c r="C344" i="3"/>
  <c r="M343" i="3"/>
  <c r="K343" i="3"/>
  <c r="G343" i="3"/>
  <c r="D343" i="3"/>
  <c r="C343" i="3"/>
  <c r="M342" i="3"/>
  <c r="K342" i="3"/>
  <c r="G342" i="3"/>
  <c r="D342" i="3"/>
  <c r="C342" i="3"/>
  <c r="M341" i="3"/>
  <c r="K341" i="3"/>
  <c r="G341" i="3"/>
  <c r="D341" i="3"/>
  <c r="C341" i="3"/>
  <c r="M340" i="3"/>
  <c r="K340" i="3"/>
  <c r="G340" i="3"/>
  <c r="D340" i="3"/>
  <c r="C340" i="3"/>
  <c r="M339" i="3"/>
  <c r="K339" i="3"/>
  <c r="G339" i="3"/>
  <c r="D339" i="3"/>
  <c r="C339" i="3"/>
  <c r="M338" i="3"/>
  <c r="K338" i="3"/>
  <c r="G338" i="3"/>
  <c r="D338" i="3"/>
  <c r="C338" i="3"/>
  <c r="M337" i="3"/>
  <c r="K337" i="3"/>
  <c r="G337" i="3"/>
  <c r="D337" i="3"/>
  <c r="C337" i="3"/>
  <c r="M336" i="3"/>
  <c r="K336" i="3"/>
  <c r="G336" i="3"/>
  <c r="D336" i="3"/>
  <c r="C336" i="3"/>
  <c r="M335" i="3"/>
  <c r="K335" i="3"/>
  <c r="G335" i="3"/>
  <c r="D335" i="3"/>
  <c r="C335" i="3"/>
  <c r="M334" i="3"/>
  <c r="K334" i="3"/>
  <c r="G334" i="3"/>
  <c r="D334" i="3"/>
  <c r="C334" i="3"/>
  <c r="M333" i="3"/>
  <c r="K333" i="3"/>
  <c r="G333" i="3"/>
  <c r="D333" i="3"/>
  <c r="C333" i="3"/>
  <c r="M332" i="3"/>
  <c r="K332" i="3"/>
  <c r="G332" i="3"/>
  <c r="D332" i="3"/>
  <c r="C332" i="3"/>
  <c r="M331" i="3"/>
  <c r="K331" i="3"/>
  <c r="G331" i="3"/>
  <c r="D331" i="3"/>
  <c r="C331" i="3"/>
  <c r="M330" i="3"/>
  <c r="K330" i="3"/>
  <c r="G330" i="3"/>
  <c r="D330" i="3"/>
  <c r="C330" i="3"/>
  <c r="M329" i="3"/>
  <c r="K329" i="3"/>
  <c r="G329" i="3"/>
  <c r="D329" i="3"/>
  <c r="C329" i="3"/>
  <c r="M328" i="3"/>
  <c r="K328" i="3"/>
  <c r="G328" i="3"/>
  <c r="D328" i="3"/>
  <c r="C328" i="3"/>
  <c r="M327" i="3"/>
  <c r="K327" i="3"/>
  <c r="G327" i="3"/>
  <c r="D327" i="3"/>
  <c r="C327" i="3"/>
  <c r="M326" i="3"/>
  <c r="K326" i="3"/>
  <c r="G326" i="3"/>
  <c r="D326" i="3"/>
  <c r="C326" i="3"/>
  <c r="M325" i="3"/>
  <c r="K325" i="3"/>
  <c r="G325" i="3"/>
  <c r="D325" i="3"/>
  <c r="C325" i="3"/>
  <c r="M324" i="3"/>
  <c r="K324" i="3"/>
  <c r="G324" i="3"/>
  <c r="D324" i="3"/>
  <c r="C324" i="3"/>
  <c r="M323" i="3"/>
  <c r="K323" i="3"/>
  <c r="G323" i="3"/>
  <c r="D323" i="3"/>
  <c r="C323" i="3"/>
  <c r="M322" i="3"/>
  <c r="K322" i="3"/>
  <c r="G322" i="3"/>
  <c r="D322" i="3"/>
  <c r="C322" i="3"/>
  <c r="M321" i="3"/>
  <c r="K321" i="3"/>
  <c r="G321" i="3"/>
  <c r="D321" i="3"/>
  <c r="C321" i="3"/>
  <c r="M320" i="3"/>
  <c r="K320" i="3"/>
  <c r="G320" i="3"/>
  <c r="D320" i="3"/>
  <c r="C320" i="3"/>
  <c r="M319" i="3"/>
  <c r="K319" i="3"/>
  <c r="G319" i="3"/>
  <c r="D319" i="3"/>
  <c r="C319" i="3"/>
  <c r="M318" i="3"/>
  <c r="K318" i="3"/>
  <c r="G318" i="3"/>
  <c r="D318" i="3"/>
  <c r="C318" i="3"/>
  <c r="M317" i="3"/>
  <c r="K317" i="3"/>
  <c r="G317" i="3"/>
  <c r="D317" i="3"/>
  <c r="C317" i="3"/>
  <c r="M316" i="3"/>
  <c r="K316" i="3"/>
  <c r="G316" i="3"/>
  <c r="D316" i="3"/>
  <c r="C316" i="3"/>
  <c r="M315" i="3"/>
  <c r="K315" i="3"/>
  <c r="G315" i="3"/>
  <c r="D315" i="3"/>
  <c r="C315" i="3"/>
  <c r="M314" i="3"/>
  <c r="K314" i="3"/>
  <c r="G314" i="3"/>
  <c r="D314" i="3"/>
  <c r="C314" i="3"/>
  <c r="M313" i="3"/>
  <c r="K313" i="3"/>
  <c r="G313" i="3"/>
  <c r="D313" i="3"/>
  <c r="C313" i="3"/>
  <c r="M312" i="3"/>
  <c r="K312" i="3"/>
  <c r="G312" i="3"/>
  <c r="D312" i="3"/>
  <c r="C312" i="3"/>
  <c r="M311" i="3"/>
  <c r="K311" i="3"/>
  <c r="G311" i="3"/>
  <c r="D311" i="3"/>
  <c r="C311" i="3"/>
  <c r="M310" i="3"/>
  <c r="K310" i="3"/>
  <c r="G310" i="3"/>
  <c r="D310" i="3"/>
  <c r="C310" i="3"/>
  <c r="M309" i="3"/>
  <c r="K309" i="3"/>
  <c r="G309" i="3"/>
  <c r="D309" i="3"/>
  <c r="C309" i="3"/>
  <c r="M308" i="3"/>
  <c r="K308" i="3"/>
  <c r="G308" i="3"/>
  <c r="D308" i="3"/>
  <c r="C308" i="3"/>
  <c r="M307" i="3"/>
  <c r="K307" i="3"/>
  <c r="G307" i="3"/>
  <c r="D307" i="3"/>
  <c r="C307" i="3"/>
  <c r="M306" i="3"/>
  <c r="K306" i="3"/>
  <c r="G306" i="3"/>
  <c r="D306" i="3"/>
  <c r="C306" i="3"/>
  <c r="M305" i="3"/>
  <c r="K305" i="3"/>
  <c r="G305" i="3"/>
  <c r="D305" i="3"/>
  <c r="C305" i="3"/>
  <c r="M304" i="3"/>
  <c r="K304" i="3"/>
  <c r="G304" i="3"/>
  <c r="D304" i="3"/>
  <c r="C304" i="3"/>
  <c r="M303" i="3"/>
  <c r="K303" i="3"/>
  <c r="G303" i="3"/>
  <c r="D303" i="3"/>
  <c r="C303" i="3"/>
  <c r="M302" i="3"/>
  <c r="K302" i="3"/>
  <c r="G302" i="3"/>
  <c r="D302" i="3"/>
  <c r="C302" i="3"/>
  <c r="M301" i="3"/>
  <c r="K301" i="3"/>
  <c r="G301" i="3"/>
  <c r="D301" i="3"/>
  <c r="C301" i="3"/>
  <c r="M300" i="3"/>
  <c r="K300" i="3"/>
  <c r="G300" i="3"/>
  <c r="D300" i="3"/>
  <c r="C300" i="3"/>
  <c r="M299" i="3"/>
  <c r="K299" i="3"/>
  <c r="G299" i="3"/>
  <c r="D299" i="3"/>
  <c r="C299" i="3"/>
  <c r="M298" i="3"/>
  <c r="K298" i="3"/>
  <c r="G298" i="3"/>
  <c r="D298" i="3"/>
  <c r="C298" i="3"/>
  <c r="M297" i="3"/>
  <c r="K297" i="3"/>
  <c r="G297" i="3"/>
  <c r="D297" i="3"/>
  <c r="C297" i="3"/>
  <c r="M296" i="3"/>
  <c r="K296" i="3"/>
  <c r="G296" i="3"/>
  <c r="D296" i="3"/>
  <c r="C296" i="3"/>
  <c r="M295" i="3"/>
  <c r="K295" i="3"/>
  <c r="G295" i="3"/>
  <c r="D295" i="3"/>
  <c r="C295" i="3"/>
  <c r="M294" i="3"/>
  <c r="K294" i="3"/>
  <c r="G294" i="3"/>
  <c r="D294" i="3"/>
  <c r="C294" i="3"/>
  <c r="M293" i="3"/>
  <c r="K293" i="3"/>
  <c r="G293" i="3"/>
  <c r="D293" i="3"/>
  <c r="C293" i="3"/>
  <c r="M292" i="3"/>
  <c r="K292" i="3"/>
  <c r="G292" i="3"/>
  <c r="D292" i="3"/>
  <c r="C292" i="3"/>
  <c r="M291" i="3"/>
  <c r="K291" i="3"/>
  <c r="G291" i="3"/>
  <c r="D291" i="3"/>
  <c r="C291" i="3"/>
  <c r="M290" i="3"/>
  <c r="K290" i="3"/>
  <c r="G290" i="3"/>
  <c r="D290" i="3"/>
  <c r="C290" i="3"/>
  <c r="M289" i="3"/>
  <c r="K289" i="3"/>
  <c r="G289" i="3"/>
  <c r="D289" i="3"/>
  <c r="C289" i="3"/>
  <c r="M288" i="3"/>
  <c r="K288" i="3"/>
  <c r="G288" i="3"/>
  <c r="D288" i="3"/>
  <c r="C288" i="3"/>
  <c r="M287" i="3"/>
  <c r="K287" i="3"/>
  <c r="G287" i="3"/>
  <c r="D287" i="3"/>
  <c r="C287" i="3"/>
  <c r="M286" i="3"/>
  <c r="K286" i="3"/>
  <c r="G286" i="3"/>
  <c r="D286" i="3"/>
  <c r="C286" i="3"/>
  <c r="M285" i="3"/>
  <c r="K285" i="3"/>
  <c r="G285" i="3"/>
  <c r="D285" i="3"/>
  <c r="C285" i="3"/>
  <c r="M284" i="3"/>
  <c r="K284" i="3"/>
  <c r="G284" i="3"/>
  <c r="D284" i="3"/>
  <c r="C284" i="3"/>
  <c r="M283" i="3"/>
  <c r="K283" i="3"/>
  <c r="G283" i="3"/>
  <c r="D283" i="3"/>
  <c r="C283" i="3"/>
  <c r="M282" i="3"/>
  <c r="K282" i="3"/>
  <c r="G282" i="3"/>
  <c r="D282" i="3"/>
  <c r="C282" i="3"/>
  <c r="M281" i="3"/>
  <c r="K281" i="3"/>
  <c r="G281" i="3"/>
  <c r="D281" i="3"/>
  <c r="C281" i="3"/>
  <c r="M280" i="3"/>
  <c r="K280" i="3"/>
  <c r="G280" i="3"/>
  <c r="D280" i="3"/>
  <c r="C280" i="3"/>
  <c r="M279" i="3"/>
  <c r="K279" i="3"/>
  <c r="G279" i="3"/>
  <c r="D279" i="3"/>
  <c r="C279" i="3"/>
  <c r="M278" i="3"/>
  <c r="K278" i="3"/>
  <c r="G278" i="3"/>
  <c r="D278" i="3"/>
  <c r="C278" i="3"/>
  <c r="M277" i="3"/>
  <c r="K277" i="3"/>
  <c r="G277" i="3"/>
  <c r="D277" i="3"/>
  <c r="C277" i="3"/>
  <c r="M276" i="3"/>
  <c r="K276" i="3"/>
  <c r="G276" i="3"/>
  <c r="D276" i="3"/>
  <c r="C276" i="3"/>
  <c r="M275" i="3"/>
  <c r="K275" i="3"/>
  <c r="G275" i="3"/>
  <c r="D275" i="3"/>
  <c r="C275" i="3"/>
  <c r="M274" i="3"/>
  <c r="K274" i="3"/>
  <c r="G274" i="3"/>
  <c r="D274" i="3"/>
  <c r="C274" i="3"/>
  <c r="M273" i="3"/>
  <c r="K273" i="3"/>
  <c r="G273" i="3"/>
  <c r="D273" i="3"/>
  <c r="C273" i="3"/>
  <c r="M272" i="3"/>
  <c r="K272" i="3"/>
  <c r="G272" i="3"/>
  <c r="D272" i="3"/>
  <c r="C272" i="3"/>
  <c r="M271" i="3"/>
  <c r="K271" i="3"/>
  <c r="G271" i="3"/>
  <c r="D271" i="3"/>
  <c r="C271" i="3"/>
  <c r="M270" i="3"/>
  <c r="K270" i="3"/>
  <c r="G270" i="3"/>
  <c r="D270" i="3"/>
  <c r="C270" i="3"/>
  <c r="M269" i="3"/>
  <c r="K269" i="3"/>
  <c r="G269" i="3"/>
  <c r="D269" i="3"/>
  <c r="C269" i="3"/>
  <c r="M268" i="3"/>
  <c r="K268" i="3"/>
  <c r="G268" i="3"/>
  <c r="D268" i="3"/>
  <c r="C268" i="3"/>
  <c r="M267" i="3"/>
  <c r="K267" i="3"/>
  <c r="G267" i="3"/>
  <c r="D267" i="3"/>
  <c r="C267" i="3"/>
  <c r="M266" i="3"/>
  <c r="K266" i="3"/>
  <c r="G266" i="3"/>
  <c r="D266" i="3"/>
  <c r="C266" i="3"/>
  <c r="M265" i="3"/>
  <c r="K265" i="3"/>
  <c r="G265" i="3"/>
  <c r="D265" i="3"/>
  <c r="C265" i="3"/>
  <c r="M264" i="3"/>
  <c r="K264" i="3"/>
  <c r="G264" i="3"/>
  <c r="D264" i="3"/>
  <c r="C264" i="3"/>
  <c r="M263" i="3"/>
  <c r="K263" i="3"/>
  <c r="G263" i="3"/>
  <c r="D263" i="3"/>
  <c r="C263" i="3"/>
  <c r="M262" i="3"/>
  <c r="K262" i="3"/>
  <c r="G262" i="3"/>
  <c r="D262" i="3"/>
  <c r="C262" i="3"/>
  <c r="M261" i="3"/>
  <c r="K261" i="3"/>
  <c r="G261" i="3"/>
  <c r="D261" i="3"/>
  <c r="C261" i="3"/>
  <c r="M260" i="3"/>
  <c r="K260" i="3"/>
  <c r="G260" i="3"/>
  <c r="D260" i="3"/>
  <c r="C260" i="3"/>
  <c r="M259" i="3"/>
  <c r="K259" i="3"/>
  <c r="G259" i="3"/>
  <c r="D259" i="3"/>
  <c r="C259" i="3"/>
  <c r="M258" i="3"/>
  <c r="K258" i="3"/>
  <c r="G258" i="3"/>
  <c r="D258" i="3"/>
  <c r="C258" i="3"/>
  <c r="M257" i="3"/>
  <c r="K257" i="3"/>
  <c r="G257" i="3"/>
  <c r="D257" i="3"/>
  <c r="C257" i="3"/>
  <c r="M256" i="3"/>
  <c r="K256" i="3"/>
  <c r="G256" i="3"/>
  <c r="D256" i="3"/>
  <c r="C256" i="3"/>
  <c r="M255" i="3"/>
  <c r="K255" i="3"/>
  <c r="G255" i="3"/>
  <c r="D255" i="3"/>
  <c r="C255" i="3"/>
  <c r="M254" i="3"/>
  <c r="K254" i="3"/>
  <c r="G254" i="3"/>
  <c r="D254" i="3"/>
  <c r="C254" i="3"/>
  <c r="M253" i="3"/>
  <c r="K253" i="3"/>
  <c r="G253" i="3"/>
  <c r="D253" i="3"/>
  <c r="C253" i="3"/>
  <c r="M252" i="3"/>
  <c r="K252" i="3"/>
  <c r="G252" i="3"/>
  <c r="D252" i="3"/>
  <c r="C252" i="3"/>
  <c r="M251" i="3"/>
  <c r="K251" i="3"/>
  <c r="G251" i="3"/>
  <c r="D251" i="3"/>
  <c r="C251" i="3"/>
  <c r="M250" i="3"/>
  <c r="K250" i="3"/>
  <c r="G250" i="3"/>
  <c r="D250" i="3"/>
  <c r="C250" i="3"/>
  <c r="M249" i="3"/>
  <c r="K249" i="3"/>
  <c r="G249" i="3"/>
  <c r="D249" i="3"/>
  <c r="C249" i="3"/>
  <c r="M248" i="3"/>
  <c r="K248" i="3"/>
  <c r="G248" i="3"/>
  <c r="D248" i="3"/>
  <c r="C248" i="3"/>
  <c r="M247" i="3"/>
  <c r="K247" i="3"/>
  <c r="G247" i="3"/>
  <c r="D247" i="3"/>
  <c r="C247" i="3"/>
  <c r="M246" i="3"/>
  <c r="K246" i="3"/>
  <c r="G246" i="3"/>
  <c r="D246" i="3"/>
  <c r="C246" i="3"/>
  <c r="M245" i="3"/>
  <c r="K245" i="3"/>
  <c r="G245" i="3"/>
  <c r="D245" i="3"/>
  <c r="C245" i="3"/>
  <c r="M244" i="3"/>
  <c r="K244" i="3"/>
  <c r="G244" i="3"/>
  <c r="D244" i="3"/>
  <c r="C244" i="3"/>
  <c r="M243" i="3"/>
  <c r="K243" i="3"/>
  <c r="G243" i="3"/>
  <c r="D243" i="3"/>
  <c r="C243" i="3"/>
  <c r="M242" i="3"/>
  <c r="K242" i="3"/>
  <c r="G242" i="3"/>
  <c r="D242" i="3"/>
  <c r="C242" i="3"/>
  <c r="M241" i="3"/>
  <c r="K241" i="3"/>
  <c r="G241" i="3"/>
  <c r="D241" i="3"/>
  <c r="C241" i="3"/>
  <c r="M240" i="3"/>
  <c r="K240" i="3"/>
  <c r="G240" i="3"/>
  <c r="D240" i="3"/>
  <c r="C240" i="3"/>
  <c r="M239" i="3"/>
  <c r="K239" i="3"/>
  <c r="G239" i="3"/>
  <c r="D239" i="3"/>
  <c r="C239" i="3"/>
  <c r="M238" i="3"/>
  <c r="K238" i="3"/>
  <c r="G238" i="3"/>
  <c r="D238" i="3"/>
  <c r="C238" i="3"/>
  <c r="M237" i="3"/>
  <c r="K237" i="3"/>
  <c r="G237" i="3"/>
  <c r="D237" i="3"/>
  <c r="C237" i="3"/>
  <c r="M236" i="3"/>
  <c r="K236" i="3"/>
  <c r="G236" i="3"/>
  <c r="D236" i="3"/>
  <c r="C236" i="3"/>
  <c r="M235" i="3"/>
  <c r="K235" i="3"/>
  <c r="G235" i="3"/>
  <c r="D235" i="3"/>
  <c r="C235" i="3"/>
  <c r="M234" i="3"/>
  <c r="K234" i="3"/>
  <c r="G234" i="3"/>
  <c r="D234" i="3"/>
  <c r="C234" i="3"/>
  <c r="M233" i="3"/>
  <c r="K233" i="3"/>
  <c r="G233" i="3"/>
  <c r="D233" i="3"/>
  <c r="C233" i="3"/>
  <c r="M232" i="3"/>
  <c r="K232" i="3"/>
  <c r="G232" i="3"/>
  <c r="D232" i="3"/>
  <c r="C232" i="3"/>
  <c r="M231" i="3"/>
  <c r="K231" i="3"/>
  <c r="G231" i="3"/>
  <c r="D231" i="3"/>
  <c r="C231" i="3"/>
  <c r="M230" i="3"/>
  <c r="K230" i="3"/>
  <c r="G230" i="3"/>
  <c r="D230" i="3"/>
  <c r="C230" i="3"/>
  <c r="M229" i="3"/>
  <c r="K229" i="3"/>
  <c r="G229" i="3"/>
  <c r="D229" i="3"/>
  <c r="C229" i="3"/>
  <c r="M228" i="3"/>
  <c r="K228" i="3"/>
  <c r="G228" i="3"/>
  <c r="D228" i="3"/>
  <c r="C228" i="3"/>
  <c r="M227" i="3"/>
  <c r="K227" i="3"/>
  <c r="G227" i="3"/>
  <c r="D227" i="3"/>
  <c r="C227" i="3"/>
  <c r="M226" i="3"/>
  <c r="K226" i="3"/>
  <c r="G226" i="3"/>
  <c r="D226" i="3"/>
  <c r="C226" i="3"/>
  <c r="M225" i="3"/>
  <c r="K225" i="3"/>
  <c r="G225" i="3"/>
  <c r="D225" i="3"/>
  <c r="C225" i="3"/>
  <c r="M224" i="3"/>
  <c r="K224" i="3"/>
  <c r="G224" i="3"/>
  <c r="D224" i="3"/>
  <c r="C224" i="3"/>
  <c r="M223" i="3"/>
  <c r="K223" i="3"/>
  <c r="G223" i="3"/>
  <c r="D223" i="3"/>
  <c r="C223" i="3"/>
  <c r="M222" i="3"/>
  <c r="K222" i="3"/>
  <c r="G222" i="3"/>
  <c r="D222" i="3"/>
  <c r="C222" i="3"/>
  <c r="M221" i="3"/>
  <c r="K221" i="3"/>
  <c r="G221" i="3"/>
  <c r="D221" i="3"/>
  <c r="C221" i="3"/>
  <c r="M220" i="3"/>
  <c r="K220" i="3"/>
  <c r="G220" i="3"/>
  <c r="D220" i="3"/>
  <c r="C220" i="3"/>
  <c r="M219" i="3"/>
  <c r="K219" i="3"/>
  <c r="G219" i="3"/>
  <c r="D219" i="3"/>
  <c r="C219" i="3"/>
  <c r="M218" i="3"/>
  <c r="K218" i="3"/>
  <c r="G218" i="3"/>
  <c r="D218" i="3"/>
  <c r="C218" i="3"/>
  <c r="M217" i="3"/>
  <c r="K217" i="3"/>
  <c r="G217" i="3"/>
  <c r="D217" i="3"/>
  <c r="C217" i="3"/>
  <c r="M216" i="3"/>
  <c r="K216" i="3"/>
  <c r="G216" i="3"/>
  <c r="D216" i="3"/>
  <c r="C216" i="3"/>
  <c r="M215" i="3"/>
  <c r="K215" i="3"/>
  <c r="G215" i="3"/>
  <c r="D215" i="3"/>
  <c r="C215" i="3"/>
  <c r="M214" i="3"/>
  <c r="K214" i="3"/>
  <c r="G214" i="3"/>
  <c r="D214" i="3"/>
  <c r="C214" i="3"/>
  <c r="M213" i="3"/>
  <c r="K213" i="3"/>
  <c r="G213" i="3"/>
  <c r="D213" i="3"/>
  <c r="C213" i="3"/>
  <c r="M212" i="3"/>
  <c r="K212" i="3"/>
  <c r="G212" i="3"/>
  <c r="D212" i="3"/>
  <c r="C212" i="3"/>
  <c r="M211" i="3"/>
  <c r="K211" i="3"/>
  <c r="G211" i="3"/>
  <c r="D211" i="3"/>
  <c r="C211" i="3"/>
  <c r="M210" i="3"/>
  <c r="K210" i="3"/>
  <c r="G210" i="3"/>
  <c r="D210" i="3"/>
  <c r="C210" i="3"/>
  <c r="M209" i="3"/>
  <c r="K209" i="3"/>
  <c r="G209" i="3"/>
  <c r="D209" i="3"/>
  <c r="C209" i="3"/>
  <c r="M208" i="3"/>
  <c r="K208" i="3"/>
  <c r="G208" i="3"/>
  <c r="D208" i="3"/>
  <c r="C208" i="3"/>
  <c r="M207" i="3"/>
  <c r="K207" i="3"/>
  <c r="G207" i="3"/>
  <c r="D207" i="3"/>
  <c r="C207" i="3"/>
  <c r="M206" i="3"/>
  <c r="K206" i="3"/>
  <c r="G206" i="3"/>
  <c r="D206" i="3"/>
  <c r="C206" i="3"/>
  <c r="M205" i="3"/>
  <c r="K205" i="3"/>
  <c r="G205" i="3"/>
  <c r="D205" i="3"/>
  <c r="C205" i="3"/>
  <c r="M204" i="3"/>
  <c r="K204" i="3"/>
  <c r="G204" i="3"/>
  <c r="D204" i="3"/>
  <c r="C204" i="3"/>
  <c r="M203" i="3"/>
  <c r="K203" i="3"/>
  <c r="G203" i="3"/>
  <c r="D203" i="3"/>
  <c r="C203" i="3"/>
  <c r="M202" i="3"/>
  <c r="K202" i="3"/>
  <c r="G202" i="3"/>
  <c r="D202" i="3"/>
  <c r="C202" i="3"/>
  <c r="M201" i="3"/>
  <c r="K201" i="3"/>
  <c r="G201" i="3"/>
  <c r="D201" i="3"/>
  <c r="C201" i="3"/>
  <c r="M200" i="3"/>
  <c r="K200" i="3"/>
  <c r="G200" i="3"/>
  <c r="D200" i="3"/>
  <c r="C200" i="3"/>
  <c r="M199" i="3"/>
  <c r="K199" i="3"/>
  <c r="G199" i="3"/>
  <c r="D199" i="3"/>
  <c r="C199" i="3"/>
  <c r="M198" i="3"/>
  <c r="K198" i="3"/>
  <c r="G198" i="3"/>
  <c r="D198" i="3"/>
  <c r="C198" i="3"/>
  <c r="M197" i="3"/>
  <c r="K197" i="3"/>
  <c r="G197" i="3"/>
  <c r="D197" i="3"/>
  <c r="C197" i="3"/>
  <c r="M196" i="3"/>
  <c r="K196" i="3"/>
  <c r="G196" i="3"/>
  <c r="D196" i="3"/>
  <c r="C196" i="3"/>
  <c r="M195" i="3"/>
  <c r="K195" i="3"/>
  <c r="G195" i="3"/>
  <c r="D195" i="3"/>
  <c r="C195" i="3"/>
  <c r="M194" i="3"/>
  <c r="K194" i="3"/>
  <c r="G194" i="3"/>
  <c r="D194" i="3"/>
  <c r="C194" i="3"/>
  <c r="M193" i="3"/>
  <c r="K193" i="3"/>
  <c r="G193" i="3"/>
  <c r="D193" i="3"/>
  <c r="C193" i="3"/>
  <c r="M192" i="3"/>
  <c r="K192" i="3"/>
  <c r="G192" i="3"/>
  <c r="D192" i="3"/>
  <c r="C192" i="3"/>
  <c r="M191" i="3"/>
  <c r="K191" i="3"/>
  <c r="G191" i="3"/>
  <c r="D191" i="3"/>
  <c r="C191" i="3"/>
  <c r="M190" i="3"/>
  <c r="K190" i="3"/>
  <c r="G190" i="3"/>
  <c r="D190" i="3"/>
  <c r="C190" i="3"/>
  <c r="M189" i="3"/>
  <c r="K189" i="3"/>
  <c r="G189" i="3"/>
  <c r="D189" i="3"/>
  <c r="C189" i="3"/>
  <c r="M188" i="3"/>
  <c r="K188" i="3"/>
  <c r="G188" i="3"/>
  <c r="D188" i="3"/>
  <c r="C188" i="3"/>
  <c r="M187" i="3"/>
  <c r="K187" i="3"/>
  <c r="G187" i="3"/>
  <c r="D187" i="3"/>
  <c r="C187" i="3"/>
  <c r="M186" i="3"/>
  <c r="K186" i="3"/>
  <c r="G186" i="3"/>
  <c r="D186" i="3"/>
  <c r="C186" i="3"/>
  <c r="M185" i="3"/>
  <c r="K185" i="3"/>
  <c r="G185" i="3"/>
  <c r="D185" i="3"/>
  <c r="C185" i="3"/>
  <c r="M184" i="3"/>
  <c r="K184" i="3"/>
  <c r="G184" i="3"/>
  <c r="D184" i="3"/>
  <c r="C184" i="3"/>
  <c r="M183" i="3"/>
  <c r="K183" i="3"/>
  <c r="G183" i="3"/>
  <c r="D183" i="3"/>
  <c r="C183" i="3"/>
  <c r="M182" i="3"/>
  <c r="K182" i="3"/>
  <c r="G182" i="3"/>
  <c r="D182" i="3"/>
  <c r="C182" i="3"/>
  <c r="M181" i="3"/>
  <c r="K181" i="3"/>
  <c r="G181" i="3"/>
  <c r="D181" i="3"/>
  <c r="C181" i="3"/>
  <c r="M180" i="3"/>
  <c r="K180" i="3"/>
  <c r="G180" i="3"/>
  <c r="D180" i="3"/>
  <c r="C180" i="3"/>
  <c r="M179" i="3"/>
  <c r="K179" i="3"/>
  <c r="G179" i="3"/>
  <c r="D179" i="3"/>
  <c r="C179" i="3"/>
  <c r="M178" i="3"/>
  <c r="K178" i="3"/>
  <c r="G178" i="3"/>
  <c r="D178" i="3"/>
  <c r="C178" i="3"/>
  <c r="M177" i="3"/>
  <c r="K177" i="3"/>
  <c r="G177" i="3"/>
  <c r="D177" i="3"/>
  <c r="C177" i="3"/>
  <c r="M176" i="3"/>
  <c r="K176" i="3"/>
  <c r="G176" i="3"/>
  <c r="D176" i="3"/>
  <c r="C176" i="3"/>
  <c r="M175" i="3"/>
  <c r="K175" i="3"/>
  <c r="G175" i="3"/>
  <c r="D175" i="3"/>
  <c r="C175" i="3"/>
  <c r="M174" i="3"/>
  <c r="K174" i="3"/>
  <c r="G174" i="3"/>
  <c r="D174" i="3"/>
  <c r="C174" i="3"/>
  <c r="M173" i="3"/>
  <c r="K173" i="3"/>
  <c r="G173" i="3"/>
  <c r="D173" i="3"/>
  <c r="C173" i="3"/>
  <c r="M172" i="3"/>
  <c r="K172" i="3"/>
  <c r="G172" i="3"/>
  <c r="D172" i="3"/>
  <c r="C172" i="3"/>
  <c r="M171" i="3"/>
  <c r="K171" i="3"/>
  <c r="G171" i="3"/>
  <c r="D171" i="3"/>
  <c r="C171" i="3"/>
  <c r="M170" i="3"/>
  <c r="K170" i="3"/>
  <c r="G170" i="3"/>
  <c r="D170" i="3"/>
  <c r="C170" i="3"/>
  <c r="M169" i="3"/>
  <c r="K169" i="3"/>
  <c r="G169" i="3"/>
  <c r="D169" i="3"/>
  <c r="C169" i="3"/>
  <c r="M168" i="3"/>
  <c r="K168" i="3"/>
  <c r="G168" i="3"/>
  <c r="D168" i="3"/>
  <c r="C168" i="3"/>
  <c r="M167" i="3"/>
  <c r="K167" i="3"/>
  <c r="G167" i="3"/>
  <c r="D167" i="3"/>
  <c r="C167" i="3"/>
  <c r="M166" i="3"/>
  <c r="K166" i="3"/>
  <c r="G166" i="3"/>
  <c r="D166" i="3"/>
  <c r="C166" i="3"/>
  <c r="M165" i="3"/>
  <c r="K165" i="3"/>
  <c r="G165" i="3"/>
  <c r="D165" i="3"/>
  <c r="C165" i="3"/>
  <c r="M164" i="3"/>
  <c r="K164" i="3"/>
  <c r="G164" i="3"/>
  <c r="D164" i="3"/>
  <c r="C164" i="3"/>
  <c r="M163" i="3"/>
  <c r="K163" i="3"/>
  <c r="G163" i="3"/>
  <c r="D163" i="3"/>
  <c r="C163" i="3"/>
  <c r="M162" i="3"/>
  <c r="K162" i="3"/>
  <c r="G162" i="3"/>
  <c r="D162" i="3"/>
  <c r="C162" i="3"/>
  <c r="M161" i="3"/>
  <c r="K161" i="3"/>
  <c r="G161" i="3"/>
  <c r="D161" i="3"/>
  <c r="C161" i="3"/>
  <c r="M160" i="3"/>
  <c r="K160" i="3"/>
  <c r="G160" i="3"/>
  <c r="D160" i="3"/>
  <c r="C160" i="3"/>
  <c r="M159" i="3"/>
  <c r="K159" i="3"/>
  <c r="G159" i="3"/>
  <c r="D159" i="3"/>
  <c r="C159" i="3"/>
  <c r="M158" i="3"/>
  <c r="K158" i="3"/>
  <c r="G158" i="3"/>
  <c r="D158" i="3"/>
  <c r="C158" i="3"/>
  <c r="M157" i="3"/>
  <c r="K157" i="3"/>
  <c r="G157" i="3"/>
  <c r="D157" i="3"/>
  <c r="C157" i="3"/>
  <c r="M156" i="3"/>
  <c r="K156" i="3"/>
  <c r="G156" i="3"/>
  <c r="D156" i="3"/>
  <c r="C156" i="3"/>
  <c r="M155" i="3"/>
  <c r="K155" i="3"/>
  <c r="G155" i="3"/>
  <c r="D155" i="3"/>
  <c r="C155" i="3"/>
  <c r="M154" i="3"/>
  <c r="K154" i="3"/>
  <c r="G154" i="3"/>
  <c r="D154" i="3"/>
  <c r="C154" i="3"/>
  <c r="M153" i="3"/>
  <c r="K153" i="3"/>
  <c r="G153" i="3"/>
  <c r="D153" i="3"/>
  <c r="C153" i="3"/>
  <c r="M152" i="3"/>
  <c r="K152" i="3"/>
  <c r="G152" i="3"/>
  <c r="D152" i="3"/>
  <c r="C152" i="3"/>
  <c r="M151" i="3"/>
  <c r="K151" i="3"/>
  <c r="G151" i="3"/>
  <c r="D151" i="3"/>
  <c r="C151" i="3"/>
  <c r="M150" i="3"/>
  <c r="K150" i="3"/>
  <c r="G150" i="3"/>
  <c r="D150" i="3"/>
  <c r="C150" i="3"/>
  <c r="M149" i="3"/>
  <c r="K149" i="3"/>
  <c r="G149" i="3"/>
  <c r="D149" i="3"/>
  <c r="C149" i="3"/>
  <c r="M148" i="3"/>
  <c r="K148" i="3"/>
  <c r="G148" i="3"/>
  <c r="D148" i="3"/>
  <c r="C148" i="3"/>
  <c r="M147" i="3"/>
  <c r="K147" i="3"/>
  <c r="G147" i="3"/>
  <c r="D147" i="3"/>
  <c r="C147" i="3"/>
  <c r="M146" i="3"/>
  <c r="K146" i="3"/>
  <c r="G146" i="3"/>
  <c r="D146" i="3"/>
  <c r="C146" i="3"/>
  <c r="M145" i="3"/>
  <c r="K145" i="3"/>
  <c r="G145" i="3"/>
  <c r="D145" i="3"/>
  <c r="C145" i="3"/>
  <c r="M144" i="3"/>
  <c r="K144" i="3"/>
  <c r="G144" i="3"/>
  <c r="D144" i="3"/>
  <c r="C144" i="3"/>
  <c r="M143" i="3"/>
  <c r="K143" i="3"/>
  <c r="G143" i="3"/>
  <c r="D143" i="3"/>
  <c r="C143" i="3"/>
  <c r="M142" i="3"/>
  <c r="K142" i="3"/>
  <c r="G142" i="3"/>
  <c r="D142" i="3"/>
  <c r="C142" i="3"/>
  <c r="M141" i="3"/>
  <c r="K141" i="3"/>
  <c r="G141" i="3"/>
  <c r="D141" i="3"/>
  <c r="C141" i="3"/>
  <c r="M140" i="3"/>
  <c r="K140" i="3"/>
  <c r="G140" i="3"/>
  <c r="D140" i="3"/>
  <c r="C140" i="3"/>
  <c r="M139" i="3"/>
  <c r="K139" i="3"/>
  <c r="G139" i="3"/>
  <c r="D139" i="3"/>
  <c r="C139" i="3"/>
  <c r="M138" i="3"/>
  <c r="K138" i="3"/>
  <c r="G138" i="3"/>
  <c r="D138" i="3"/>
  <c r="C138" i="3"/>
  <c r="M137" i="3"/>
  <c r="K137" i="3"/>
  <c r="G137" i="3"/>
  <c r="D137" i="3"/>
  <c r="C137" i="3"/>
  <c r="M136" i="3"/>
  <c r="K136" i="3"/>
  <c r="G136" i="3"/>
  <c r="D136" i="3"/>
  <c r="C136" i="3"/>
  <c r="M135" i="3"/>
  <c r="K135" i="3"/>
  <c r="G135" i="3"/>
  <c r="D135" i="3"/>
  <c r="C135" i="3"/>
  <c r="M134" i="3"/>
  <c r="K134" i="3"/>
  <c r="G134" i="3"/>
  <c r="D134" i="3"/>
  <c r="C134" i="3"/>
  <c r="M133" i="3"/>
  <c r="K133" i="3"/>
  <c r="G133" i="3"/>
  <c r="D133" i="3"/>
  <c r="C133" i="3"/>
  <c r="M132" i="3"/>
  <c r="K132" i="3"/>
  <c r="G132" i="3"/>
  <c r="D132" i="3"/>
  <c r="C132" i="3"/>
  <c r="M131" i="3"/>
  <c r="K131" i="3"/>
  <c r="G131" i="3"/>
  <c r="D131" i="3"/>
  <c r="C131" i="3"/>
  <c r="M130" i="3"/>
  <c r="K130" i="3"/>
  <c r="G130" i="3"/>
  <c r="D130" i="3"/>
  <c r="C130" i="3"/>
  <c r="M129" i="3"/>
  <c r="K129" i="3"/>
  <c r="G129" i="3"/>
  <c r="D129" i="3"/>
  <c r="C129" i="3"/>
  <c r="M128" i="3"/>
  <c r="K128" i="3"/>
  <c r="G128" i="3"/>
  <c r="D128" i="3"/>
  <c r="C128" i="3"/>
  <c r="M127" i="3"/>
  <c r="K127" i="3"/>
  <c r="G127" i="3"/>
  <c r="D127" i="3"/>
  <c r="C127" i="3"/>
  <c r="M126" i="3"/>
  <c r="K126" i="3"/>
  <c r="G126" i="3"/>
  <c r="D126" i="3"/>
  <c r="C126" i="3"/>
  <c r="M125" i="3"/>
  <c r="K125" i="3"/>
  <c r="G125" i="3"/>
  <c r="D125" i="3"/>
  <c r="C125" i="3"/>
  <c r="M124" i="3"/>
  <c r="K124" i="3"/>
  <c r="G124" i="3"/>
  <c r="D124" i="3"/>
  <c r="C124" i="3"/>
  <c r="M123" i="3"/>
  <c r="K123" i="3"/>
  <c r="G123" i="3"/>
  <c r="D123" i="3"/>
  <c r="C123" i="3"/>
  <c r="M122" i="3"/>
  <c r="K122" i="3"/>
  <c r="G122" i="3"/>
  <c r="D122" i="3"/>
  <c r="C122" i="3"/>
  <c r="M121" i="3"/>
  <c r="K121" i="3"/>
  <c r="G121" i="3"/>
  <c r="D121" i="3"/>
  <c r="C121" i="3"/>
  <c r="M120" i="3"/>
  <c r="K120" i="3"/>
  <c r="G120" i="3"/>
  <c r="D120" i="3"/>
  <c r="C120" i="3"/>
  <c r="M119" i="3"/>
  <c r="K119" i="3"/>
  <c r="G119" i="3"/>
  <c r="D119" i="3"/>
  <c r="C119" i="3"/>
  <c r="M118" i="3"/>
  <c r="K118" i="3"/>
  <c r="G118" i="3"/>
  <c r="D118" i="3"/>
  <c r="C118" i="3"/>
  <c r="M117" i="3"/>
  <c r="K117" i="3"/>
  <c r="G117" i="3"/>
  <c r="D117" i="3"/>
  <c r="C117" i="3"/>
  <c r="M116" i="3"/>
  <c r="K116" i="3"/>
  <c r="G116" i="3"/>
  <c r="D116" i="3"/>
  <c r="C116" i="3"/>
  <c r="M115" i="3"/>
  <c r="K115" i="3"/>
  <c r="G115" i="3"/>
  <c r="D115" i="3"/>
  <c r="C115" i="3"/>
  <c r="M114" i="3"/>
  <c r="K114" i="3"/>
  <c r="G114" i="3"/>
  <c r="D114" i="3"/>
  <c r="C114" i="3"/>
  <c r="M113" i="3"/>
  <c r="K113" i="3"/>
  <c r="G113" i="3"/>
  <c r="D113" i="3"/>
  <c r="C113" i="3"/>
  <c r="M112" i="3"/>
  <c r="K112" i="3"/>
  <c r="G112" i="3"/>
  <c r="D112" i="3"/>
  <c r="C112" i="3"/>
  <c r="M111" i="3"/>
  <c r="K111" i="3"/>
  <c r="G111" i="3"/>
  <c r="D111" i="3"/>
  <c r="C111" i="3"/>
  <c r="M110" i="3"/>
  <c r="K110" i="3"/>
  <c r="G110" i="3"/>
  <c r="D110" i="3"/>
  <c r="C110" i="3"/>
  <c r="M109" i="3"/>
  <c r="K109" i="3"/>
  <c r="G109" i="3"/>
  <c r="D109" i="3"/>
  <c r="C109" i="3"/>
  <c r="M108" i="3"/>
  <c r="K108" i="3"/>
  <c r="G108" i="3"/>
  <c r="D108" i="3"/>
  <c r="C108" i="3"/>
  <c r="M107" i="3"/>
  <c r="K107" i="3"/>
  <c r="G107" i="3"/>
  <c r="D107" i="3"/>
  <c r="C107" i="3"/>
  <c r="M106" i="3"/>
  <c r="K106" i="3"/>
  <c r="G106" i="3"/>
  <c r="D106" i="3"/>
  <c r="C106" i="3"/>
  <c r="M105" i="3"/>
  <c r="K105" i="3"/>
  <c r="G105" i="3"/>
  <c r="D105" i="3"/>
  <c r="C105" i="3"/>
  <c r="M104" i="3"/>
  <c r="K104" i="3"/>
  <c r="G104" i="3"/>
  <c r="D104" i="3"/>
  <c r="C104" i="3"/>
  <c r="M103" i="3"/>
  <c r="K103" i="3"/>
  <c r="G103" i="3"/>
  <c r="D103" i="3"/>
  <c r="C103" i="3"/>
  <c r="M102" i="3"/>
  <c r="K102" i="3"/>
  <c r="G102" i="3"/>
  <c r="D102" i="3"/>
  <c r="C102" i="3"/>
  <c r="M101" i="3"/>
  <c r="K101" i="3"/>
  <c r="G101" i="3"/>
  <c r="D101" i="3"/>
  <c r="C101" i="3"/>
  <c r="M100" i="3"/>
  <c r="K100" i="3"/>
  <c r="G100" i="3"/>
  <c r="D100" i="3"/>
  <c r="C100" i="3"/>
  <c r="M99" i="3"/>
  <c r="K99" i="3"/>
  <c r="G99" i="3"/>
  <c r="D99" i="3"/>
  <c r="C99" i="3"/>
  <c r="M98" i="3"/>
  <c r="K98" i="3"/>
  <c r="G98" i="3"/>
  <c r="D98" i="3"/>
  <c r="C98" i="3"/>
  <c r="M97" i="3"/>
  <c r="K97" i="3"/>
  <c r="G97" i="3"/>
  <c r="D97" i="3"/>
  <c r="C97" i="3"/>
  <c r="M96" i="3"/>
  <c r="K96" i="3"/>
  <c r="G96" i="3"/>
  <c r="D96" i="3"/>
  <c r="C96" i="3"/>
  <c r="M95" i="3"/>
  <c r="K95" i="3"/>
  <c r="G95" i="3"/>
  <c r="D95" i="3"/>
  <c r="C95" i="3"/>
  <c r="M94" i="3"/>
  <c r="K94" i="3"/>
  <c r="G94" i="3"/>
  <c r="D94" i="3"/>
  <c r="C94" i="3"/>
  <c r="M93" i="3"/>
  <c r="K93" i="3"/>
  <c r="G93" i="3"/>
  <c r="D93" i="3"/>
  <c r="C93" i="3"/>
  <c r="M92" i="3"/>
  <c r="K92" i="3"/>
  <c r="G92" i="3"/>
  <c r="D92" i="3"/>
  <c r="C92" i="3"/>
  <c r="M91" i="3"/>
  <c r="K91" i="3"/>
  <c r="G91" i="3"/>
  <c r="D91" i="3"/>
  <c r="C91" i="3"/>
  <c r="M90" i="3"/>
  <c r="K90" i="3"/>
  <c r="G90" i="3"/>
  <c r="D90" i="3"/>
  <c r="C90" i="3"/>
  <c r="M89" i="3"/>
  <c r="K89" i="3"/>
  <c r="G89" i="3"/>
  <c r="D89" i="3"/>
  <c r="C89" i="3"/>
  <c r="M88" i="3"/>
  <c r="K88" i="3"/>
  <c r="G88" i="3"/>
  <c r="D88" i="3"/>
  <c r="C88" i="3"/>
  <c r="M87" i="3"/>
  <c r="K87" i="3"/>
  <c r="G87" i="3"/>
  <c r="D87" i="3"/>
  <c r="C87" i="3"/>
  <c r="M86" i="3"/>
  <c r="K86" i="3"/>
  <c r="G86" i="3"/>
  <c r="D86" i="3"/>
  <c r="C86" i="3"/>
  <c r="M85" i="3"/>
  <c r="K85" i="3"/>
  <c r="G85" i="3"/>
  <c r="D85" i="3"/>
  <c r="C85" i="3"/>
  <c r="M84" i="3"/>
  <c r="K84" i="3"/>
  <c r="G84" i="3"/>
  <c r="D84" i="3"/>
  <c r="C84" i="3"/>
  <c r="M83" i="3"/>
  <c r="K83" i="3"/>
  <c r="G83" i="3"/>
  <c r="D83" i="3"/>
  <c r="C83" i="3"/>
  <c r="M82" i="3"/>
  <c r="K82" i="3"/>
  <c r="G82" i="3"/>
  <c r="D82" i="3"/>
  <c r="C82" i="3"/>
  <c r="M81" i="3"/>
  <c r="K81" i="3"/>
  <c r="G81" i="3"/>
  <c r="D81" i="3"/>
  <c r="C81" i="3"/>
  <c r="M80" i="3"/>
  <c r="K80" i="3"/>
  <c r="G80" i="3"/>
  <c r="D80" i="3"/>
  <c r="C80" i="3"/>
  <c r="M79" i="3"/>
  <c r="K79" i="3"/>
  <c r="G79" i="3"/>
  <c r="D79" i="3"/>
  <c r="C79" i="3"/>
  <c r="M78" i="3"/>
  <c r="K78" i="3"/>
  <c r="G78" i="3"/>
  <c r="D78" i="3"/>
  <c r="C78" i="3"/>
  <c r="M77" i="3"/>
  <c r="K77" i="3"/>
  <c r="G77" i="3"/>
  <c r="D77" i="3"/>
  <c r="C77" i="3"/>
  <c r="M76" i="3"/>
  <c r="K76" i="3"/>
  <c r="G76" i="3"/>
  <c r="D76" i="3"/>
  <c r="C76" i="3"/>
  <c r="M75" i="3"/>
  <c r="K75" i="3"/>
  <c r="G75" i="3"/>
  <c r="D75" i="3"/>
  <c r="C75" i="3"/>
  <c r="M74" i="3"/>
  <c r="K74" i="3"/>
  <c r="G74" i="3"/>
  <c r="D74" i="3"/>
  <c r="C74" i="3"/>
  <c r="M73" i="3"/>
  <c r="K73" i="3"/>
  <c r="G73" i="3"/>
  <c r="D73" i="3"/>
  <c r="C73" i="3"/>
  <c r="M72" i="3"/>
  <c r="K72" i="3"/>
  <c r="G72" i="3"/>
  <c r="D72" i="3"/>
  <c r="C72" i="3"/>
  <c r="M71" i="3"/>
  <c r="K71" i="3"/>
  <c r="G71" i="3"/>
  <c r="D71" i="3"/>
  <c r="C71" i="3"/>
  <c r="M70" i="3"/>
  <c r="K70" i="3"/>
  <c r="G70" i="3"/>
  <c r="D70" i="3"/>
  <c r="C70" i="3"/>
  <c r="M69" i="3"/>
  <c r="K69" i="3"/>
  <c r="G69" i="3"/>
  <c r="D69" i="3"/>
  <c r="C69" i="3"/>
  <c r="M68" i="3"/>
  <c r="K68" i="3"/>
  <c r="G68" i="3"/>
  <c r="D68" i="3"/>
  <c r="C68" i="3"/>
  <c r="M67" i="3"/>
  <c r="K67" i="3"/>
  <c r="G67" i="3"/>
  <c r="D67" i="3"/>
  <c r="C67" i="3"/>
  <c r="M66" i="3"/>
  <c r="K66" i="3"/>
  <c r="G66" i="3"/>
  <c r="D66" i="3"/>
  <c r="C66" i="3"/>
  <c r="M65" i="3"/>
  <c r="K65" i="3"/>
  <c r="G65" i="3"/>
  <c r="D65" i="3"/>
  <c r="C65" i="3"/>
  <c r="M64" i="3"/>
  <c r="K64" i="3"/>
  <c r="G64" i="3"/>
  <c r="D64" i="3"/>
  <c r="C64" i="3"/>
  <c r="M63" i="3"/>
  <c r="K63" i="3"/>
  <c r="G63" i="3"/>
  <c r="D63" i="3"/>
  <c r="C63" i="3"/>
  <c r="M62" i="3"/>
  <c r="K62" i="3"/>
  <c r="G62" i="3"/>
  <c r="D62" i="3"/>
  <c r="C62" i="3"/>
  <c r="M61" i="3"/>
  <c r="K61" i="3"/>
  <c r="G61" i="3"/>
  <c r="D61" i="3"/>
  <c r="C61" i="3"/>
  <c r="M60" i="3"/>
  <c r="K60" i="3"/>
  <c r="G60" i="3"/>
  <c r="D60" i="3"/>
  <c r="C60" i="3"/>
  <c r="M59" i="3"/>
  <c r="K59" i="3"/>
  <c r="G59" i="3"/>
  <c r="D59" i="3"/>
  <c r="C59" i="3"/>
  <c r="M58" i="3"/>
  <c r="K58" i="3"/>
  <c r="G58" i="3"/>
  <c r="D58" i="3"/>
  <c r="C58" i="3"/>
  <c r="M57" i="3"/>
  <c r="K57" i="3"/>
  <c r="G57" i="3"/>
  <c r="D57" i="3"/>
  <c r="C57" i="3"/>
  <c r="M56" i="3"/>
  <c r="K56" i="3"/>
  <c r="G56" i="3"/>
  <c r="D56" i="3"/>
  <c r="C56" i="3"/>
  <c r="M55" i="3"/>
  <c r="K55" i="3"/>
  <c r="G55" i="3"/>
  <c r="D55" i="3"/>
  <c r="C55" i="3"/>
  <c r="M54" i="3"/>
  <c r="K54" i="3"/>
  <c r="G54" i="3"/>
  <c r="D54" i="3"/>
  <c r="C54" i="3"/>
  <c r="M53" i="3"/>
  <c r="K53" i="3"/>
  <c r="G53" i="3"/>
  <c r="D53" i="3"/>
  <c r="C53" i="3"/>
  <c r="M52" i="3"/>
  <c r="K52" i="3"/>
  <c r="G52" i="3"/>
  <c r="D52" i="3"/>
  <c r="C52" i="3"/>
  <c r="M51" i="3"/>
  <c r="K51" i="3"/>
  <c r="G51" i="3"/>
  <c r="D51" i="3"/>
  <c r="C51" i="3"/>
  <c r="M50" i="3"/>
  <c r="K50" i="3"/>
  <c r="G50" i="3"/>
  <c r="D50" i="3"/>
  <c r="C50" i="3"/>
  <c r="M49" i="3"/>
  <c r="K49" i="3"/>
  <c r="G49" i="3"/>
  <c r="D49" i="3"/>
  <c r="C49" i="3"/>
  <c r="M48" i="3"/>
  <c r="K48" i="3"/>
  <c r="G48" i="3"/>
  <c r="D48" i="3"/>
  <c r="C48" i="3"/>
  <c r="M47" i="3"/>
  <c r="K47" i="3"/>
  <c r="G47" i="3"/>
  <c r="D47" i="3"/>
  <c r="C47" i="3"/>
  <c r="M46" i="3"/>
  <c r="K46" i="3"/>
  <c r="G46" i="3"/>
  <c r="D46" i="3"/>
  <c r="C46" i="3"/>
  <c r="M45" i="3"/>
  <c r="K45" i="3"/>
  <c r="G45" i="3"/>
  <c r="D45" i="3"/>
  <c r="C45" i="3"/>
  <c r="M44" i="3"/>
  <c r="K44" i="3"/>
  <c r="G44" i="3"/>
  <c r="D44" i="3"/>
  <c r="C44" i="3"/>
  <c r="M43" i="3"/>
  <c r="K43" i="3"/>
  <c r="G43" i="3"/>
  <c r="D43" i="3"/>
  <c r="C43" i="3"/>
  <c r="M42" i="3"/>
  <c r="K42" i="3"/>
  <c r="G42" i="3"/>
  <c r="D42" i="3"/>
  <c r="C42" i="3"/>
  <c r="M41" i="3"/>
  <c r="K41" i="3"/>
  <c r="G41" i="3"/>
  <c r="D41" i="3"/>
  <c r="C41" i="3"/>
  <c r="M40" i="3"/>
  <c r="K40" i="3"/>
  <c r="G40" i="3"/>
  <c r="D40" i="3"/>
  <c r="C40" i="3"/>
  <c r="M39" i="3"/>
  <c r="K39" i="3"/>
  <c r="G39" i="3"/>
  <c r="D39" i="3"/>
  <c r="C39" i="3"/>
  <c r="M38" i="3"/>
  <c r="K38" i="3"/>
  <c r="G38" i="3"/>
  <c r="D38" i="3"/>
  <c r="C38" i="3"/>
  <c r="M37" i="3"/>
  <c r="K37" i="3"/>
  <c r="G37" i="3"/>
  <c r="D37" i="3"/>
  <c r="C37" i="3"/>
  <c r="M36" i="3"/>
  <c r="K36" i="3"/>
  <c r="G36" i="3"/>
  <c r="D36" i="3"/>
  <c r="C36" i="3"/>
  <c r="M35" i="3"/>
  <c r="K35" i="3"/>
  <c r="G35" i="3"/>
  <c r="D35" i="3"/>
  <c r="C35" i="3"/>
  <c r="M34" i="3"/>
  <c r="K34" i="3"/>
  <c r="G34" i="3"/>
  <c r="D34" i="3"/>
  <c r="C34" i="3"/>
  <c r="M33" i="3"/>
  <c r="K33" i="3"/>
  <c r="G33" i="3"/>
  <c r="D33" i="3"/>
  <c r="C33" i="3"/>
  <c r="M32" i="3"/>
  <c r="K32" i="3"/>
  <c r="G32" i="3"/>
  <c r="D32" i="3"/>
  <c r="C32" i="3"/>
  <c r="M31" i="3"/>
  <c r="K31" i="3"/>
  <c r="G31" i="3"/>
  <c r="D31" i="3"/>
  <c r="C31" i="3"/>
  <c r="M30" i="3"/>
  <c r="K30" i="3"/>
  <c r="G30" i="3"/>
  <c r="D30" i="3"/>
  <c r="C30" i="3"/>
  <c r="M29" i="3"/>
  <c r="K29" i="3"/>
  <c r="G29" i="3"/>
  <c r="D29" i="3"/>
  <c r="C29" i="3"/>
  <c r="M28" i="3"/>
  <c r="K28" i="3"/>
  <c r="G28" i="3"/>
  <c r="D28" i="3"/>
  <c r="C28" i="3"/>
  <c r="M27" i="3"/>
  <c r="K27" i="3"/>
  <c r="G27" i="3"/>
  <c r="D27" i="3"/>
  <c r="C27" i="3"/>
  <c r="M26" i="3"/>
  <c r="K26" i="3"/>
  <c r="G26" i="3"/>
  <c r="D26" i="3"/>
  <c r="C26" i="3"/>
  <c r="M25" i="3"/>
  <c r="K25" i="3"/>
  <c r="G25" i="3"/>
  <c r="D25" i="3"/>
  <c r="C25" i="3"/>
  <c r="M24" i="3"/>
  <c r="K24" i="3"/>
  <c r="G24" i="3"/>
  <c r="D24" i="3"/>
  <c r="C24" i="3"/>
  <c r="M23" i="3"/>
  <c r="K23" i="3"/>
  <c r="G23" i="3"/>
  <c r="D23" i="3"/>
  <c r="C23" i="3"/>
  <c r="M22" i="3"/>
  <c r="K22" i="3"/>
  <c r="G22" i="3"/>
  <c r="D22" i="3"/>
  <c r="C22" i="3"/>
  <c r="M21" i="3"/>
  <c r="K21" i="3"/>
  <c r="G21" i="3"/>
  <c r="D21" i="3"/>
  <c r="C21" i="3"/>
  <c r="M20" i="3"/>
  <c r="K20" i="3"/>
  <c r="G20" i="3"/>
  <c r="D20" i="3"/>
  <c r="C20" i="3"/>
  <c r="M19" i="3"/>
  <c r="K19" i="3"/>
  <c r="G19" i="3"/>
  <c r="D19" i="3"/>
  <c r="C19" i="3"/>
  <c r="M18" i="3"/>
  <c r="K18" i="3"/>
  <c r="G18" i="3"/>
  <c r="D18" i="3"/>
  <c r="C18" i="3"/>
  <c r="M17" i="3"/>
  <c r="K17" i="3"/>
  <c r="G17" i="3"/>
  <c r="D17" i="3"/>
  <c r="C17" i="3"/>
  <c r="M16" i="3"/>
  <c r="K16" i="3"/>
  <c r="G16" i="3"/>
  <c r="D16" i="3"/>
  <c r="C16" i="3"/>
  <c r="M15" i="3"/>
  <c r="K15" i="3"/>
  <c r="G15" i="3"/>
  <c r="D15" i="3"/>
  <c r="C15" i="3"/>
  <c r="M14" i="3"/>
  <c r="K14" i="3"/>
  <c r="G14" i="3"/>
  <c r="D14" i="3"/>
  <c r="C14" i="3"/>
  <c r="M13" i="3"/>
  <c r="K13" i="3"/>
  <c r="G13" i="3"/>
  <c r="D13" i="3"/>
  <c r="C13" i="3"/>
  <c r="M12" i="3"/>
  <c r="K12" i="3"/>
  <c r="G12" i="3"/>
  <c r="D12" i="3"/>
  <c r="C12" i="3"/>
  <c r="M11" i="3"/>
  <c r="K11" i="3"/>
  <c r="G11" i="3"/>
  <c r="D11" i="3"/>
  <c r="C11" i="3"/>
  <c r="M10" i="3"/>
  <c r="K10" i="3"/>
  <c r="G10" i="3"/>
  <c r="D10" i="3"/>
  <c r="C10" i="3"/>
  <c r="M9" i="3"/>
  <c r="K9" i="3"/>
  <c r="G9" i="3"/>
  <c r="D9" i="3"/>
  <c r="C9" i="3"/>
  <c r="M8" i="3"/>
  <c r="K8" i="3"/>
  <c r="G8" i="3"/>
  <c r="D8" i="3"/>
  <c r="C8" i="3"/>
  <c r="M7" i="3"/>
  <c r="K7" i="3"/>
  <c r="G7" i="3"/>
  <c r="D7" i="3"/>
  <c r="C7" i="3"/>
  <c r="M6" i="3"/>
  <c r="K6" i="3"/>
  <c r="G6" i="3"/>
  <c r="D6" i="3"/>
  <c r="C6" i="3"/>
  <c r="M5" i="3"/>
  <c r="K5" i="3"/>
  <c r="G5" i="3"/>
  <c r="D5" i="3"/>
  <c r="C5" i="3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B18" i="5" l="1"/>
  <c r="K18" i="5" s="1"/>
  <c r="K6" i="5"/>
  <c r="M65" i="4"/>
  <c r="E65" i="4"/>
  <c r="L65" i="4"/>
  <c r="J65" i="4"/>
  <c r="K65" i="4"/>
  <c r="F65" i="4"/>
  <c r="B65" i="4"/>
  <c r="G65" i="4"/>
  <c r="C65" i="4"/>
  <c r="I65" i="4"/>
  <c r="D65" i="4"/>
  <c r="H65" i="4"/>
  <c r="O65" i="4"/>
  <c r="N65" i="4"/>
  <c r="D64" i="4"/>
  <c r="C64" i="4"/>
  <c r="B64" i="4"/>
  <c r="M64" i="4"/>
  <c r="L64" i="4"/>
  <c r="K64" i="4"/>
  <c r="J64" i="4"/>
  <c r="O64" i="4" s="1"/>
  <c r="I64" i="4"/>
  <c r="G64" i="4"/>
  <c r="F64" i="4"/>
  <c r="E64" i="4"/>
  <c r="M63" i="4"/>
  <c r="L63" i="4"/>
  <c r="K63" i="4"/>
  <c r="J63" i="4"/>
  <c r="O63" i="4" s="1"/>
  <c r="I63" i="4"/>
  <c r="G63" i="4"/>
  <c r="F63" i="4"/>
  <c r="E63" i="4"/>
  <c r="D63" i="4"/>
  <c r="C63" i="4"/>
  <c r="B63" i="4"/>
  <c r="L62" i="4"/>
  <c r="K62" i="4"/>
  <c r="J62" i="4"/>
  <c r="G62" i="4"/>
  <c r="M62" i="4"/>
  <c r="I62" i="4"/>
  <c r="B62" i="4"/>
  <c r="D62" i="4"/>
  <c r="C62" i="4"/>
  <c r="E62" i="4"/>
  <c r="H62" i="4" s="1"/>
  <c r="F62" i="4"/>
  <c r="O62" i="4"/>
  <c r="N62" i="4"/>
  <c r="M61" i="4"/>
  <c r="L61" i="4"/>
  <c r="K61" i="4"/>
  <c r="J61" i="4"/>
  <c r="I61" i="4"/>
  <c r="G61" i="4"/>
  <c r="F61" i="4"/>
  <c r="E61" i="4"/>
  <c r="H61" i="4" s="1"/>
  <c r="D61" i="4"/>
  <c r="C61" i="4"/>
  <c r="B61" i="4"/>
  <c r="O61" i="4"/>
  <c r="N61" i="4"/>
  <c r="C60" i="4"/>
  <c r="M60" i="4"/>
  <c r="L60" i="4"/>
  <c r="K60" i="4"/>
  <c r="J60" i="4"/>
  <c r="O60" i="4" s="1"/>
  <c r="I60" i="4"/>
  <c r="G60" i="4"/>
  <c r="F60" i="4"/>
  <c r="E60" i="4"/>
  <c r="D60" i="4"/>
  <c r="B60" i="4"/>
  <c r="M59" i="4"/>
  <c r="L59" i="4"/>
  <c r="K59" i="4"/>
  <c r="J59" i="4"/>
  <c r="I59" i="4"/>
  <c r="G59" i="4"/>
  <c r="F59" i="4"/>
  <c r="E59" i="4"/>
  <c r="H59" i="4" s="1"/>
  <c r="D59" i="4"/>
  <c r="C59" i="4"/>
  <c r="B59" i="4"/>
  <c r="O59" i="4"/>
  <c r="N59" i="4"/>
  <c r="M58" i="4"/>
  <c r="L58" i="4"/>
  <c r="K58" i="4"/>
  <c r="J58" i="4"/>
  <c r="O58" i="4" s="1"/>
  <c r="I58" i="4"/>
  <c r="H58" i="4"/>
  <c r="G58" i="4"/>
  <c r="F58" i="4"/>
  <c r="E58" i="4"/>
  <c r="D58" i="4"/>
  <c r="C58" i="4"/>
  <c r="B58" i="4"/>
  <c r="N58" i="4"/>
  <c r="M57" i="4"/>
  <c r="L57" i="4"/>
  <c r="K57" i="4"/>
  <c r="J57" i="4"/>
  <c r="O57" i="4" s="1"/>
  <c r="I57" i="4"/>
  <c r="G57" i="4"/>
  <c r="F57" i="4"/>
  <c r="E57" i="4"/>
  <c r="D57" i="4"/>
  <c r="C57" i="4"/>
  <c r="B57" i="4"/>
  <c r="B56" i="4"/>
  <c r="C56" i="4"/>
  <c r="D56" i="4"/>
  <c r="E56" i="4"/>
  <c r="F56" i="4"/>
  <c r="G56" i="4"/>
  <c r="M56" i="4"/>
  <c r="H56" i="4"/>
  <c r="I56" i="4"/>
  <c r="J56" i="4"/>
  <c r="K56" i="4"/>
  <c r="L56" i="4"/>
  <c r="O56" i="4"/>
  <c r="N56" i="4"/>
  <c r="G55" i="4"/>
  <c r="M55" i="4"/>
  <c r="L55" i="4"/>
  <c r="K55" i="4"/>
  <c r="J55" i="4"/>
  <c r="O55" i="4" s="1"/>
  <c r="I55" i="4"/>
  <c r="F55" i="4"/>
  <c r="E55" i="4"/>
  <c r="D55" i="4"/>
  <c r="C55" i="4"/>
  <c r="B55" i="4"/>
  <c r="F54" i="4"/>
  <c r="B54" i="4"/>
  <c r="C54" i="4"/>
  <c r="E54" i="4"/>
  <c r="G54" i="4"/>
  <c r="H54" i="4"/>
  <c r="L54" i="4"/>
  <c r="I54" i="4"/>
  <c r="J54" i="4"/>
  <c r="K54" i="4"/>
  <c r="D54" i="4"/>
  <c r="M54" i="4"/>
  <c r="O54" i="4"/>
  <c r="N54" i="4"/>
  <c r="M53" i="4"/>
  <c r="L53" i="4"/>
  <c r="K53" i="4"/>
  <c r="J53" i="4"/>
  <c r="I53" i="4"/>
  <c r="G53" i="4"/>
  <c r="F53" i="4"/>
  <c r="E53" i="4"/>
  <c r="H53" i="4" s="1"/>
  <c r="D53" i="4"/>
  <c r="C53" i="4"/>
  <c r="B53" i="4"/>
  <c r="O53" i="4"/>
  <c r="N53" i="4"/>
  <c r="G52" i="4"/>
  <c r="M52" i="4"/>
  <c r="L52" i="4"/>
  <c r="K52" i="4"/>
  <c r="J52" i="4"/>
  <c r="O52" i="4" s="1"/>
  <c r="I52" i="4"/>
  <c r="F52" i="4"/>
  <c r="E52" i="4"/>
  <c r="D52" i="4"/>
  <c r="C52" i="4"/>
  <c r="B52" i="4"/>
  <c r="M51" i="4"/>
  <c r="L51" i="4"/>
  <c r="K51" i="4"/>
  <c r="J51" i="4"/>
  <c r="I51" i="4"/>
  <c r="G51" i="4"/>
  <c r="F51" i="4"/>
  <c r="E51" i="4"/>
  <c r="H51" i="4" s="1"/>
  <c r="O51" i="4"/>
  <c r="D51" i="4"/>
  <c r="C51" i="4"/>
  <c r="B51" i="4"/>
  <c r="N51" i="4"/>
  <c r="M50" i="4"/>
  <c r="L50" i="4"/>
  <c r="K50" i="4"/>
  <c r="J50" i="4"/>
  <c r="I50" i="4"/>
  <c r="G50" i="4"/>
  <c r="F50" i="4"/>
  <c r="E50" i="4"/>
  <c r="H50" i="4" s="1"/>
  <c r="D50" i="4"/>
  <c r="B50" i="4"/>
  <c r="C50" i="4"/>
  <c r="O50" i="4"/>
  <c r="N50" i="4"/>
  <c r="M49" i="4"/>
  <c r="L49" i="4"/>
  <c r="K49" i="4"/>
  <c r="J49" i="4"/>
  <c r="I49" i="4"/>
  <c r="F49" i="4"/>
  <c r="G49" i="4"/>
  <c r="B49" i="4"/>
  <c r="C49" i="4"/>
  <c r="D49" i="4"/>
  <c r="E49" i="4"/>
  <c r="H49" i="4" s="1"/>
  <c r="O49" i="4"/>
  <c r="N49" i="4"/>
  <c r="I48" i="4"/>
  <c r="G48" i="4"/>
  <c r="F48" i="4"/>
  <c r="D48" i="4"/>
  <c r="C48" i="4"/>
  <c r="B48" i="4"/>
  <c r="E48" i="4"/>
  <c r="H48" i="4" s="1"/>
  <c r="N48" i="4"/>
  <c r="M48" i="4"/>
  <c r="L48" i="4"/>
  <c r="K48" i="4"/>
  <c r="J48" i="4"/>
  <c r="O48" i="4" s="1"/>
  <c r="M47" i="4"/>
  <c r="L47" i="4"/>
  <c r="K47" i="4"/>
  <c r="J47" i="4"/>
  <c r="I47" i="4"/>
  <c r="G47" i="4"/>
  <c r="F47" i="4"/>
  <c r="D47" i="4"/>
  <c r="C47" i="4"/>
  <c r="E47" i="4"/>
  <c r="H47" i="4" s="1"/>
  <c r="B47" i="4"/>
  <c r="O47" i="4"/>
  <c r="N47" i="4"/>
  <c r="M46" i="4"/>
  <c r="L46" i="4"/>
  <c r="K46" i="4"/>
  <c r="J46" i="4"/>
  <c r="I46" i="4"/>
  <c r="G46" i="4"/>
  <c r="F46" i="4"/>
  <c r="E46" i="4"/>
  <c r="H46" i="4" s="1"/>
  <c r="D46" i="4"/>
  <c r="C46" i="4"/>
  <c r="B46" i="4"/>
  <c r="O46" i="4"/>
  <c r="N46" i="4"/>
  <c r="M45" i="4"/>
  <c r="G45" i="4"/>
  <c r="L45" i="4"/>
  <c r="K45" i="4"/>
  <c r="J45" i="4"/>
  <c r="F45" i="4"/>
  <c r="I45" i="4"/>
  <c r="B45" i="4"/>
  <c r="C45" i="4"/>
  <c r="D45" i="4"/>
  <c r="E45" i="4"/>
  <c r="H45" i="4" s="1"/>
  <c r="O45" i="4"/>
  <c r="N45" i="4"/>
  <c r="G44" i="4"/>
  <c r="F44" i="4"/>
  <c r="D44" i="4"/>
  <c r="C44" i="4"/>
  <c r="B44" i="4"/>
  <c r="M44" i="4"/>
  <c r="E44" i="4"/>
  <c r="H44" i="4" s="1"/>
  <c r="N44" i="4"/>
  <c r="L44" i="4"/>
  <c r="K44" i="4"/>
  <c r="J44" i="4"/>
  <c r="O44" i="4" s="1"/>
  <c r="I44" i="4"/>
  <c r="M43" i="4"/>
  <c r="L43" i="4"/>
  <c r="K43" i="4"/>
  <c r="J43" i="4"/>
  <c r="G43" i="4"/>
  <c r="E43" i="4"/>
  <c r="F43" i="4"/>
  <c r="I43" i="4"/>
  <c r="C43" i="4"/>
  <c r="D43" i="4"/>
  <c r="B43" i="4"/>
  <c r="O43" i="4"/>
  <c r="M42" i="4"/>
  <c r="L42" i="4"/>
  <c r="K42" i="4"/>
  <c r="J42" i="4"/>
  <c r="I42" i="4"/>
  <c r="G42" i="4"/>
  <c r="F42" i="4"/>
  <c r="E42" i="4"/>
  <c r="H42" i="4" s="1"/>
  <c r="D42" i="4"/>
  <c r="C42" i="4"/>
  <c r="B42" i="4"/>
  <c r="O42" i="4"/>
  <c r="N42" i="4"/>
  <c r="M41" i="4"/>
  <c r="L41" i="4"/>
  <c r="K41" i="4"/>
  <c r="J41" i="4"/>
  <c r="O41" i="4" s="1"/>
  <c r="I41" i="4"/>
  <c r="G41" i="4"/>
  <c r="F41" i="4"/>
  <c r="E41" i="4"/>
  <c r="D41" i="4"/>
  <c r="C41" i="4"/>
  <c r="B41" i="4"/>
  <c r="B40" i="4"/>
  <c r="C40" i="4"/>
  <c r="D40" i="4"/>
  <c r="E40" i="4"/>
  <c r="F40" i="4"/>
  <c r="G40" i="4"/>
  <c r="M40" i="4"/>
  <c r="H40" i="4"/>
  <c r="I40" i="4"/>
  <c r="J40" i="4"/>
  <c r="K40" i="4"/>
  <c r="L40" i="4"/>
  <c r="O40" i="4"/>
  <c r="N40" i="4"/>
  <c r="G39" i="4"/>
  <c r="M39" i="4"/>
  <c r="L39" i="4"/>
  <c r="K39" i="4"/>
  <c r="J39" i="4"/>
  <c r="O39" i="4" s="1"/>
  <c r="I39" i="4"/>
  <c r="F39" i="4"/>
  <c r="E39" i="4"/>
  <c r="D39" i="4"/>
  <c r="C39" i="4"/>
  <c r="B39" i="4"/>
  <c r="M38" i="4"/>
  <c r="B38" i="4"/>
  <c r="C38" i="4"/>
  <c r="E38" i="4"/>
  <c r="F38" i="4"/>
  <c r="G38" i="4"/>
  <c r="K38" i="4"/>
  <c r="H38" i="4"/>
  <c r="I38" i="4"/>
  <c r="J38" i="4"/>
  <c r="D38" i="4"/>
  <c r="L38" i="4"/>
  <c r="O38" i="4"/>
  <c r="N38" i="4"/>
  <c r="M37" i="4"/>
  <c r="L37" i="4"/>
  <c r="K37" i="4"/>
  <c r="J37" i="4"/>
  <c r="I37" i="4"/>
  <c r="G37" i="4"/>
  <c r="F37" i="4"/>
  <c r="E37" i="4"/>
  <c r="H37" i="4" s="1"/>
  <c r="D37" i="4"/>
  <c r="C37" i="4"/>
  <c r="B37" i="4"/>
  <c r="O37" i="4"/>
  <c r="N37" i="4"/>
  <c r="C36" i="4"/>
  <c r="M36" i="4"/>
  <c r="L36" i="4"/>
  <c r="K36" i="4"/>
  <c r="J36" i="4"/>
  <c r="O36" i="4" s="1"/>
  <c r="I36" i="4"/>
  <c r="G36" i="4"/>
  <c r="F36" i="4"/>
  <c r="E36" i="4"/>
  <c r="D36" i="4"/>
  <c r="B36" i="4"/>
  <c r="B35" i="4"/>
  <c r="L35" i="4"/>
  <c r="K35" i="4"/>
  <c r="J35" i="4"/>
  <c r="O35" i="4" s="1"/>
  <c r="I35" i="4"/>
  <c r="G35" i="4"/>
  <c r="F35" i="4"/>
  <c r="E35" i="4"/>
  <c r="D35" i="4"/>
  <c r="C35" i="4"/>
  <c r="M35" i="4"/>
  <c r="M34" i="4"/>
  <c r="L34" i="4"/>
  <c r="K34" i="4"/>
  <c r="J34" i="4"/>
  <c r="I34" i="4"/>
  <c r="G34" i="4"/>
  <c r="F34" i="4"/>
  <c r="E34" i="4"/>
  <c r="H34" i="4" s="1"/>
  <c r="D34" i="4"/>
  <c r="C34" i="4"/>
  <c r="B34" i="4"/>
  <c r="O34" i="4"/>
  <c r="N34" i="4"/>
  <c r="M33" i="4"/>
  <c r="L33" i="4"/>
  <c r="K33" i="4"/>
  <c r="J33" i="4"/>
  <c r="O33" i="4" s="1"/>
  <c r="I33" i="4"/>
  <c r="G33" i="4"/>
  <c r="F33" i="4"/>
  <c r="E33" i="4"/>
  <c r="D33" i="4"/>
  <c r="C33" i="4"/>
  <c r="B33" i="4"/>
  <c r="B32" i="4"/>
  <c r="C32" i="4"/>
  <c r="D32" i="4"/>
  <c r="E32" i="4"/>
  <c r="F32" i="4"/>
  <c r="G32" i="4"/>
  <c r="M32" i="4"/>
  <c r="H32" i="4"/>
  <c r="I32" i="4"/>
  <c r="J32" i="4"/>
  <c r="K32" i="4"/>
  <c r="L32" i="4"/>
  <c r="O32" i="4"/>
  <c r="N32" i="4"/>
  <c r="G31" i="4"/>
  <c r="M31" i="4"/>
  <c r="L31" i="4"/>
  <c r="K31" i="4"/>
  <c r="J31" i="4"/>
  <c r="O31" i="4" s="1"/>
  <c r="I31" i="4"/>
  <c r="F31" i="4"/>
  <c r="E31" i="4"/>
  <c r="D31" i="4"/>
  <c r="C31" i="4"/>
  <c r="B31" i="4"/>
  <c r="C30" i="4"/>
  <c r="D30" i="4"/>
  <c r="E30" i="4"/>
  <c r="G30" i="4"/>
  <c r="H30" i="4"/>
  <c r="I30" i="4"/>
  <c r="M30" i="4"/>
  <c r="J30" i="4"/>
  <c r="K30" i="4"/>
  <c r="L30" i="4"/>
  <c r="F30" i="4"/>
  <c r="B30" i="4"/>
  <c r="O30" i="4"/>
  <c r="N30" i="4"/>
  <c r="M29" i="4"/>
  <c r="L29" i="4"/>
  <c r="K29" i="4"/>
  <c r="J29" i="4"/>
  <c r="I29" i="4"/>
  <c r="G29" i="4"/>
  <c r="F29" i="4"/>
  <c r="E29" i="4"/>
  <c r="H29" i="4" s="1"/>
  <c r="D29" i="4"/>
  <c r="C29" i="4"/>
  <c r="O29" i="4"/>
  <c r="B29" i="4"/>
  <c r="N29" i="4"/>
  <c r="M28" i="4"/>
  <c r="G28" i="4"/>
  <c r="L28" i="4"/>
  <c r="K28" i="4"/>
  <c r="J28" i="4"/>
  <c r="F28" i="4"/>
  <c r="I28" i="4"/>
  <c r="B28" i="4"/>
  <c r="C28" i="4"/>
  <c r="D28" i="4"/>
  <c r="E28" i="4"/>
  <c r="H28" i="4" s="1"/>
  <c r="O28" i="4"/>
  <c r="N28" i="4"/>
  <c r="G27" i="4"/>
  <c r="F27" i="4"/>
  <c r="D27" i="4"/>
  <c r="C27" i="4"/>
  <c r="B27" i="4"/>
  <c r="M27" i="4"/>
  <c r="E27" i="4"/>
  <c r="L27" i="4"/>
  <c r="K27" i="4"/>
  <c r="J27" i="4"/>
  <c r="O27" i="4" s="1"/>
  <c r="I27" i="4"/>
  <c r="M26" i="4"/>
  <c r="L26" i="4"/>
  <c r="K26" i="4"/>
  <c r="J26" i="4"/>
  <c r="G26" i="4"/>
  <c r="E26" i="4"/>
  <c r="F26" i="4"/>
  <c r="I26" i="4"/>
  <c r="C26" i="4"/>
  <c r="D26" i="4"/>
  <c r="B26" i="4"/>
  <c r="O26" i="4"/>
  <c r="M25" i="4"/>
  <c r="L25" i="4"/>
  <c r="K25" i="4"/>
  <c r="J25" i="4"/>
  <c r="I25" i="4"/>
  <c r="G25" i="4"/>
  <c r="F25" i="4"/>
  <c r="E25" i="4"/>
  <c r="D25" i="4"/>
  <c r="C25" i="4"/>
  <c r="B25" i="4"/>
  <c r="O25" i="4"/>
  <c r="M24" i="4"/>
  <c r="B24" i="4"/>
  <c r="L24" i="4"/>
  <c r="K24" i="4"/>
  <c r="J24" i="4"/>
  <c r="I24" i="4"/>
  <c r="G24" i="4"/>
  <c r="F24" i="4"/>
  <c r="E24" i="4"/>
  <c r="D24" i="4"/>
  <c r="C24" i="4"/>
  <c r="O24" i="4"/>
  <c r="L23" i="4"/>
  <c r="K23" i="4"/>
  <c r="J23" i="4"/>
  <c r="O23" i="4" s="1"/>
  <c r="G23" i="4"/>
  <c r="B23" i="4"/>
  <c r="D23" i="4"/>
  <c r="F23" i="4"/>
  <c r="I23" i="4"/>
  <c r="E23" i="4"/>
  <c r="C23" i="4"/>
  <c r="M23" i="4"/>
  <c r="K22" i="4"/>
  <c r="L22" i="4"/>
  <c r="M22" i="4"/>
  <c r="J22" i="4"/>
  <c r="O22" i="4" s="1"/>
  <c r="I22" i="4"/>
  <c r="F22" i="4"/>
  <c r="D22" i="4"/>
  <c r="B22" i="4"/>
  <c r="G22" i="4"/>
  <c r="E22" i="4"/>
  <c r="C22" i="4"/>
  <c r="M21" i="4"/>
  <c r="L21" i="4"/>
  <c r="K21" i="4"/>
  <c r="J21" i="4"/>
  <c r="O21" i="4" s="1"/>
  <c r="I21" i="4"/>
  <c r="G21" i="4"/>
  <c r="F21" i="4"/>
  <c r="C21" i="4"/>
  <c r="E21" i="4"/>
  <c r="D21" i="4"/>
  <c r="B21" i="4"/>
  <c r="L20" i="4"/>
  <c r="J20" i="4"/>
  <c r="O20" i="4" s="1"/>
  <c r="F20" i="4"/>
  <c r="D20" i="4"/>
  <c r="B20" i="4"/>
  <c r="M20" i="4"/>
  <c r="K20" i="4"/>
  <c r="I20" i="4"/>
  <c r="G20" i="4"/>
  <c r="E20" i="4"/>
  <c r="C20" i="4"/>
  <c r="D19" i="4"/>
  <c r="F19" i="4"/>
  <c r="E19" i="4"/>
  <c r="H19" i="4" s="1"/>
  <c r="I19" i="4"/>
  <c r="L19" i="4"/>
  <c r="M19" i="4"/>
  <c r="N19" i="4" s="1"/>
  <c r="K19" i="4"/>
  <c r="J19" i="4"/>
  <c r="O19" i="4" s="1"/>
  <c r="G19" i="4"/>
  <c r="C19" i="4"/>
  <c r="B19" i="4"/>
  <c r="J18" i="4"/>
  <c r="O18" i="4" s="1"/>
  <c r="F18" i="4"/>
  <c r="M18" i="4"/>
  <c r="L18" i="4"/>
  <c r="K18" i="4"/>
  <c r="I18" i="4"/>
  <c r="G18" i="4"/>
  <c r="E18" i="4"/>
  <c r="D18" i="4"/>
  <c r="C18" i="4"/>
  <c r="J17" i="4"/>
  <c r="K17" i="4"/>
  <c r="L17" i="4"/>
  <c r="M17" i="4"/>
  <c r="O17" i="4"/>
  <c r="I17" i="4"/>
  <c r="B17" i="4"/>
  <c r="C17" i="4"/>
  <c r="D17" i="4"/>
  <c r="E17" i="4"/>
  <c r="F17" i="4"/>
  <c r="G17" i="4"/>
  <c r="F16" i="4"/>
  <c r="B16" i="4"/>
  <c r="D16" i="4"/>
  <c r="C16" i="4"/>
  <c r="M16" i="4"/>
  <c r="K16" i="4"/>
  <c r="J16" i="4"/>
  <c r="O16" i="4" s="1"/>
  <c r="I16" i="4"/>
  <c r="G16" i="4"/>
  <c r="E16" i="4"/>
  <c r="L16" i="4"/>
  <c r="I15" i="4"/>
  <c r="J15" i="4"/>
  <c r="O15" i="4" s="1"/>
  <c r="K15" i="4"/>
  <c r="M15" i="4"/>
  <c r="L15" i="4"/>
  <c r="G15" i="4"/>
  <c r="F15" i="4"/>
  <c r="E15" i="4"/>
  <c r="D15" i="4"/>
  <c r="C15" i="4"/>
  <c r="B15" i="4"/>
  <c r="M14" i="4"/>
  <c r="K14" i="4"/>
  <c r="I14" i="4"/>
  <c r="F14" i="4"/>
  <c r="B14" i="4"/>
  <c r="D14" i="4"/>
  <c r="C14" i="4"/>
  <c r="L14" i="4"/>
  <c r="J14" i="4"/>
  <c r="O14" i="4" s="1"/>
  <c r="G14" i="4"/>
  <c r="E14" i="4"/>
  <c r="C13" i="4"/>
  <c r="D13" i="4"/>
  <c r="E13" i="4"/>
  <c r="F13" i="4"/>
  <c r="G13" i="4"/>
  <c r="H13" i="4" s="1"/>
  <c r="I13" i="4"/>
  <c r="L13" i="4"/>
  <c r="M13" i="4"/>
  <c r="N13" i="4" s="1"/>
  <c r="O13" i="4"/>
  <c r="B13" i="4"/>
  <c r="K13" i="4"/>
  <c r="G12" i="4"/>
  <c r="F12" i="4"/>
  <c r="E12" i="4"/>
  <c r="H12" i="4" s="1"/>
  <c r="D12" i="4"/>
  <c r="C12" i="4"/>
  <c r="B12" i="4"/>
  <c r="M12" i="4"/>
  <c r="N12" i="4" s="1"/>
  <c r="L12" i="4"/>
  <c r="K12" i="4"/>
  <c r="J12" i="4"/>
  <c r="O12" i="4" s="1"/>
  <c r="I12" i="4"/>
  <c r="E11" i="4"/>
  <c r="D11" i="4"/>
  <c r="C11" i="4"/>
  <c r="B11" i="4"/>
  <c r="J11" i="4"/>
  <c r="O11" i="4"/>
  <c r="M11" i="4"/>
  <c r="N11" i="4" s="1"/>
  <c r="L11" i="4"/>
  <c r="K11" i="4"/>
  <c r="I11" i="4"/>
  <c r="G11" i="4"/>
  <c r="H11" i="4" s="1"/>
  <c r="F11" i="4"/>
  <c r="M10" i="4"/>
  <c r="B10" i="4"/>
  <c r="K10" i="4"/>
  <c r="J10" i="4"/>
  <c r="O10" i="4" s="1"/>
  <c r="I10" i="4"/>
  <c r="L10" i="4"/>
  <c r="G10" i="4"/>
  <c r="F10" i="4"/>
  <c r="E10" i="4"/>
  <c r="D10" i="4"/>
  <c r="C10" i="4"/>
  <c r="L9" i="4"/>
  <c r="M9" i="4"/>
  <c r="B9" i="4"/>
  <c r="C9" i="4"/>
  <c r="D9" i="4"/>
  <c r="E9" i="4"/>
  <c r="N9" i="4" s="1"/>
  <c r="F9" i="4"/>
  <c r="G9" i="4"/>
  <c r="H9" i="4"/>
  <c r="I9" i="4"/>
  <c r="J9" i="4"/>
  <c r="O9" i="4" s="1"/>
  <c r="K9" i="4"/>
  <c r="C8" i="4"/>
  <c r="D8" i="4"/>
  <c r="E8" i="4"/>
  <c r="F8" i="4"/>
  <c r="G8" i="4"/>
  <c r="H8" i="4" s="1"/>
  <c r="M8" i="4"/>
  <c r="N8" i="4" s="1"/>
  <c r="L8" i="4"/>
  <c r="K8" i="4"/>
  <c r="I8" i="4"/>
  <c r="J8" i="4"/>
  <c r="O8" i="4" s="1"/>
  <c r="B8" i="4"/>
  <c r="G7" i="4"/>
  <c r="E7" i="4"/>
  <c r="N7" i="4" s="1"/>
  <c r="L7" i="4"/>
  <c r="J7" i="4"/>
  <c r="O7" i="4" s="1"/>
  <c r="I7" i="4"/>
  <c r="H7" i="4"/>
  <c r="D7" i="4"/>
  <c r="F7" i="4"/>
  <c r="C7" i="4"/>
  <c r="B7" i="4"/>
  <c r="M7" i="4"/>
  <c r="K7" i="4"/>
  <c r="K6" i="4"/>
  <c r="J6" i="4"/>
  <c r="I6" i="4"/>
  <c r="G6" i="4"/>
  <c r="E6" i="4"/>
  <c r="D6" i="4"/>
  <c r="C6" i="4"/>
  <c r="B6" i="4"/>
  <c r="F6" i="4"/>
  <c r="O6" i="4"/>
  <c r="M6" i="4"/>
  <c r="L6" i="4"/>
  <c r="D17" i="5"/>
  <c r="F17" i="5" s="1"/>
  <c r="D7" i="5"/>
  <c r="F7" i="5" s="1"/>
  <c r="D12" i="5"/>
  <c r="F12" i="5" s="1"/>
  <c r="D6" i="5"/>
  <c r="D11" i="5"/>
  <c r="F11" i="5" s="1"/>
  <c r="D10" i="5"/>
  <c r="F10" i="5" s="1"/>
  <c r="D16" i="5"/>
  <c r="F16" i="5" s="1"/>
  <c r="D15" i="5"/>
  <c r="F15" i="5" s="1"/>
  <c r="D14" i="5"/>
  <c r="F14" i="5" s="1"/>
  <c r="D13" i="5"/>
  <c r="F13" i="5" s="1"/>
  <c r="D9" i="5"/>
  <c r="F9" i="5" s="1"/>
  <c r="D8" i="5"/>
  <c r="F8" i="5" s="1"/>
  <c r="F6" i="5" l="1"/>
  <c r="D18" i="5"/>
  <c r="F18" i="5" s="1"/>
  <c r="N64" i="4"/>
  <c r="H64" i="4"/>
  <c r="N63" i="4"/>
  <c r="H63" i="4"/>
  <c r="N60" i="4"/>
  <c r="H60" i="4"/>
  <c r="H57" i="4"/>
  <c r="N57" i="4"/>
  <c r="N55" i="4"/>
  <c r="H55" i="4"/>
  <c r="H52" i="4"/>
  <c r="N52" i="4"/>
  <c r="N43" i="4"/>
  <c r="H43" i="4"/>
  <c r="N41" i="4"/>
  <c r="H41" i="4"/>
  <c r="N39" i="4"/>
  <c r="H39" i="4"/>
  <c r="N36" i="4"/>
  <c r="H36" i="4"/>
  <c r="N35" i="4"/>
  <c r="H35" i="4"/>
  <c r="H33" i="4"/>
  <c r="N33" i="4"/>
  <c r="N31" i="4"/>
  <c r="H31" i="4"/>
  <c r="H27" i="4"/>
  <c r="N27" i="4"/>
  <c r="N26" i="4"/>
  <c r="H26" i="4"/>
  <c r="N25" i="4"/>
  <c r="H25" i="4"/>
  <c r="H24" i="4"/>
  <c r="N24" i="4"/>
  <c r="N23" i="4"/>
  <c r="H23" i="4"/>
  <c r="H22" i="4"/>
  <c r="N22" i="4"/>
  <c r="H21" i="4"/>
  <c r="N21" i="4"/>
  <c r="N20" i="4"/>
  <c r="H20" i="4"/>
  <c r="N18" i="4"/>
  <c r="H18" i="4"/>
  <c r="H17" i="4"/>
  <c r="N17" i="4"/>
  <c r="H16" i="4"/>
  <c r="N16" i="4"/>
  <c r="N15" i="4"/>
  <c r="H15" i="4"/>
  <c r="N14" i="4"/>
  <c r="H14" i="4"/>
  <c r="N10" i="4"/>
  <c r="H10" i="4"/>
  <c r="H6" i="4"/>
  <c r="N6" i="4"/>
</calcChain>
</file>

<file path=xl/sharedStrings.xml><?xml version="1.0" encoding="utf-8"?>
<sst xmlns="http://schemas.openxmlformats.org/spreadsheetml/2006/main" count="285" uniqueCount="173">
  <si>
    <t>Eko Power App: Cashier Reporting Template</t>
  </si>
  <si>
    <t>Owner: Favour, Data and Reporting Assistant  |  Reviewed by: Head, Power App Unit</t>
  </si>
  <si>
    <t>Daily routine (by 10am the next working day)</t>
  </si>
  <si>
    <t>1. Open Daily Log. Each active cashier already has a row for the day; copy the name block down for each new date.</t>
  </si>
  <si>
    <t>2. From each cashier's 6pm WhatsApp report, enter: Report Received, Time Received, Transactions, Total Collected, NKCG amount and Closing Wallet Balance.</t>
  </si>
  <si>
    <t>3. If a cashier sends nothing, set Report Received to "No". The row shows "Missed" in red.</t>
  </si>
  <si>
    <t>4. District, cashier type, on-time status, commission and wallet zeroization fill in automatically.</t>
  </si>
  <si>
    <t>5. Send the Head of Unit a list of missed or late reports and wallets not zeroized.</t>
  </si>
  <si>
    <t>Rules built into the sheet</t>
  </si>
  <si>
    <t>• Reports after 6pm show "Late". Change the deadline on the Settings tab if it moves.</t>
  </si>
  <si>
    <t>• Transactions from unreported days do not count toward totals or incentives.</t>
  </si>
  <si>
    <t>• A wallet is zeroized only when the closing balance is ₦0.</t>
  </si>
  <si>
    <t>• Commission = NKCG amount × 0.45% (60% of the 0.75% pool). The rate sits on the Settings tab.</t>
  </si>
  <si>
    <t>Adding or changing cashiers</t>
  </si>
  <si>
    <t>• All changes happen on the Cashier Roster tab only. The other tabs pick them up automatically.</t>
  </si>
  <si>
    <t>• Only cashiers marked "Active" count as expected reporters. Use "Pending" or "To confirm" until a cashier is confirmed.</t>
  </si>
  <si>
    <t>• Active cashiers with no wallet number show a red Wallet cell. Open questions are in the Notes column.</t>
  </si>
  <si>
    <t>Weekly and monthly reports</t>
  </si>
  <si>
    <t>• Set the period on the Settings tab. Cashier Summary ranks every cashier; District Summary rolls up all 12 districts.</t>
  </si>
  <si>
    <t>• Pale gold cells are inputs. White cells are formulas, so don't type over them.</t>
  </si>
  <si>
    <t>Cashier Roster</t>
  </si>
  <si>
    <t>Every cashier, their district and type. Only "Active" cashiers count as expected reporters.</t>
  </si>
  <si>
    <t>S/N</t>
  </si>
  <si>
    <t>Cashier Name</t>
  </si>
  <si>
    <t>District</t>
  </si>
  <si>
    <t>Cashier Type</t>
  </si>
  <si>
    <t>Zone (if zone cashier)</t>
  </si>
  <si>
    <t>Wallet Account Number</t>
  </si>
  <si>
    <t>Email Address</t>
  </si>
  <si>
    <t>Roster Status</t>
  </si>
  <si>
    <t>Notes</t>
  </si>
  <si>
    <t>Augustine Oyathelemhi</t>
  </si>
  <si>
    <t>Agbara</t>
  </si>
  <si>
    <t>District cashier</t>
  </si>
  <si>
    <t>9710558699</t>
  </si>
  <si>
    <t>oyathelemhiaugustine@gmail.com</t>
  </si>
  <si>
    <t>Active</t>
  </si>
  <si>
    <t>Otun Fausat</t>
  </si>
  <si>
    <t>Zone cashier (new)</t>
  </si>
  <si>
    <t>9711012544</t>
  </si>
  <si>
    <t>otun.fausat@gmail.com</t>
  </si>
  <si>
    <t>Taiwo Noimot</t>
  </si>
  <si>
    <t>Ajah</t>
  </si>
  <si>
    <t>9710574350</t>
  </si>
  <si>
    <t>Customercare.ajah@ekedp.com</t>
  </si>
  <si>
    <t>Taiwo Akintoye</t>
  </si>
  <si>
    <t>Ajele</t>
  </si>
  <si>
    <t>9710574252</t>
  </si>
  <si>
    <t>Customercare.ajele@ekedp.com</t>
  </si>
  <si>
    <t>Mary Agbim</t>
  </si>
  <si>
    <t>9711021008</t>
  </si>
  <si>
    <t>Email not yet provided</t>
  </si>
  <si>
    <t>Ojulari Waheed</t>
  </si>
  <si>
    <t>Apapa</t>
  </si>
  <si>
    <t>9710574813</t>
  </si>
  <si>
    <t>Customercare.apapa@ekedp.com</t>
  </si>
  <si>
    <t>Ikudehinbo Oluwatosin</t>
  </si>
  <si>
    <t>9711011787</t>
  </si>
  <si>
    <t>Oluwatomisinabiodun1@Gmail.com</t>
  </si>
  <si>
    <t>Wallet list spells it "Ikudehinbu Tosin"; confirm spelling</t>
  </si>
  <si>
    <t>Onileowo Victoria</t>
  </si>
  <si>
    <t>Festac</t>
  </si>
  <si>
    <t>9710581761</t>
  </si>
  <si>
    <t>Customercare.festac@ekedp.com</t>
  </si>
  <si>
    <t>Oluwaseyi Ajayi</t>
  </si>
  <si>
    <t>9711034575</t>
  </si>
  <si>
    <t>bettyseyi9@gmail.com</t>
  </si>
  <si>
    <t>Previously listed as Seyi Ajayi</t>
  </si>
  <si>
    <t>Okiji Olubunmi Jacob</t>
  </si>
  <si>
    <t>Ibeju</t>
  </si>
  <si>
    <t>9710695871</t>
  </si>
  <si>
    <t>customercare.ibeju@ekedp.com</t>
  </si>
  <si>
    <t>Adebari Temitayo</t>
  </si>
  <si>
    <t>Ijora</t>
  </si>
  <si>
    <t>9710592553</t>
  </si>
  <si>
    <t>customercare.ijora@ekedp.com</t>
  </si>
  <si>
    <t>Ibeto Catherine</t>
  </si>
  <si>
    <t>9711067628</t>
  </si>
  <si>
    <t>Wallet name reads "Mycron Electric Limited/EKEDP Mushin District" but she is listed under Ijora; confirm district. Email not yet provided</t>
  </si>
  <si>
    <t>Olukoya Olanrewaju</t>
  </si>
  <si>
    <t>Island</t>
  </si>
  <si>
    <t>9710610766</t>
  </si>
  <si>
    <t>serenaolanrewaju@gmail.com</t>
  </si>
  <si>
    <t>Aromire Olasumbo (Azizat)</t>
  </si>
  <si>
    <t>9710601945</t>
  </si>
  <si>
    <t>customercare.Islands@ekedp.com</t>
  </si>
  <si>
    <t>Kareem Idowu</t>
  </si>
  <si>
    <t>Lekki</t>
  </si>
  <si>
    <t>9710650044</t>
  </si>
  <si>
    <t>Wallet name: Mycron Electric Limited EKEDP/Orgf. Also recorded as Kareem Balkis; confirm. Email not yet provided</t>
  </si>
  <si>
    <t>Caroline Francis</t>
  </si>
  <si>
    <t>Mushin</t>
  </si>
  <si>
    <t>9710573949</t>
  </si>
  <si>
    <t>customercare.mushin@ekedp.com</t>
  </si>
  <si>
    <t>Siyanbola Abosede</t>
  </si>
  <si>
    <t>9711011484</t>
  </si>
  <si>
    <t>olamide4navy@gmail.com</t>
  </si>
  <si>
    <t>Confirm email (name on address differs)</t>
  </si>
  <si>
    <t>Oke James</t>
  </si>
  <si>
    <t>Ojo</t>
  </si>
  <si>
    <t>9710614370</t>
  </si>
  <si>
    <t>okejamesadekunle@gmail.com</t>
  </si>
  <si>
    <t>Tosin Onadele</t>
  </si>
  <si>
    <t>9711020376</t>
  </si>
  <si>
    <t>Tosin.onadele@ekedp.com</t>
  </si>
  <si>
    <t>New Ojo zone cashier, confirmed from wallet list</t>
  </si>
  <si>
    <t>Shodeke Oluwabanke</t>
  </si>
  <si>
    <t>Orile</t>
  </si>
  <si>
    <t>9710592795</t>
  </si>
  <si>
    <t>Customercare.orile@ekedp.com</t>
  </si>
  <si>
    <t>Maryjane (Lekki cover)</t>
  </si>
  <si>
    <t>To confirm</t>
  </si>
  <si>
    <t>July maternity cover: confirm surname and whether still in role</t>
  </si>
  <si>
    <t>Amaegwu Chioma Precious</t>
  </si>
  <si>
    <t>Pending</t>
  </si>
  <si>
    <t>Recommended for redeployment to Orile; awaiting confirmation</t>
  </si>
  <si>
    <t>Daily Cashier Report Log</t>
  </si>
  <si>
    <t>One row per cashier per day, copied from the 6pm WhatsApp reports. Pale gold cells: fill in. White cells: automatic.</t>
  </si>
  <si>
    <t>Date</t>
  </si>
  <si>
    <t>Report Received?</t>
  </si>
  <si>
    <t>Time Received</t>
  </si>
  <si>
    <t>On Time?</t>
  </si>
  <si>
    <t>No. of Transactions</t>
  </si>
  <si>
    <t>Total Collected (₦)</t>
  </si>
  <si>
    <t>of which NKCG (₦)</t>
  </si>
  <si>
    <t>Commission Earned (₦)</t>
  </si>
  <si>
    <t>Closing Wallet Balance (₦)</t>
  </si>
  <si>
    <t>Wallet Zeroized?</t>
  </si>
  <si>
    <t>Remarks</t>
  </si>
  <si>
    <t>Rows pre-filled for 20/10/2026. Copy the name block down for each new day.</t>
  </si>
  <si>
    <t>Cashier Performance Summary</t>
  </si>
  <si>
    <t>For the period set on the Settings tab. Ranked by total collected. Only reported transactions count toward incentives.</t>
  </si>
  <si>
    <t>Status</t>
  </si>
  <si>
    <t>Days Logged</t>
  </si>
  <si>
    <t>Reports Received</t>
  </si>
  <si>
    <t>On Time</t>
  </si>
  <si>
    <t>On-Time Rate</t>
  </si>
  <si>
    <t>Transactions</t>
  </si>
  <si>
    <t>NKCG (₦)</t>
  </si>
  <si>
    <t>Commission (₦)</t>
  </si>
  <si>
    <t>Days Zeroized</t>
  </si>
  <si>
    <t>Zeroization Rate</t>
  </si>
  <si>
    <t>Rank</t>
  </si>
  <si>
    <t>Red: on-time or zeroization rate below 80%. Gold: top three collectors.</t>
  </si>
  <si>
    <t>District Summary</t>
  </si>
  <si>
    <t>Cashier collections by district for the period on the Settings tab. Enter a cashier target per district to track attainment (optional).</t>
  </si>
  <si>
    <t>Active Cashiers</t>
  </si>
  <si>
    <t>of which Zone (new)</t>
  </si>
  <si>
    <t>Reports Expected*</t>
  </si>
  <si>
    <t>Reporting Rate</t>
  </si>
  <si>
    <t>Avg per Cashier (₦)</t>
  </si>
  <si>
    <t>Cashier Target (₦)</t>
  </si>
  <si>
    <t>% of Target</t>
  </si>
  <si>
    <t>TOTAL</t>
  </si>
  <si>
    <t>*Reports expected = rows logged for that district in the period (one per active cashier per working day).</t>
  </si>
  <si>
    <t>Cashier targets are optional inputs. Leave blank if not set; % of Target stays empty.</t>
  </si>
  <si>
    <t>Settings</t>
  </si>
  <si>
    <t>Change these and every tab updates.</t>
  </si>
  <si>
    <t>Setting</t>
  </si>
  <si>
    <t>Value</t>
  </si>
  <si>
    <t>Note</t>
  </si>
  <si>
    <t>Reporting period from</t>
  </si>
  <si>
    <t>Start date for the summary tabs.</t>
  </si>
  <si>
    <t>Reporting period to</t>
  </si>
  <si>
    <t>End date for the summary tabs.</t>
  </si>
  <si>
    <t>Daily report deadline</t>
  </si>
  <si>
    <t>Cashiers send their report to the WhatsApp group by 6pm.</t>
  </si>
  <si>
    <t>Cashier commission rate (NKCG)</t>
  </si>
  <si>
    <t>From the October 2026 incentive scheme: 60% of the 0.75% pool = 0.45% per NKCG payment.</t>
  </si>
  <si>
    <t>Lists</t>
  </si>
  <si>
    <t>Cashier type</t>
  </si>
  <si>
    <t>Roster status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</si>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</sst>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\₦#,##0;&quot;(₦&quot;#,##0\);\-"/>
  </numFmts>
  <fonts count="11">
    <font>
      <sz val="11"/>
      <color theme="1"/>
      <name val="Calibri"/>
      <family val="2"/>
      <charset val="1"/>
    </font>
    <font>
      <b/>
      <sz val="16"/>
      <color rgb="FF1F2A5C"/>
      <name val="Century Gothic"/>
      <charset val="1"/>
    </font>
    <font>
      <sz val="9"/>
      <color rgb="FF666666"/>
      <name val="Century Gothic"/>
      <charset val="1"/>
    </font>
    <font>
      <sz val="10"/>
      <name val="Century Gothic"/>
      <charset val="1"/>
    </font>
    <font>
      <b/>
      <sz val="12"/>
      <color rgb="FF0E9DBF"/>
      <name val="Century Gothic"/>
      <charset val="1"/>
    </font>
    <font>
      <b/>
      <sz val="9"/>
      <color rgb="FFFFFFFF"/>
      <name val="Century Gothic"/>
      <charset val="1"/>
    </font>
    <font>
      <sz val="9"/>
      <name val="Century Gothic"/>
      <charset val="1"/>
    </font>
    <font>
      <i/>
      <sz val="9"/>
      <color rgb="FF7F7F7F"/>
      <name val="Century Gothic"/>
      <charset val="1"/>
    </font>
    <font>
      <b/>
      <sz val="10"/>
      <color rgb="FF0E9DBF"/>
      <name val="Century Gothic"/>
      <charset val="1"/>
    </font>
    <font>
      <i/>
      <sz val="8"/>
      <color rgb="FF666666"/>
      <name val="Century Gothic"/>
      <charset val="1"/>
    </font>
    <font>
      <b/>
      <sz val="10"/>
      <color rgb="FF0000FF"/>
      <name val="Century Gothic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  <fill>
      <patternFill patternType="solid">
        <fgColor rgb="FFFFF8E1"/>
        <bgColor rgb="FFFFF3CD"/>
      </patternFill>
    </fill>
  </fills>
  <borders count="2">
    <border>
      <left/>
      <right/>
      <top/>
      <bottom/>
      <diagonal/>
    </border>
    <border>
      <left style="thin">
        <color rgb="FFD0D4E0"/>
      </left>
      <right style="thin">
        <color rgb="FFD0D4E0"/>
      </right>
      <top style="thin">
        <color rgb="FFD0D4E0"/>
      </top>
      <bottom style="thin">
        <color rgb="FFD0D4E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/>
    <xf numFmtId="49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0" borderId="1" xfId="0" applyFont="1" applyBorder="1"/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/>
    <xf numFmtId="166" fontId="6" fillId="0" borderId="1" xfId="0" applyNumberFormat="1" applyFont="1" applyBorder="1"/>
    <xf numFmtId="0" fontId="7" fillId="3" borderId="1" xfId="0" applyFont="1" applyFill="1" applyBorder="1"/>
    <xf numFmtId="0" fontId="8" fillId="0" borderId="0" xfId="0" applyFont="1"/>
    <xf numFmtId="9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9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9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166" fontId="5" fillId="2" borderId="1" xfId="0" applyNumberFormat="1" applyFont="1" applyFill="1" applyBorder="1"/>
    <xf numFmtId="0" fontId="3" fillId="0" borderId="1" xfId="0" applyFont="1" applyBorder="1"/>
    <xf numFmtId="164" fontId="10" fillId="3" borderId="1" xfId="0" applyNumberFormat="1" applyFont="1" applyFill="1" applyBorder="1"/>
    <xf numFmtId="0" fontId="2" fillId="0" borderId="1" xfId="0" applyFont="1" applyBorder="1"/>
    <xf numFmtId="165" fontId="10" fillId="3" borderId="1" xfId="0" applyNumberFormat="1" applyFont="1" applyFill="1" applyBorder="1"/>
    <xf numFmtId="10" fontId="10" fillId="3" borderId="1" xfId="0" applyNumberFormat="1" applyFont="1" applyFill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15">
    <dxf>
      <fill>
        <patternFill>
          <bgColor rgb="FFF8D7DA"/>
        </patternFill>
      </fill>
    </dxf>
    <dxf>
      <font>
        <b/>
        <sz val="9"/>
        <color rgb="FF155724"/>
        <name val="Century Gothic"/>
        <charset val="1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ont>
        <b/>
        <sz val="9"/>
        <color rgb="FF7A5C00"/>
        <name val="Century Gothic"/>
        <charset val="1"/>
      </font>
      <fill>
        <patternFill>
          <bgColor rgb="FFF5EDD3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ont>
        <b/>
        <sz val="9"/>
        <color rgb="FF9C0006"/>
        <name val="Century Gothic"/>
        <charset val="1"/>
      </font>
      <fill>
        <patternFill>
          <bgColor rgb="FFF8D7DA"/>
        </patternFill>
      </fill>
    </dxf>
    <dxf>
      <font>
        <b/>
        <sz val="9"/>
        <color rgb="FF9C0006"/>
        <name val="Century Gothic"/>
        <charset val="1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A5C00"/>
      <rgbColor rgb="FF800080"/>
      <rgbColor rgb="FF0E9DBF"/>
      <rgbColor rgb="FFC0C0C0"/>
      <rgbColor rgb="FF7F7F7F"/>
      <rgbColor rgb="FF9999FF"/>
      <rgbColor rgb="FF993366"/>
      <rgbColor rgb="FFFFF8E1"/>
      <rgbColor rgb="FFF5EDD3"/>
      <rgbColor rgb="FF660066"/>
      <rgbColor rgb="FFFF8080"/>
      <rgbColor rgb="FF0066CC"/>
      <rgbColor rgb="FFD0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2A5C"/>
      <rgbColor rgb="FF339966"/>
      <rgbColor rgb="FF15572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zoomScaleNormal="100" workbookViewId="0">
      <selection activeCell="A7" sqref="A7"/>
    </sheetView>
  </sheetViews>
  <sheetFormatPr defaultColWidth="8.7109375" defaultRowHeight="15"/>
  <cols>
    <col min="1" max="1" width="112" customWidth="1"/>
  </cols>
  <sheetData>
    <row r="1" spans="1:1" ht="20.25">
      <c r="A1" s="1" t="s">
        <v>0</v>
      </c>
    </row>
    <row r="2" spans="1:1" ht="15.75">
      <c r="A2" s="2" t="s">
        <v>1</v>
      </c>
    </row>
    <row r="3" spans="1:1">
      <c r="A3" s="3"/>
    </row>
    <row r="4" spans="1:1" ht="15.75">
      <c r="A4" s="4" t="s">
        <v>2</v>
      </c>
    </row>
    <row r="5" spans="1:1" ht="27">
      <c r="A5" s="3" t="s">
        <v>3</v>
      </c>
    </row>
    <row r="6" spans="1:1" ht="27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/>
    </row>
    <row r="11" spans="1:1" ht="15.75">
      <c r="A11" s="4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/>
    </row>
    <row r="17" spans="1:1" ht="15.75">
      <c r="A17" s="4" t="s">
        <v>13</v>
      </c>
    </row>
    <row r="18" spans="1:1">
      <c r="A18" s="3" t="s">
        <v>14</v>
      </c>
    </row>
    <row r="19" spans="1:1" ht="27">
      <c r="A19" s="3" t="s">
        <v>15</v>
      </c>
    </row>
    <row r="20" spans="1:1">
      <c r="A20" s="3" t="s">
        <v>16</v>
      </c>
    </row>
    <row r="21" spans="1:1">
      <c r="A21" s="3"/>
    </row>
    <row r="22" spans="1:1" ht="15.75">
      <c r="A22" s="4" t="s">
        <v>17</v>
      </c>
    </row>
    <row r="23" spans="1:1">
      <c r="A23" s="3" t="s">
        <v>18</v>
      </c>
    </row>
    <row r="24" spans="1:1">
      <c r="A24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showGridLines="0" tabSelected="1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6" customWidth="1"/>
    <col min="2" max="2" width="30" customWidth="1"/>
    <col min="3" max="3" width="12" customWidth="1"/>
    <col min="4" max="4" width="20" customWidth="1"/>
    <col min="5" max="6" width="18" customWidth="1"/>
    <col min="7" max="7" width="34" customWidth="1"/>
    <col min="8" max="8" width="13" customWidth="1"/>
    <col min="9" max="9" width="50" customWidth="1"/>
  </cols>
  <sheetData>
    <row r="1" spans="1:9" ht="20.25">
      <c r="A1" s="5" t="s">
        <v>20</v>
      </c>
    </row>
    <row r="2" spans="1:9" ht="15.75">
      <c r="A2" s="6" t="s">
        <v>21</v>
      </c>
    </row>
    <row r="4" spans="1:9" ht="36" customHeight="1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</row>
    <row r="5" spans="1:9" ht="15.75">
      <c r="A5" s="8">
        <f t="shared" ref="A5:A36" si="0">IF(B5="","",ROW()-4)</f>
        <v>1</v>
      </c>
      <c r="B5" s="9" t="s">
        <v>31</v>
      </c>
      <c r="C5" s="9" t="s">
        <v>32</v>
      </c>
      <c r="D5" s="9" t="s">
        <v>33</v>
      </c>
      <c r="E5" s="9"/>
      <c r="F5" s="10" t="s">
        <v>34</v>
      </c>
      <c r="G5" s="10" t="s">
        <v>35</v>
      </c>
      <c r="H5" s="9" t="s">
        <v>36</v>
      </c>
      <c r="I5" s="9"/>
    </row>
    <row r="6" spans="1:9" ht="15.75">
      <c r="A6" s="8">
        <f t="shared" si="0"/>
        <v>2</v>
      </c>
      <c r="B6" s="9" t="s">
        <v>37</v>
      </c>
      <c r="C6" s="9" t="s">
        <v>32</v>
      </c>
      <c r="D6" s="9" t="s">
        <v>38</v>
      </c>
      <c r="E6" s="9"/>
      <c r="F6" s="10" t="s">
        <v>39</v>
      </c>
      <c r="G6" s="10" t="s">
        <v>40</v>
      </c>
      <c r="H6" s="9" t="s">
        <v>36</v>
      </c>
      <c r="I6" s="9"/>
    </row>
    <row r="7" spans="1:9" ht="15.75">
      <c r="A7" s="8">
        <f t="shared" si="0"/>
        <v>3</v>
      </c>
      <c r="B7" s="9" t="s">
        <v>41</v>
      </c>
      <c r="C7" s="9" t="s">
        <v>42</v>
      </c>
      <c r="D7" s="9" t="s">
        <v>33</v>
      </c>
      <c r="E7" s="9"/>
      <c r="F7" s="10" t="s">
        <v>43</v>
      </c>
      <c r="G7" s="10" t="s">
        <v>44</v>
      </c>
      <c r="H7" s="9" t="s">
        <v>36</v>
      </c>
      <c r="I7" s="9"/>
    </row>
    <row r="8" spans="1:9" ht="15.75">
      <c r="A8" s="8">
        <f t="shared" si="0"/>
        <v>4</v>
      </c>
      <c r="B8" s="9" t="s">
        <v>45</v>
      </c>
      <c r="C8" s="9" t="s">
        <v>46</v>
      </c>
      <c r="D8" s="9" t="s">
        <v>33</v>
      </c>
      <c r="E8" s="9"/>
      <c r="F8" s="10" t="s">
        <v>47</v>
      </c>
      <c r="G8" s="10" t="s">
        <v>48</v>
      </c>
      <c r="H8" s="9" t="s">
        <v>36</v>
      </c>
      <c r="I8" s="9"/>
    </row>
    <row r="9" spans="1:9" ht="15.75">
      <c r="A9" s="8">
        <f t="shared" si="0"/>
        <v>5</v>
      </c>
      <c r="B9" s="9" t="s">
        <v>49</v>
      </c>
      <c r="C9" s="9" t="s">
        <v>46</v>
      </c>
      <c r="D9" s="9" t="s">
        <v>38</v>
      </c>
      <c r="E9" s="9"/>
      <c r="F9" s="10" t="s">
        <v>50</v>
      </c>
      <c r="G9" s="10"/>
      <c r="H9" s="9" t="s">
        <v>36</v>
      </c>
      <c r="I9" s="9" t="s">
        <v>51</v>
      </c>
    </row>
    <row r="10" spans="1:9" ht="15.75">
      <c r="A10" s="8">
        <f t="shared" si="0"/>
        <v>6</v>
      </c>
      <c r="B10" s="9" t="s">
        <v>52</v>
      </c>
      <c r="C10" s="9" t="s">
        <v>53</v>
      </c>
      <c r="D10" s="9" t="s">
        <v>33</v>
      </c>
      <c r="E10" s="9"/>
      <c r="F10" s="10" t="s">
        <v>54</v>
      </c>
      <c r="G10" s="10" t="s">
        <v>55</v>
      </c>
      <c r="H10" s="9" t="s">
        <v>36</v>
      </c>
      <c r="I10" s="9"/>
    </row>
    <row r="11" spans="1:9" ht="15.75">
      <c r="A11" s="8">
        <f t="shared" si="0"/>
        <v>7</v>
      </c>
      <c r="B11" s="9" t="s">
        <v>56</v>
      </c>
      <c r="C11" s="9" t="s">
        <v>53</v>
      </c>
      <c r="D11" s="9" t="s">
        <v>38</v>
      </c>
      <c r="E11" s="9"/>
      <c r="F11" s="10" t="s">
        <v>57</v>
      </c>
      <c r="G11" s="10" t="s">
        <v>58</v>
      </c>
      <c r="H11" s="9" t="s">
        <v>36</v>
      </c>
      <c r="I11" s="9" t="s">
        <v>59</v>
      </c>
    </row>
    <row r="12" spans="1:9" ht="15.75">
      <c r="A12" s="8">
        <f t="shared" si="0"/>
        <v>8</v>
      </c>
      <c r="B12" s="9" t="s">
        <v>60</v>
      </c>
      <c r="C12" s="9" t="s">
        <v>61</v>
      </c>
      <c r="D12" s="9" t="s">
        <v>33</v>
      </c>
      <c r="E12" s="9"/>
      <c r="F12" s="10" t="s">
        <v>62</v>
      </c>
      <c r="G12" s="10" t="s">
        <v>63</v>
      </c>
      <c r="H12" s="9" t="s">
        <v>36</v>
      </c>
      <c r="I12" s="9"/>
    </row>
    <row r="13" spans="1:9" ht="15.75">
      <c r="A13" s="8">
        <f t="shared" si="0"/>
        <v>9</v>
      </c>
      <c r="B13" s="9" t="s">
        <v>64</v>
      </c>
      <c r="C13" s="9" t="s">
        <v>61</v>
      </c>
      <c r="D13" s="9" t="s">
        <v>38</v>
      </c>
      <c r="E13" s="9"/>
      <c r="F13" s="10" t="s">
        <v>65</v>
      </c>
      <c r="G13" s="10" t="s">
        <v>66</v>
      </c>
      <c r="H13" s="9" t="s">
        <v>36</v>
      </c>
      <c r="I13" s="9" t="s">
        <v>67</v>
      </c>
    </row>
    <row r="14" spans="1:9" ht="15.75">
      <c r="A14" s="8">
        <f t="shared" si="0"/>
        <v>10</v>
      </c>
      <c r="B14" s="9" t="s">
        <v>68</v>
      </c>
      <c r="C14" s="9" t="s">
        <v>69</v>
      </c>
      <c r="D14" s="9" t="s">
        <v>33</v>
      </c>
      <c r="E14" s="9"/>
      <c r="F14" s="10" t="s">
        <v>70</v>
      </c>
      <c r="G14" s="10" t="s">
        <v>71</v>
      </c>
      <c r="H14" s="9" t="s">
        <v>36</v>
      </c>
      <c r="I14" s="9"/>
    </row>
    <row r="15" spans="1:9" ht="15.75">
      <c r="A15" s="8">
        <f t="shared" si="0"/>
        <v>11</v>
      </c>
      <c r="B15" s="9" t="s">
        <v>72</v>
      </c>
      <c r="C15" s="9" t="s">
        <v>73</v>
      </c>
      <c r="D15" s="9" t="s">
        <v>33</v>
      </c>
      <c r="E15" s="9"/>
      <c r="F15" s="10" t="s">
        <v>74</v>
      </c>
      <c r="G15" s="10" t="s">
        <v>75</v>
      </c>
      <c r="H15" s="9" t="s">
        <v>36</v>
      </c>
      <c r="I15" s="9"/>
    </row>
    <row r="16" spans="1:9" ht="15.75">
      <c r="A16" s="8">
        <f t="shared" si="0"/>
        <v>12</v>
      </c>
      <c r="B16" s="9" t="s">
        <v>76</v>
      </c>
      <c r="C16" s="9" t="s">
        <v>73</v>
      </c>
      <c r="D16" s="9" t="s">
        <v>38</v>
      </c>
      <c r="E16" s="9"/>
      <c r="F16" s="10" t="s">
        <v>77</v>
      </c>
      <c r="G16" s="10"/>
      <c r="H16" s="9" t="s">
        <v>36</v>
      </c>
      <c r="I16" s="9" t="s">
        <v>78</v>
      </c>
    </row>
    <row r="17" spans="1:9" ht="15.75">
      <c r="A17" s="8">
        <f t="shared" si="0"/>
        <v>13</v>
      </c>
      <c r="B17" s="9" t="s">
        <v>79</v>
      </c>
      <c r="C17" s="9" t="s">
        <v>80</v>
      </c>
      <c r="D17" s="9" t="s">
        <v>33</v>
      </c>
      <c r="E17" s="9"/>
      <c r="F17" s="10" t="s">
        <v>81</v>
      </c>
      <c r="G17" s="10" t="s">
        <v>82</v>
      </c>
      <c r="H17" s="9" t="s">
        <v>36</v>
      </c>
      <c r="I17" s="9"/>
    </row>
    <row r="18" spans="1:9" ht="15.75">
      <c r="A18" s="8">
        <f t="shared" si="0"/>
        <v>14</v>
      </c>
      <c r="B18" s="9" t="s">
        <v>83</v>
      </c>
      <c r="C18" s="9" t="s">
        <v>80</v>
      </c>
      <c r="D18" s="9" t="s">
        <v>33</v>
      </c>
      <c r="E18" s="9"/>
      <c r="F18" s="10" t="s">
        <v>84</v>
      </c>
      <c r="G18" s="10" t="s">
        <v>85</v>
      </c>
      <c r="H18" s="9" t="s">
        <v>36</v>
      </c>
      <c r="I18" s="9"/>
    </row>
    <row r="19" spans="1:9" ht="15.75">
      <c r="A19" s="8">
        <f t="shared" si="0"/>
        <v>15</v>
      </c>
      <c r="B19" s="9" t="s">
        <v>86</v>
      </c>
      <c r="C19" s="9" t="s">
        <v>87</v>
      </c>
      <c r="D19" s="9" t="s">
        <v>33</v>
      </c>
      <c r="E19" s="9"/>
      <c r="F19" s="10" t="s">
        <v>88</v>
      </c>
      <c r="G19" s="10"/>
      <c r="H19" s="9" t="s">
        <v>36</v>
      </c>
      <c r="I19" s="9" t="s">
        <v>89</v>
      </c>
    </row>
    <row r="20" spans="1:9" ht="15.75">
      <c r="A20" s="8">
        <f t="shared" si="0"/>
        <v>16</v>
      </c>
      <c r="B20" s="9" t="s">
        <v>90</v>
      </c>
      <c r="C20" s="9" t="s">
        <v>91</v>
      </c>
      <c r="D20" s="9" t="s">
        <v>33</v>
      </c>
      <c r="E20" s="9"/>
      <c r="F20" s="10" t="s">
        <v>92</v>
      </c>
      <c r="G20" s="10" t="s">
        <v>93</v>
      </c>
      <c r="H20" s="9" t="s">
        <v>36</v>
      </c>
      <c r="I20" s="9"/>
    </row>
    <row r="21" spans="1:9" ht="15.75">
      <c r="A21" s="8">
        <f t="shared" si="0"/>
        <v>17</v>
      </c>
      <c r="B21" s="9" t="s">
        <v>94</v>
      </c>
      <c r="C21" s="9" t="s">
        <v>91</v>
      </c>
      <c r="D21" s="9" t="s">
        <v>38</v>
      </c>
      <c r="E21" s="9"/>
      <c r="F21" s="10" t="s">
        <v>95</v>
      </c>
      <c r="G21" s="10" t="s">
        <v>96</v>
      </c>
      <c r="H21" s="9" t="s">
        <v>36</v>
      </c>
      <c r="I21" s="9" t="s">
        <v>97</v>
      </c>
    </row>
    <row r="22" spans="1:9" ht="15.75">
      <c r="A22" s="8">
        <f t="shared" si="0"/>
        <v>18</v>
      </c>
      <c r="B22" s="9" t="s">
        <v>98</v>
      </c>
      <c r="C22" s="9" t="s">
        <v>99</v>
      </c>
      <c r="D22" s="9" t="s">
        <v>33</v>
      </c>
      <c r="E22" s="9"/>
      <c r="F22" s="10" t="s">
        <v>100</v>
      </c>
      <c r="G22" s="10" t="s">
        <v>101</v>
      </c>
      <c r="H22" s="9" t="s">
        <v>36</v>
      </c>
      <c r="I22" s="9"/>
    </row>
    <row r="23" spans="1:9" ht="15.75">
      <c r="A23" s="8">
        <f t="shared" si="0"/>
        <v>19</v>
      </c>
      <c r="B23" s="9" t="s">
        <v>102</v>
      </c>
      <c r="C23" s="9" t="s">
        <v>99</v>
      </c>
      <c r="D23" s="9" t="s">
        <v>38</v>
      </c>
      <c r="E23" s="9"/>
      <c r="F23" s="10" t="s">
        <v>103</v>
      </c>
      <c r="G23" s="10" t="s">
        <v>104</v>
      </c>
      <c r="H23" s="9" t="s">
        <v>36</v>
      </c>
      <c r="I23" s="9" t="s">
        <v>105</v>
      </c>
    </row>
    <row r="24" spans="1:9" ht="15.75">
      <c r="A24" s="8">
        <f t="shared" si="0"/>
        <v>20</v>
      </c>
      <c r="B24" s="9" t="s">
        <v>106</v>
      </c>
      <c r="C24" s="9" t="s">
        <v>107</v>
      </c>
      <c r="D24" s="9" t="s">
        <v>33</v>
      </c>
      <c r="E24" s="9"/>
      <c r="F24" s="10" t="s">
        <v>108</v>
      </c>
      <c r="G24" s="10" t="s">
        <v>109</v>
      </c>
      <c r="H24" s="9" t="s">
        <v>36</v>
      </c>
      <c r="I24" s="9"/>
    </row>
    <row r="25" spans="1:9" ht="15.75">
      <c r="A25" s="8">
        <f t="shared" si="0"/>
        <v>21</v>
      </c>
      <c r="B25" s="9" t="s">
        <v>110</v>
      </c>
      <c r="C25" s="9" t="s">
        <v>87</v>
      </c>
      <c r="D25" s="9" t="s">
        <v>33</v>
      </c>
      <c r="E25" s="9"/>
      <c r="F25" s="10"/>
      <c r="G25" s="10"/>
      <c r="H25" s="9" t="s">
        <v>111</v>
      </c>
      <c r="I25" s="9" t="s">
        <v>112</v>
      </c>
    </row>
    <row r="26" spans="1:9" ht="15.75">
      <c r="A26" s="8">
        <f t="shared" si="0"/>
        <v>22</v>
      </c>
      <c r="B26" s="9" t="s">
        <v>113</v>
      </c>
      <c r="C26" s="9" t="s">
        <v>107</v>
      </c>
      <c r="D26" s="9" t="s">
        <v>33</v>
      </c>
      <c r="E26" s="9"/>
      <c r="F26" s="10"/>
      <c r="G26" s="10"/>
      <c r="H26" s="9" t="s">
        <v>114</v>
      </c>
      <c r="I26" s="9" t="s">
        <v>115</v>
      </c>
    </row>
    <row r="27" spans="1:9" ht="15.75">
      <c r="A27" s="8" t="str">
        <f t="shared" si="0"/>
        <v/>
      </c>
      <c r="B27" s="9"/>
      <c r="C27" s="9"/>
      <c r="D27" s="9"/>
      <c r="E27" s="9"/>
      <c r="F27" s="10"/>
      <c r="G27" s="10"/>
      <c r="H27" s="9"/>
      <c r="I27" s="9"/>
    </row>
    <row r="28" spans="1:9" ht="15.75">
      <c r="A28" s="8" t="str">
        <f t="shared" si="0"/>
        <v/>
      </c>
      <c r="B28" s="9"/>
      <c r="C28" s="9"/>
      <c r="D28" s="9"/>
      <c r="E28" s="9"/>
      <c r="F28" s="10"/>
      <c r="G28" s="10"/>
      <c r="H28" s="9"/>
      <c r="I28" s="9"/>
    </row>
    <row r="29" spans="1:9" ht="15.75">
      <c r="A29" s="8" t="str">
        <f t="shared" si="0"/>
        <v/>
      </c>
      <c r="B29" s="9"/>
      <c r="C29" s="9"/>
      <c r="D29" s="9"/>
      <c r="E29" s="9"/>
      <c r="F29" s="10"/>
      <c r="G29" s="10"/>
      <c r="H29" s="9"/>
      <c r="I29" s="9"/>
    </row>
    <row r="30" spans="1:9" ht="15.75">
      <c r="A30" s="8" t="str">
        <f t="shared" si="0"/>
        <v/>
      </c>
      <c r="B30" s="9"/>
      <c r="C30" s="9"/>
      <c r="D30" s="9"/>
      <c r="E30" s="9"/>
      <c r="F30" s="10"/>
      <c r="G30" s="10"/>
      <c r="H30" s="9"/>
      <c r="I30" s="9"/>
    </row>
    <row r="31" spans="1:9" ht="15.75">
      <c r="A31" s="8" t="str">
        <f t="shared" si="0"/>
        <v/>
      </c>
      <c r="B31" s="9"/>
      <c r="C31" s="9"/>
      <c r="D31" s="9"/>
      <c r="E31" s="9"/>
      <c r="F31" s="10"/>
      <c r="G31" s="10"/>
      <c r="H31" s="9"/>
      <c r="I31" s="9"/>
    </row>
    <row r="32" spans="1:9" ht="15.75">
      <c r="A32" s="8" t="str">
        <f t="shared" si="0"/>
        <v/>
      </c>
      <c r="B32" s="9"/>
      <c r="C32" s="9"/>
      <c r="D32" s="9"/>
      <c r="E32" s="9"/>
      <c r="F32" s="10"/>
      <c r="G32" s="10"/>
      <c r="H32" s="9"/>
      <c r="I32" s="9"/>
    </row>
    <row r="33" spans="1:9" ht="15.75">
      <c r="A33" s="8" t="str">
        <f t="shared" si="0"/>
        <v/>
      </c>
      <c r="B33" s="9"/>
      <c r="C33" s="9"/>
      <c r="D33" s="9"/>
      <c r="E33" s="9"/>
      <c r="F33" s="10"/>
      <c r="G33" s="10"/>
      <c r="H33" s="9"/>
      <c r="I33" s="9"/>
    </row>
    <row r="34" spans="1:9" ht="15.75">
      <c r="A34" s="8" t="str">
        <f t="shared" si="0"/>
        <v/>
      </c>
      <c r="B34" s="9"/>
      <c r="C34" s="9"/>
      <c r="D34" s="9"/>
      <c r="E34" s="9"/>
      <c r="F34" s="10"/>
      <c r="G34" s="10"/>
      <c r="H34" s="9"/>
      <c r="I34" s="9"/>
    </row>
    <row r="35" spans="1:9" ht="15.75">
      <c r="A35" s="8" t="str">
        <f t="shared" si="0"/>
        <v/>
      </c>
      <c r="B35" s="9"/>
      <c r="C35" s="9"/>
      <c r="D35" s="9"/>
      <c r="E35" s="9"/>
      <c r="F35" s="10"/>
      <c r="G35" s="10"/>
      <c r="H35" s="9"/>
      <c r="I35" s="9"/>
    </row>
    <row r="36" spans="1:9" ht="15.75">
      <c r="A36" s="8" t="str">
        <f t="shared" si="0"/>
        <v/>
      </c>
      <c r="B36" s="9"/>
      <c r="C36" s="9"/>
      <c r="D36" s="9"/>
      <c r="E36" s="9"/>
      <c r="F36" s="10"/>
      <c r="G36" s="10"/>
      <c r="H36" s="9"/>
      <c r="I36" s="9"/>
    </row>
    <row r="37" spans="1:9" ht="15.75">
      <c r="A37" s="8" t="str">
        <f t="shared" ref="A37:A68" si="1">IF(B37="","",ROW()-4)</f>
        <v/>
      </c>
      <c r="B37" s="9"/>
      <c r="C37" s="9"/>
      <c r="D37" s="9"/>
      <c r="E37" s="9"/>
      <c r="F37" s="10"/>
      <c r="G37" s="10"/>
      <c r="H37" s="9"/>
      <c r="I37" s="9"/>
    </row>
    <row r="38" spans="1:9" ht="15.75">
      <c r="A38" s="8" t="str">
        <f t="shared" si="1"/>
        <v/>
      </c>
      <c r="B38" s="9"/>
      <c r="C38" s="9"/>
      <c r="D38" s="9"/>
      <c r="E38" s="9"/>
      <c r="F38" s="10"/>
      <c r="G38" s="10"/>
      <c r="H38" s="9"/>
      <c r="I38" s="9"/>
    </row>
    <row r="39" spans="1:9" ht="15.75">
      <c r="A39" s="8" t="str">
        <f t="shared" si="1"/>
        <v/>
      </c>
      <c r="B39" s="9"/>
      <c r="C39" s="9"/>
      <c r="D39" s="9"/>
      <c r="E39" s="9"/>
      <c r="F39" s="10"/>
      <c r="G39" s="10"/>
      <c r="H39" s="9"/>
      <c r="I39" s="9"/>
    </row>
    <row r="40" spans="1:9" ht="15.75">
      <c r="A40" s="8" t="str">
        <f t="shared" si="1"/>
        <v/>
      </c>
      <c r="B40" s="9"/>
      <c r="C40" s="9"/>
      <c r="D40" s="9"/>
      <c r="E40" s="9"/>
      <c r="F40" s="10"/>
      <c r="G40" s="10"/>
      <c r="H40" s="9"/>
      <c r="I40" s="9"/>
    </row>
    <row r="41" spans="1:9" ht="15.75">
      <c r="A41" s="8" t="str">
        <f t="shared" si="1"/>
        <v/>
      </c>
      <c r="B41" s="9"/>
      <c r="C41" s="9"/>
      <c r="D41" s="9"/>
      <c r="E41" s="9"/>
      <c r="F41" s="10"/>
      <c r="G41" s="10"/>
      <c r="H41" s="9"/>
      <c r="I41" s="9"/>
    </row>
    <row r="42" spans="1:9" ht="15.75">
      <c r="A42" s="8" t="str">
        <f t="shared" si="1"/>
        <v/>
      </c>
      <c r="B42" s="9"/>
      <c r="C42" s="9"/>
      <c r="D42" s="9"/>
      <c r="E42" s="9"/>
      <c r="F42" s="10"/>
      <c r="G42" s="10"/>
      <c r="H42" s="9"/>
      <c r="I42" s="9"/>
    </row>
    <row r="43" spans="1:9" ht="15.75">
      <c r="A43" s="8" t="str">
        <f t="shared" si="1"/>
        <v/>
      </c>
      <c r="B43" s="9"/>
      <c r="C43" s="9"/>
      <c r="D43" s="9"/>
      <c r="E43" s="9"/>
      <c r="F43" s="10"/>
      <c r="G43" s="10"/>
      <c r="H43" s="9"/>
      <c r="I43" s="9"/>
    </row>
    <row r="44" spans="1:9" ht="15.75">
      <c r="A44" s="8" t="str">
        <f t="shared" si="1"/>
        <v/>
      </c>
      <c r="B44" s="9"/>
      <c r="C44" s="9"/>
      <c r="D44" s="9"/>
      <c r="E44" s="9"/>
      <c r="F44" s="10"/>
      <c r="G44" s="10"/>
      <c r="H44" s="9"/>
      <c r="I44" s="9"/>
    </row>
    <row r="45" spans="1:9" ht="15.75">
      <c r="A45" s="8" t="str">
        <f t="shared" si="1"/>
        <v/>
      </c>
      <c r="B45" s="9"/>
      <c r="C45" s="9"/>
      <c r="D45" s="9"/>
      <c r="E45" s="9"/>
      <c r="F45" s="10"/>
      <c r="G45" s="10"/>
      <c r="H45" s="9"/>
      <c r="I45" s="9"/>
    </row>
    <row r="46" spans="1:9" ht="15.75">
      <c r="A46" s="8" t="str">
        <f t="shared" si="1"/>
        <v/>
      </c>
      <c r="B46" s="9"/>
      <c r="C46" s="9"/>
      <c r="D46" s="9"/>
      <c r="E46" s="9"/>
      <c r="F46" s="10"/>
      <c r="G46" s="10"/>
      <c r="H46" s="9"/>
      <c r="I46" s="9"/>
    </row>
    <row r="47" spans="1:9" ht="15.75">
      <c r="A47" s="8" t="str">
        <f t="shared" si="1"/>
        <v/>
      </c>
      <c r="B47" s="9"/>
      <c r="C47" s="9"/>
      <c r="D47" s="9"/>
      <c r="E47" s="9"/>
      <c r="F47" s="10"/>
      <c r="G47" s="10"/>
      <c r="H47" s="9"/>
      <c r="I47" s="9"/>
    </row>
    <row r="48" spans="1:9" ht="15.75">
      <c r="A48" s="8" t="str">
        <f t="shared" si="1"/>
        <v/>
      </c>
      <c r="B48" s="9"/>
      <c r="C48" s="9"/>
      <c r="D48" s="9"/>
      <c r="E48" s="9"/>
      <c r="F48" s="10"/>
      <c r="G48" s="10"/>
      <c r="H48" s="9"/>
      <c r="I48" s="9"/>
    </row>
    <row r="49" spans="1:9" ht="15.75">
      <c r="A49" s="8" t="str">
        <f t="shared" si="1"/>
        <v/>
      </c>
      <c r="B49" s="9"/>
      <c r="C49" s="9"/>
      <c r="D49" s="9"/>
      <c r="E49" s="9"/>
      <c r="F49" s="10"/>
      <c r="G49" s="10"/>
      <c r="H49" s="9"/>
      <c r="I49" s="9"/>
    </row>
    <row r="50" spans="1:9" ht="15.75">
      <c r="A50" s="8" t="str">
        <f t="shared" si="1"/>
        <v/>
      </c>
      <c r="B50" s="9"/>
      <c r="C50" s="9"/>
      <c r="D50" s="9"/>
      <c r="E50" s="9"/>
      <c r="F50" s="10"/>
      <c r="G50" s="10"/>
      <c r="H50" s="9"/>
      <c r="I50" s="9"/>
    </row>
    <row r="51" spans="1:9" ht="15.75">
      <c r="A51" s="8" t="str">
        <f t="shared" si="1"/>
        <v/>
      </c>
      <c r="B51" s="9"/>
      <c r="C51" s="9"/>
      <c r="D51" s="9"/>
      <c r="E51" s="9"/>
      <c r="F51" s="10"/>
      <c r="G51" s="10"/>
      <c r="H51" s="9"/>
      <c r="I51" s="9"/>
    </row>
    <row r="52" spans="1:9" ht="15.75">
      <c r="A52" s="8" t="str">
        <f t="shared" si="1"/>
        <v/>
      </c>
      <c r="B52" s="9"/>
      <c r="C52" s="9"/>
      <c r="D52" s="9"/>
      <c r="E52" s="9"/>
      <c r="F52" s="10"/>
      <c r="G52" s="10"/>
      <c r="H52" s="9"/>
      <c r="I52" s="9"/>
    </row>
    <row r="53" spans="1:9" ht="15.75">
      <c r="A53" s="8" t="str">
        <f t="shared" si="1"/>
        <v/>
      </c>
      <c r="B53" s="9"/>
      <c r="C53" s="9"/>
      <c r="D53" s="9"/>
      <c r="E53" s="9"/>
      <c r="F53" s="10"/>
      <c r="G53" s="10"/>
      <c r="H53" s="9"/>
      <c r="I53" s="9"/>
    </row>
    <row r="54" spans="1:9" ht="15.75">
      <c r="A54" s="8" t="str">
        <f t="shared" si="1"/>
        <v/>
      </c>
      <c r="B54" s="9"/>
      <c r="C54" s="9"/>
      <c r="D54" s="9"/>
      <c r="E54" s="9"/>
      <c r="F54" s="10"/>
      <c r="G54" s="10"/>
      <c r="H54" s="9"/>
      <c r="I54" s="9"/>
    </row>
    <row r="55" spans="1:9" ht="15.75">
      <c r="A55" s="8" t="str">
        <f t="shared" si="1"/>
        <v/>
      </c>
      <c r="B55" s="9"/>
      <c r="C55" s="9"/>
      <c r="D55" s="9"/>
      <c r="E55" s="9"/>
      <c r="F55" s="10"/>
      <c r="G55" s="10"/>
      <c r="H55" s="9"/>
      <c r="I55" s="9"/>
    </row>
    <row r="56" spans="1:9" ht="15.75">
      <c r="A56" s="8" t="str">
        <f t="shared" si="1"/>
        <v/>
      </c>
      <c r="B56" s="9"/>
      <c r="C56" s="9"/>
      <c r="D56" s="9"/>
      <c r="E56" s="9"/>
      <c r="F56" s="10"/>
      <c r="G56" s="10"/>
      <c r="H56" s="9"/>
      <c r="I56" s="9"/>
    </row>
    <row r="57" spans="1:9" ht="15.75">
      <c r="A57" s="8" t="str">
        <f t="shared" si="1"/>
        <v/>
      </c>
      <c r="B57" s="9"/>
      <c r="C57" s="9"/>
      <c r="D57" s="9"/>
      <c r="E57" s="9"/>
      <c r="F57" s="10"/>
      <c r="G57" s="10"/>
      <c r="H57" s="9"/>
      <c r="I57" s="9"/>
    </row>
    <row r="58" spans="1:9" ht="15.75">
      <c r="A58" s="8" t="str">
        <f t="shared" si="1"/>
        <v/>
      </c>
      <c r="B58" s="9"/>
      <c r="C58" s="9"/>
      <c r="D58" s="9"/>
      <c r="E58" s="9"/>
      <c r="F58" s="10"/>
      <c r="G58" s="10"/>
      <c r="H58" s="9"/>
      <c r="I58" s="9"/>
    </row>
    <row r="59" spans="1:9" ht="15.75">
      <c r="A59" s="8" t="str">
        <f t="shared" si="1"/>
        <v/>
      </c>
      <c r="B59" s="9"/>
      <c r="C59" s="9"/>
      <c r="D59" s="9"/>
      <c r="E59" s="9"/>
      <c r="F59" s="10"/>
      <c r="G59" s="10"/>
      <c r="H59" s="9"/>
      <c r="I59" s="9"/>
    </row>
    <row r="60" spans="1:9" ht="15.75">
      <c r="A60" s="8" t="str">
        <f t="shared" si="1"/>
        <v/>
      </c>
      <c r="B60" s="9"/>
      <c r="C60" s="9"/>
      <c r="D60" s="9"/>
      <c r="E60" s="9"/>
      <c r="F60" s="10"/>
      <c r="G60" s="10"/>
      <c r="H60" s="9"/>
      <c r="I60" s="9"/>
    </row>
    <row r="61" spans="1:9" ht="15.75">
      <c r="A61" s="8" t="str">
        <f t="shared" si="1"/>
        <v/>
      </c>
      <c r="B61" s="9"/>
      <c r="C61" s="9"/>
      <c r="D61" s="9"/>
      <c r="E61" s="9"/>
      <c r="F61" s="10"/>
      <c r="G61" s="10"/>
      <c r="H61" s="9"/>
      <c r="I61" s="9"/>
    </row>
    <row r="62" spans="1:9" ht="15.75">
      <c r="A62" s="8" t="str">
        <f t="shared" si="1"/>
        <v/>
      </c>
      <c r="B62" s="9"/>
      <c r="C62" s="9"/>
      <c r="D62" s="9"/>
      <c r="E62" s="9"/>
      <c r="F62" s="10"/>
      <c r="G62" s="10"/>
      <c r="H62" s="9"/>
      <c r="I62" s="9"/>
    </row>
    <row r="63" spans="1:9" ht="15.75">
      <c r="A63" s="8" t="str">
        <f t="shared" si="1"/>
        <v/>
      </c>
      <c r="B63" s="9"/>
      <c r="C63" s="9"/>
      <c r="D63" s="9"/>
      <c r="E63" s="9"/>
      <c r="F63" s="10"/>
      <c r="G63" s="10"/>
      <c r="H63" s="9"/>
      <c r="I63" s="9"/>
    </row>
    <row r="64" spans="1:9" ht="15.75">
      <c r="A64" s="8" t="str">
        <f t="shared" si="1"/>
        <v/>
      </c>
      <c r="B64" s="9"/>
      <c r="C64" s="9"/>
      <c r="D64" s="9"/>
      <c r="E64" s="9"/>
      <c r="F64" s="10"/>
      <c r="G64" s="10"/>
      <c r="H64" s="9"/>
      <c r="I64" s="9"/>
    </row>
  </sheetData>
  <conditionalFormatting sqref="F5:F64">
    <cfRule type="expression" dxfId="14" priority="4">
      <formula>AND(B5&lt;&gt;"",H5="Active",F5="")</formula>
    </cfRule>
  </conditionalFormatting>
  <conditionalFormatting sqref="H5:H64">
    <cfRule type="cellIs" dxfId="13" priority="2" operator="equal">
      <formula>"Active"</formula>
    </cfRule>
    <cfRule type="cellIs" dxfId="12" priority="3" operator="notEqual">
      <formula>"Active"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Settings!$A$12:$A$23</xm:f>
          </x14:formula1>
          <x14:formula2>
            <xm:f>0</xm:f>
          </x14:formula2>
          <xm:sqref>C5:C64</xm:sqref>
        </x14:dataValidation>
        <x14:dataValidation type="list" allowBlank="1" xr:uid="{00000000-0002-0000-0100-000001000000}">
          <x14:formula1>
            <xm:f>Settings!$B$12:$B$13</xm:f>
          </x14:formula1>
          <x14:formula2>
            <xm:f>0</xm:f>
          </x14:formula2>
          <xm:sqref>D5:D64</xm:sqref>
        </x14:dataValidation>
        <x14:dataValidation type="list" allowBlank="1" xr:uid="{00000000-0002-0000-0100-000002000000}">
          <x14:formula1>
            <xm:f>Settings!$C$12:$C$15</xm:f>
          </x14:formula1>
          <x14:formula2>
            <xm:f>0</xm:f>
          </x14:formula2>
          <xm:sqref>H5:H64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04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2" customWidth="1"/>
    <col min="2" max="2" width="28" customWidth="1"/>
    <col min="3" max="3" width="11" customWidth="1"/>
    <col min="4" max="4" width="18" customWidth="1"/>
    <col min="5" max="5" width="11" customWidth="1"/>
    <col min="6" max="7" width="10" customWidth="1"/>
    <col min="8" max="8" width="12" customWidth="1"/>
    <col min="9" max="10" width="16" customWidth="1"/>
    <col min="11" max="11" width="14" customWidth="1"/>
    <col min="12" max="12" width="16" customWidth="1"/>
    <col min="13" max="13" width="11" customWidth="1"/>
    <col min="14" max="14" width="40" customWidth="1"/>
  </cols>
  <sheetData>
    <row r="1" spans="1:14" ht="20.25">
      <c r="A1" s="5" t="s">
        <v>116</v>
      </c>
    </row>
    <row r="2" spans="1:14" ht="15.75">
      <c r="A2" s="6" t="s">
        <v>117</v>
      </c>
    </row>
    <row r="4" spans="1:14" ht="36" customHeight="1">
      <c r="A4" s="7" t="s">
        <v>118</v>
      </c>
      <c r="B4" s="7" t="s">
        <v>23</v>
      </c>
      <c r="C4" s="7" t="s">
        <v>24</v>
      </c>
      <c r="D4" s="7" t="s">
        <v>25</v>
      </c>
      <c r="E4" s="7" t="s">
        <v>119</v>
      </c>
      <c r="F4" s="7" t="s">
        <v>120</v>
      </c>
      <c r="G4" s="7" t="s">
        <v>121</v>
      </c>
      <c r="H4" s="7" t="s">
        <v>122</v>
      </c>
      <c r="I4" s="7" t="s">
        <v>123</v>
      </c>
      <c r="J4" s="7" t="s">
        <v>124</v>
      </c>
      <c r="K4" s="7" t="s">
        <v>125</v>
      </c>
      <c r="L4" s="7" t="s">
        <v>126</v>
      </c>
      <c r="M4" s="7" t="s">
        <v>127</v>
      </c>
      <c r="N4" s="7" t="s">
        <v>128</v>
      </c>
    </row>
    <row r="5" spans="1:14" ht="15.75">
      <c r="A5" s="11">
        <v>46315</v>
      </c>
      <c r="B5" s="9" t="s">
        <v>31</v>
      </c>
      <c r="C5" s="12" t="str">
        <f>IF(B5="","",IFERROR(INDEX('Cashier Roster'!$C$5:$C$64,MATCH(B5,'Cashier Roster'!$B$5:$B$64,0)),"Not on roster"))</f>
        <v>Agbara</v>
      </c>
      <c r="D5" s="12" t="str">
        <f>IF(B5="","",IFERROR(INDEX('Cashier Roster'!$D$5:$D$64,MATCH(B5,'Cashier Roster'!$B$5:$B$64,0)),""))</f>
        <v>District cashier</v>
      </c>
      <c r="E5" s="13"/>
      <c r="F5" s="14"/>
      <c r="G5" s="8" t="str">
        <f>IF(OR(B5="",E5=""),"",IF(E5="No","Missed",IF(F5="","",IF(F5&lt;=Settings!$B$7,"On time","Late"))))</f>
        <v/>
      </c>
      <c r="H5" s="15"/>
      <c r="I5" s="16"/>
      <c r="J5" s="16"/>
      <c r="K5" s="17" t="str">
        <f>IF(J5="","",ROUND(J5*Settings!$B$8,2))</f>
        <v/>
      </c>
      <c r="L5" s="16"/>
      <c r="M5" s="8" t="str">
        <f t="shared" ref="M5:M68" si="0">IF(L5="","",IF(L5&lt;=0,"Yes","No"))</f>
        <v/>
      </c>
      <c r="N5" s="18" t="s">
        <v>129</v>
      </c>
    </row>
    <row r="6" spans="1:14" ht="15.75">
      <c r="A6" s="11">
        <v>46315</v>
      </c>
      <c r="B6" s="9" t="s">
        <v>37</v>
      </c>
      <c r="C6" s="12" t="str">
        <f>IF(B6="","",IFERROR(INDEX('Cashier Roster'!$C$5:$C$64,MATCH(B6,'Cashier Roster'!$B$5:$B$64,0)),"Not on roster"))</f>
        <v>Agbara</v>
      </c>
      <c r="D6" s="12" t="str">
        <f>IF(B6="","",IFERROR(INDEX('Cashier Roster'!$D$5:$D$64,MATCH(B6,'Cashier Roster'!$B$5:$B$64,0)),""))</f>
        <v>Zone cashier (new)</v>
      </c>
      <c r="E6" s="13"/>
      <c r="F6" s="14"/>
      <c r="G6" s="8" t="str">
        <f>IF(OR(B6="",E6=""),"",IF(E6="No","Missed",IF(F6="","",IF(F6&lt;=Settings!$B$7,"On time","Late"))))</f>
        <v/>
      </c>
      <c r="H6" s="15"/>
      <c r="I6" s="16"/>
      <c r="J6" s="16"/>
      <c r="K6" s="17" t="str">
        <f>IF(J6="","",ROUND(J6*Settings!$B$8,2))</f>
        <v/>
      </c>
      <c r="L6" s="16"/>
      <c r="M6" s="8" t="str">
        <f t="shared" si="0"/>
        <v/>
      </c>
      <c r="N6" s="9"/>
    </row>
    <row r="7" spans="1:14" ht="15.75">
      <c r="A7" s="11">
        <v>46315</v>
      </c>
      <c r="B7" s="9" t="s">
        <v>41</v>
      </c>
      <c r="C7" s="12" t="str">
        <f>IF(B7="","",IFERROR(INDEX('Cashier Roster'!$C$5:$C$64,MATCH(B7,'Cashier Roster'!$B$5:$B$64,0)),"Not on roster"))</f>
        <v>Ajah</v>
      </c>
      <c r="D7" s="12" t="str">
        <f>IF(B7="","",IFERROR(INDEX('Cashier Roster'!$D$5:$D$64,MATCH(B7,'Cashier Roster'!$B$5:$B$64,0)),""))</f>
        <v>District cashier</v>
      </c>
      <c r="E7" s="13"/>
      <c r="F7" s="14"/>
      <c r="G7" s="8" t="str">
        <f>IF(OR(B7="",E7=""),"",IF(E7="No","Missed",IF(F7="","",IF(F7&lt;=Settings!$B$7,"On time","Late"))))</f>
        <v/>
      </c>
      <c r="H7" s="15"/>
      <c r="I7" s="16"/>
      <c r="J7" s="16"/>
      <c r="K7" s="17" t="str">
        <f>IF(J7="","",ROUND(J7*Settings!$B$8,2))</f>
        <v/>
      </c>
      <c r="L7" s="16"/>
      <c r="M7" s="8" t="str">
        <f t="shared" si="0"/>
        <v/>
      </c>
      <c r="N7" s="9"/>
    </row>
    <row r="8" spans="1:14" ht="15.75">
      <c r="A8" s="11">
        <v>46315</v>
      </c>
      <c r="B8" s="9" t="s">
        <v>45</v>
      </c>
      <c r="C8" s="12" t="str">
        <f>IF(B8="","",IFERROR(INDEX('Cashier Roster'!$C$5:$C$64,MATCH(B8,'Cashier Roster'!$B$5:$B$64,0)),"Not on roster"))</f>
        <v>Ajele</v>
      </c>
      <c r="D8" s="12" t="str">
        <f>IF(B8="","",IFERROR(INDEX('Cashier Roster'!$D$5:$D$64,MATCH(B8,'Cashier Roster'!$B$5:$B$64,0)),""))</f>
        <v>District cashier</v>
      </c>
      <c r="E8" s="13"/>
      <c r="F8" s="14"/>
      <c r="G8" s="8" t="str">
        <f>IF(OR(B8="",E8=""),"",IF(E8="No","Missed",IF(F8="","",IF(F8&lt;=Settings!$B$7,"On time","Late"))))</f>
        <v/>
      </c>
      <c r="H8" s="15"/>
      <c r="I8" s="16"/>
      <c r="J8" s="16"/>
      <c r="K8" s="17" t="str">
        <f>IF(J8="","",ROUND(J8*Settings!$B$8,2))</f>
        <v/>
      </c>
      <c r="L8" s="16"/>
      <c r="M8" s="8" t="str">
        <f t="shared" si="0"/>
        <v/>
      </c>
      <c r="N8" s="9"/>
    </row>
    <row r="9" spans="1:14" ht="15.75">
      <c r="A9" s="11">
        <v>46315</v>
      </c>
      <c r="B9" s="9" t="s">
        <v>49</v>
      </c>
      <c r="C9" s="12" t="str">
        <f>IF(B9="","",IFERROR(INDEX('Cashier Roster'!$C$5:$C$64,MATCH(B9,'Cashier Roster'!$B$5:$B$64,0)),"Not on roster"))</f>
        <v>Ajele</v>
      </c>
      <c r="D9" s="12" t="str">
        <f>IF(B9="","",IFERROR(INDEX('Cashier Roster'!$D$5:$D$64,MATCH(B9,'Cashier Roster'!$B$5:$B$64,0)),""))</f>
        <v>Zone cashier (new)</v>
      </c>
      <c r="E9" s="13"/>
      <c r="F9" s="14"/>
      <c r="G9" s="8" t="str">
        <f>IF(OR(B9="",E9=""),"",IF(E9="No","Missed",IF(F9="","",IF(F9&lt;=Settings!$B$7,"On time","Late"))))</f>
        <v/>
      </c>
      <c r="H9" s="15"/>
      <c r="I9" s="16"/>
      <c r="J9" s="16"/>
      <c r="K9" s="17" t="str">
        <f>IF(J9="","",ROUND(J9*Settings!$B$8,2))</f>
        <v/>
      </c>
      <c r="L9" s="16"/>
      <c r="M9" s="8" t="str">
        <f t="shared" si="0"/>
        <v/>
      </c>
      <c r="N9" s="9"/>
    </row>
    <row r="10" spans="1:14" ht="15.75">
      <c r="A10" s="11">
        <v>46315</v>
      </c>
      <c r="B10" s="9" t="s">
        <v>52</v>
      </c>
      <c r="C10" s="12" t="str">
        <f>IF(B10="","",IFERROR(INDEX('Cashier Roster'!$C$5:$C$64,MATCH(B10,'Cashier Roster'!$B$5:$B$64,0)),"Not on roster"))</f>
        <v>Apapa</v>
      </c>
      <c r="D10" s="12" t="str">
        <f>IF(B10="","",IFERROR(INDEX('Cashier Roster'!$D$5:$D$64,MATCH(B10,'Cashier Roster'!$B$5:$B$64,0)),""))</f>
        <v>District cashier</v>
      </c>
      <c r="E10" s="13"/>
      <c r="F10" s="14"/>
      <c r="G10" s="8" t="str">
        <f>IF(OR(B10="",E10=""),"",IF(E10="No","Missed",IF(F10="","",IF(F10&lt;=Settings!$B$7,"On time","Late"))))</f>
        <v/>
      </c>
      <c r="H10" s="15"/>
      <c r="I10" s="16"/>
      <c r="J10" s="16"/>
      <c r="K10" s="17" t="str">
        <f>IF(J10="","",ROUND(J10*Settings!$B$8,2))</f>
        <v/>
      </c>
      <c r="L10" s="16"/>
      <c r="M10" s="8" t="str">
        <f t="shared" si="0"/>
        <v/>
      </c>
      <c r="N10" s="9"/>
    </row>
    <row r="11" spans="1:14" ht="15.75">
      <c r="A11" s="11">
        <v>46315</v>
      </c>
      <c r="B11" s="9" t="s">
        <v>56</v>
      </c>
      <c r="C11" s="12" t="str">
        <f>IF(B11="","",IFERROR(INDEX('Cashier Roster'!$C$5:$C$64,MATCH(B11,'Cashier Roster'!$B$5:$B$64,0)),"Not on roster"))</f>
        <v>Apapa</v>
      </c>
      <c r="D11" s="12" t="str">
        <f>IF(B11="","",IFERROR(INDEX('Cashier Roster'!$D$5:$D$64,MATCH(B11,'Cashier Roster'!$B$5:$B$64,0)),""))</f>
        <v>Zone cashier (new)</v>
      </c>
      <c r="E11" s="13"/>
      <c r="F11" s="14"/>
      <c r="G11" s="8" t="str">
        <f>IF(OR(B11="",E11=""),"",IF(E11="No","Missed",IF(F11="","",IF(F11&lt;=Settings!$B$7,"On time","Late"))))</f>
        <v/>
      </c>
      <c r="H11" s="15"/>
      <c r="I11" s="16"/>
      <c r="J11" s="16"/>
      <c r="K11" s="17" t="str">
        <f>IF(J11="","",ROUND(J11*Settings!$B$8,2))</f>
        <v/>
      </c>
      <c r="L11" s="16"/>
      <c r="M11" s="8" t="str">
        <f t="shared" si="0"/>
        <v/>
      </c>
      <c r="N11" s="9"/>
    </row>
    <row r="12" spans="1:14" ht="15.75">
      <c r="A12" s="11">
        <v>46315</v>
      </c>
      <c r="B12" s="9" t="s">
        <v>60</v>
      </c>
      <c r="C12" s="12" t="str">
        <f>IF(B12="","",IFERROR(INDEX('Cashier Roster'!$C$5:$C$64,MATCH(B12,'Cashier Roster'!$B$5:$B$64,0)),"Not on roster"))</f>
        <v>Festac</v>
      </c>
      <c r="D12" s="12" t="str">
        <f>IF(B12="","",IFERROR(INDEX('Cashier Roster'!$D$5:$D$64,MATCH(B12,'Cashier Roster'!$B$5:$B$64,0)),""))</f>
        <v>District cashier</v>
      </c>
      <c r="E12" s="13"/>
      <c r="F12" s="14"/>
      <c r="G12" s="8" t="str">
        <f>IF(OR(B12="",E12=""),"",IF(E12="No","Missed",IF(F12="","",IF(F12&lt;=Settings!$B$7,"On time","Late"))))</f>
        <v/>
      </c>
      <c r="H12" s="15"/>
      <c r="I12" s="16"/>
      <c r="J12" s="16"/>
      <c r="K12" s="17" t="str">
        <f>IF(J12="","",ROUND(J12*Settings!$B$8,2))</f>
        <v/>
      </c>
      <c r="L12" s="16"/>
      <c r="M12" s="8" t="str">
        <f t="shared" si="0"/>
        <v/>
      </c>
      <c r="N12" s="9"/>
    </row>
    <row r="13" spans="1:14" ht="15.75">
      <c r="A13" s="11">
        <v>46315</v>
      </c>
      <c r="B13" s="9" t="s">
        <v>64</v>
      </c>
      <c r="C13" s="12" t="str">
        <f>IF(B13="","",IFERROR(INDEX('Cashier Roster'!$C$5:$C$64,MATCH(B13,'Cashier Roster'!$B$5:$B$64,0)),"Not on roster"))</f>
        <v>Festac</v>
      </c>
      <c r="D13" s="12" t="str">
        <f>IF(B13="","",IFERROR(INDEX('Cashier Roster'!$D$5:$D$64,MATCH(B13,'Cashier Roster'!$B$5:$B$64,0)),""))</f>
        <v>Zone cashier (new)</v>
      </c>
      <c r="E13" s="13"/>
      <c r="F13" s="14"/>
      <c r="G13" s="8" t="str">
        <f>IF(OR(B13="",E13=""),"",IF(E13="No","Missed",IF(F13="","",IF(F13&lt;=Settings!$B$7,"On time","Late"))))</f>
        <v/>
      </c>
      <c r="H13" s="15"/>
      <c r="I13" s="16"/>
      <c r="J13" s="16"/>
      <c r="K13" s="17" t="str">
        <f>IF(J13="","",ROUND(J13*Settings!$B$8,2))</f>
        <v/>
      </c>
      <c r="L13" s="16"/>
      <c r="M13" s="8" t="str">
        <f t="shared" si="0"/>
        <v/>
      </c>
      <c r="N13" s="9"/>
    </row>
    <row r="14" spans="1:14" ht="15.75">
      <c r="A14" s="11">
        <v>46315</v>
      </c>
      <c r="B14" s="9" t="s">
        <v>68</v>
      </c>
      <c r="C14" s="12" t="str">
        <f>IF(B14="","",IFERROR(INDEX('Cashier Roster'!$C$5:$C$64,MATCH(B14,'Cashier Roster'!$B$5:$B$64,0)),"Not on roster"))</f>
        <v>Ibeju</v>
      </c>
      <c r="D14" s="12" t="str">
        <f>IF(B14="","",IFERROR(INDEX('Cashier Roster'!$D$5:$D$64,MATCH(B14,'Cashier Roster'!$B$5:$B$64,0)),""))</f>
        <v>District cashier</v>
      </c>
      <c r="E14" s="13"/>
      <c r="F14" s="14"/>
      <c r="G14" s="8" t="str">
        <f>IF(OR(B14="",E14=""),"",IF(E14="No","Missed",IF(F14="","",IF(F14&lt;=Settings!$B$7,"On time","Late"))))</f>
        <v/>
      </c>
      <c r="H14" s="15"/>
      <c r="I14" s="16"/>
      <c r="J14" s="16"/>
      <c r="K14" s="17" t="str">
        <f>IF(J14="","",ROUND(J14*Settings!$B$8,2))</f>
        <v/>
      </c>
      <c r="L14" s="16"/>
      <c r="M14" s="8" t="str">
        <f t="shared" si="0"/>
        <v/>
      </c>
      <c r="N14" s="9"/>
    </row>
    <row r="15" spans="1:14" ht="15.75">
      <c r="A15" s="11">
        <v>46315</v>
      </c>
      <c r="B15" s="9" t="s">
        <v>72</v>
      </c>
      <c r="C15" s="12" t="str">
        <f>IF(B15="","",IFERROR(INDEX('Cashier Roster'!$C$5:$C$64,MATCH(B15,'Cashier Roster'!$B$5:$B$64,0)),"Not on roster"))</f>
        <v>Ijora</v>
      </c>
      <c r="D15" s="12" t="str">
        <f>IF(B15="","",IFERROR(INDEX('Cashier Roster'!$D$5:$D$64,MATCH(B15,'Cashier Roster'!$B$5:$B$64,0)),""))</f>
        <v>District cashier</v>
      </c>
      <c r="E15" s="13"/>
      <c r="F15" s="14"/>
      <c r="G15" s="8" t="str">
        <f>IF(OR(B15="",E15=""),"",IF(E15="No","Missed",IF(F15="","",IF(F15&lt;=Settings!$B$7,"On time","Late"))))</f>
        <v/>
      </c>
      <c r="H15" s="15"/>
      <c r="I15" s="16"/>
      <c r="J15" s="16"/>
      <c r="K15" s="17" t="str">
        <f>IF(J15="","",ROUND(J15*Settings!$B$8,2))</f>
        <v/>
      </c>
      <c r="L15" s="16"/>
      <c r="M15" s="8" t="str">
        <f t="shared" si="0"/>
        <v/>
      </c>
      <c r="N15" s="9"/>
    </row>
    <row r="16" spans="1:14" ht="15.75">
      <c r="A16" s="11">
        <v>46315</v>
      </c>
      <c r="B16" s="9" t="s">
        <v>76</v>
      </c>
      <c r="C16" s="12" t="str">
        <f>IF(B16="","",IFERROR(INDEX('Cashier Roster'!$C$5:$C$64,MATCH(B16,'Cashier Roster'!$B$5:$B$64,0)),"Not on roster"))</f>
        <v>Ijora</v>
      </c>
      <c r="D16" s="12" t="str">
        <f>IF(B16="","",IFERROR(INDEX('Cashier Roster'!$D$5:$D$64,MATCH(B16,'Cashier Roster'!$B$5:$B$64,0)),""))</f>
        <v>Zone cashier (new)</v>
      </c>
      <c r="E16" s="13"/>
      <c r="F16" s="14"/>
      <c r="G16" s="8" t="str">
        <f>IF(OR(B16="",E16=""),"",IF(E16="No","Missed",IF(F16="","",IF(F16&lt;=Settings!$B$7,"On time","Late"))))</f>
        <v/>
      </c>
      <c r="H16" s="15"/>
      <c r="I16" s="16"/>
      <c r="J16" s="16"/>
      <c r="K16" s="17" t="str">
        <f>IF(J16="","",ROUND(J16*Settings!$B$8,2))</f>
        <v/>
      </c>
      <c r="L16" s="16"/>
      <c r="M16" s="8" t="str">
        <f t="shared" si="0"/>
        <v/>
      </c>
      <c r="N16" s="9"/>
    </row>
    <row r="17" spans="1:14" ht="15.75">
      <c r="A17" s="11">
        <v>46315</v>
      </c>
      <c r="B17" s="9" t="s">
        <v>79</v>
      </c>
      <c r="C17" s="12" t="str">
        <f>IF(B17="","",IFERROR(INDEX('Cashier Roster'!$C$5:$C$64,MATCH(B17,'Cashier Roster'!$B$5:$B$64,0)),"Not on roster"))</f>
        <v>Island</v>
      </c>
      <c r="D17" s="12" t="str">
        <f>IF(B17="","",IFERROR(INDEX('Cashier Roster'!$D$5:$D$64,MATCH(B17,'Cashier Roster'!$B$5:$B$64,0)),""))</f>
        <v>District cashier</v>
      </c>
      <c r="E17" s="13"/>
      <c r="F17" s="14"/>
      <c r="G17" s="8" t="str">
        <f>IF(OR(B17="",E17=""),"",IF(E17="No","Missed",IF(F17="","",IF(F17&lt;=Settings!$B$7,"On time","Late"))))</f>
        <v/>
      </c>
      <c r="H17" s="15"/>
      <c r="I17" s="16"/>
      <c r="J17" s="16"/>
      <c r="K17" s="17" t="str">
        <f>IF(J17="","",ROUND(J17*Settings!$B$8,2))</f>
        <v/>
      </c>
      <c r="L17" s="16"/>
      <c r="M17" s="8" t="str">
        <f t="shared" si="0"/>
        <v/>
      </c>
      <c r="N17" s="9"/>
    </row>
    <row r="18" spans="1:14" ht="15.75">
      <c r="A18" s="11">
        <v>46315</v>
      </c>
      <c r="B18" s="9" t="s">
        <v>83</v>
      </c>
      <c r="C18" s="12" t="str">
        <f>IF(B18="","",IFERROR(INDEX('Cashier Roster'!$C$5:$C$64,MATCH(B18,'Cashier Roster'!$B$5:$B$64,0)),"Not on roster"))</f>
        <v>Island</v>
      </c>
      <c r="D18" s="12" t="str">
        <f>IF(B18="","",IFERROR(INDEX('Cashier Roster'!$D$5:$D$64,MATCH(B18,'Cashier Roster'!$B$5:$B$64,0)),""))</f>
        <v>District cashier</v>
      </c>
      <c r="E18" s="13"/>
      <c r="F18" s="14"/>
      <c r="G18" s="8" t="str">
        <f>IF(OR(B18="",E18=""),"",IF(E18="No","Missed",IF(F18="","",IF(F18&lt;=Settings!$B$7,"On time","Late"))))</f>
        <v/>
      </c>
      <c r="H18" s="15"/>
      <c r="I18" s="16"/>
      <c r="J18" s="16"/>
      <c r="K18" s="17" t="str">
        <f>IF(J18="","",ROUND(J18*Settings!$B$8,2))</f>
        <v/>
      </c>
      <c r="L18" s="16"/>
      <c r="M18" s="8" t="str">
        <f t="shared" si="0"/>
        <v/>
      </c>
      <c r="N18" s="9"/>
    </row>
    <row r="19" spans="1:14" ht="15.75">
      <c r="A19" s="11">
        <v>46315</v>
      </c>
      <c r="B19" s="9" t="s">
        <v>86</v>
      </c>
      <c r="C19" s="12" t="str">
        <f>IF(B19="","",IFERROR(INDEX('Cashier Roster'!$C$5:$C$64,MATCH(B19,'Cashier Roster'!$B$5:$B$64,0)),"Not on roster"))</f>
        <v>Lekki</v>
      </c>
      <c r="D19" s="12" t="str">
        <f>IF(B19="","",IFERROR(INDEX('Cashier Roster'!$D$5:$D$64,MATCH(B19,'Cashier Roster'!$B$5:$B$64,0)),""))</f>
        <v>District cashier</v>
      </c>
      <c r="E19" s="13"/>
      <c r="F19" s="14"/>
      <c r="G19" s="8" t="str">
        <f>IF(OR(B19="",E19=""),"",IF(E19="No","Missed",IF(F19="","",IF(F19&lt;=Settings!$B$7,"On time","Late"))))</f>
        <v/>
      </c>
      <c r="H19" s="15"/>
      <c r="I19" s="16"/>
      <c r="J19" s="16"/>
      <c r="K19" s="17" t="str">
        <f>IF(J19="","",ROUND(J19*Settings!$B$8,2))</f>
        <v/>
      </c>
      <c r="L19" s="16"/>
      <c r="M19" s="8" t="str">
        <f t="shared" si="0"/>
        <v/>
      </c>
      <c r="N19" s="9"/>
    </row>
    <row r="20" spans="1:14" ht="15.75">
      <c r="A20" s="11">
        <v>46315</v>
      </c>
      <c r="B20" s="9" t="s">
        <v>90</v>
      </c>
      <c r="C20" s="12" t="str">
        <f>IF(B20="","",IFERROR(INDEX('Cashier Roster'!$C$5:$C$64,MATCH(B20,'Cashier Roster'!$B$5:$B$64,0)),"Not on roster"))</f>
        <v>Mushin</v>
      </c>
      <c r="D20" s="12" t="str">
        <f>IF(B20="","",IFERROR(INDEX('Cashier Roster'!$D$5:$D$64,MATCH(B20,'Cashier Roster'!$B$5:$B$64,0)),""))</f>
        <v>District cashier</v>
      </c>
      <c r="E20" s="13"/>
      <c r="F20" s="14"/>
      <c r="G20" s="8" t="str">
        <f>IF(OR(B20="",E20=""),"",IF(E20="No","Missed",IF(F20="","",IF(F20&lt;=Settings!$B$7,"On time","Late"))))</f>
        <v/>
      </c>
      <c r="H20" s="15"/>
      <c r="I20" s="16"/>
      <c r="J20" s="16"/>
      <c r="K20" s="17" t="str">
        <f>IF(J20="","",ROUND(J20*Settings!$B$8,2))</f>
        <v/>
      </c>
      <c r="L20" s="16"/>
      <c r="M20" s="8" t="str">
        <f t="shared" si="0"/>
        <v/>
      </c>
      <c r="N20" s="9"/>
    </row>
    <row r="21" spans="1:14" ht="15.75">
      <c r="A21" s="11">
        <v>46315</v>
      </c>
      <c r="B21" s="9" t="s">
        <v>94</v>
      </c>
      <c r="C21" s="12" t="str">
        <f>IF(B21="","",IFERROR(INDEX('Cashier Roster'!$C$5:$C$64,MATCH(B21,'Cashier Roster'!$B$5:$B$64,0)),"Not on roster"))</f>
        <v>Mushin</v>
      </c>
      <c r="D21" s="12" t="str">
        <f>IF(B21="","",IFERROR(INDEX('Cashier Roster'!$D$5:$D$64,MATCH(B21,'Cashier Roster'!$B$5:$B$64,0)),""))</f>
        <v>Zone cashier (new)</v>
      </c>
      <c r="E21" s="13"/>
      <c r="F21" s="14"/>
      <c r="G21" s="8" t="str">
        <f>IF(OR(B21="",E21=""),"",IF(E21="No","Missed",IF(F21="","",IF(F21&lt;=Settings!$B$7,"On time","Late"))))</f>
        <v/>
      </c>
      <c r="H21" s="15"/>
      <c r="I21" s="16"/>
      <c r="J21" s="16"/>
      <c r="K21" s="17" t="str">
        <f>IF(J21="","",ROUND(J21*Settings!$B$8,2))</f>
        <v/>
      </c>
      <c r="L21" s="16"/>
      <c r="M21" s="8" t="str">
        <f t="shared" si="0"/>
        <v/>
      </c>
      <c r="N21" s="9"/>
    </row>
    <row r="22" spans="1:14" ht="15.75">
      <c r="A22" s="11">
        <v>46315</v>
      </c>
      <c r="B22" s="9" t="s">
        <v>98</v>
      </c>
      <c r="C22" s="12" t="str">
        <f>IF(B22="","",IFERROR(INDEX('Cashier Roster'!$C$5:$C$64,MATCH(B22,'Cashier Roster'!$B$5:$B$64,0)),"Not on roster"))</f>
        <v>Ojo</v>
      </c>
      <c r="D22" s="12" t="str">
        <f>IF(B22="","",IFERROR(INDEX('Cashier Roster'!$D$5:$D$64,MATCH(B22,'Cashier Roster'!$B$5:$B$64,0)),""))</f>
        <v>District cashier</v>
      </c>
      <c r="E22" s="13"/>
      <c r="F22" s="14"/>
      <c r="G22" s="8" t="str">
        <f>IF(OR(B22="",E22=""),"",IF(E22="No","Missed",IF(F22="","",IF(F22&lt;=Settings!$B$7,"On time","Late"))))</f>
        <v/>
      </c>
      <c r="H22" s="15"/>
      <c r="I22" s="16"/>
      <c r="J22" s="16"/>
      <c r="K22" s="17" t="str">
        <f>IF(J22="","",ROUND(J22*Settings!$B$8,2))</f>
        <v/>
      </c>
      <c r="L22" s="16"/>
      <c r="M22" s="8" t="str">
        <f t="shared" si="0"/>
        <v/>
      </c>
      <c r="N22" s="9"/>
    </row>
    <row r="23" spans="1:14" ht="15.75">
      <c r="A23" s="11">
        <v>46315</v>
      </c>
      <c r="B23" s="9" t="s">
        <v>102</v>
      </c>
      <c r="C23" s="12" t="str">
        <f>IF(B23="","",IFERROR(INDEX('Cashier Roster'!$C$5:$C$64,MATCH(B23,'Cashier Roster'!$B$5:$B$64,0)),"Not on roster"))</f>
        <v>Ojo</v>
      </c>
      <c r="D23" s="12" t="str">
        <f>IF(B23="","",IFERROR(INDEX('Cashier Roster'!$D$5:$D$64,MATCH(B23,'Cashier Roster'!$B$5:$B$64,0)),""))</f>
        <v>Zone cashier (new)</v>
      </c>
      <c r="E23" s="13"/>
      <c r="F23" s="14"/>
      <c r="G23" s="8" t="str">
        <f>IF(OR(B23="",E23=""),"",IF(E23="No","Missed",IF(F23="","",IF(F23&lt;=Settings!$B$7,"On time","Late"))))</f>
        <v/>
      </c>
      <c r="H23" s="15"/>
      <c r="I23" s="16"/>
      <c r="J23" s="16"/>
      <c r="K23" s="17" t="str">
        <f>IF(J23="","",ROUND(J23*Settings!$B$8,2))</f>
        <v/>
      </c>
      <c r="L23" s="16"/>
      <c r="M23" s="8" t="str">
        <f t="shared" si="0"/>
        <v/>
      </c>
      <c r="N23" s="9"/>
    </row>
    <row r="24" spans="1:14" ht="15.75">
      <c r="A24" s="11">
        <v>46315</v>
      </c>
      <c r="B24" s="9" t="s">
        <v>106</v>
      </c>
      <c r="C24" s="12" t="str">
        <f>IF(B24="","",IFERROR(INDEX('Cashier Roster'!$C$5:$C$64,MATCH(B24,'Cashier Roster'!$B$5:$B$64,0)),"Not on roster"))</f>
        <v>Orile</v>
      </c>
      <c r="D24" s="12" t="str">
        <f>IF(B24="","",IFERROR(INDEX('Cashier Roster'!$D$5:$D$64,MATCH(B24,'Cashier Roster'!$B$5:$B$64,0)),""))</f>
        <v>District cashier</v>
      </c>
      <c r="E24" s="13"/>
      <c r="F24" s="14"/>
      <c r="G24" s="8" t="str">
        <f>IF(OR(B24="",E24=""),"",IF(E24="No","Missed",IF(F24="","",IF(F24&lt;=Settings!$B$7,"On time","Late"))))</f>
        <v/>
      </c>
      <c r="H24" s="15"/>
      <c r="I24" s="16"/>
      <c r="J24" s="16"/>
      <c r="K24" s="17" t="str">
        <f>IF(J24="","",ROUND(J24*Settings!$B$8,2))</f>
        <v/>
      </c>
      <c r="L24" s="16"/>
      <c r="M24" s="8" t="str">
        <f t="shared" si="0"/>
        <v/>
      </c>
      <c r="N24" s="9"/>
    </row>
    <row r="25" spans="1:14" ht="15.75">
      <c r="A25" s="11"/>
      <c r="B25" s="9"/>
      <c r="C25" s="12" t="str">
        <f>IF(B25="","",IFERROR(INDEX('Cashier Roster'!$C$5:$C$64,MATCH(B25,'Cashier Roster'!$B$5:$B$64,0)),"Not on roster"))</f>
        <v/>
      </c>
      <c r="D25" s="12" t="str">
        <f>IF(B25="","",IFERROR(INDEX('Cashier Roster'!$D$5:$D$64,MATCH(B25,'Cashier Roster'!$B$5:$B$64,0)),""))</f>
        <v/>
      </c>
      <c r="E25" s="13"/>
      <c r="F25" s="14"/>
      <c r="G25" s="8" t="str">
        <f>IF(OR(B25="",E25=""),"",IF(E25="No","Missed",IF(F25="","",IF(F25&lt;=Settings!$B$7,"On time","Late"))))</f>
        <v/>
      </c>
      <c r="H25" s="15"/>
      <c r="I25" s="16"/>
      <c r="J25" s="16"/>
      <c r="K25" s="17" t="str">
        <f>IF(J25="","",ROUND(J25*Settings!$B$8,2))</f>
        <v/>
      </c>
      <c r="L25" s="16"/>
      <c r="M25" s="8" t="str">
        <f t="shared" si="0"/>
        <v/>
      </c>
      <c r="N25" s="9"/>
    </row>
    <row r="26" spans="1:14" ht="15.75">
      <c r="A26" s="11"/>
      <c r="B26" s="9"/>
      <c r="C26" s="12" t="str">
        <f>IF(B26="","",IFERROR(INDEX('Cashier Roster'!$C$5:$C$64,MATCH(B26,'Cashier Roster'!$B$5:$B$64,0)),"Not on roster"))</f>
        <v/>
      </c>
      <c r="D26" s="12" t="str">
        <f>IF(B26="","",IFERROR(INDEX('Cashier Roster'!$D$5:$D$64,MATCH(B26,'Cashier Roster'!$B$5:$B$64,0)),""))</f>
        <v/>
      </c>
      <c r="E26" s="13"/>
      <c r="F26" s="14"/>
      <c r="G26" s="8" t="str">
        <f>IF(OR(B26="",E26=""),"",IF(E26="No","Missed",IF(F26="","",IF(F26&lt;=Settings!$B$7,"On time","Late"))))</f>
        <v/>
      </c>
      <c r="H26" s="15"/>
      <c r="I26" s="16"/>
      <c r="J26" s="16"/>
      <c r="K26" s="17" t="str">
        <f>IF(J26="","",ROUND(J26*Settings!$B$8,2))</f>
        <v/>
      </c>
      <c r="L26" s="16"/>
      <c r="M26" s="8" t="str">
        <f t="shared" si="0"/>
        <v/>
      </c>
      <c r="N26" s="9"/>
    </row>
    <row r="27" spans="1:14" ht="15.75">
      <c r="A27" s="11"/>
      <c r="B27" s="9"/>
      <c r="C27" s="12" t="str">
        <f>IF(B27="","",IFERROR(INDEX('Cashier Roster'!$C$5:$C$64,MATCH(B27,'Cashier Roster'!$B$5:$B$64,0)),"Not on roster"))</f>
        <v/>
      </c>
      <c r="D27" s="12" t="str">
        <f>IF(B27="","",IFERROR(INDEX('Cashier Roster'!$D$5:$D$64,MATCH(B27,'Cashier Roster'!$B$5:$B$64,0)),""))</f>
        <v/>
      </c>
      <c r="E27" s="13"/>
      <c r="F27" s="14"/>
      <c r="G27" s="8" t="str">
        <f>IF(OR(B27="",E27=""),"",IF(E27="No","Missed",IF(F27="","",IF(F27&lt;=Settings!$B$7,"On time","Late"))))</f>
        <v/>
      </c>
      <c r="H27" s="15"/>
      <c r="I27" s="16"/>
      <c r="J27" s="16"/>
      <c r="K27" s="17" t="str">
        <f>IF(J27="","",ROUND(J27*Settings!$B$8,2))</f>
        <v/>
      </c>
      <c r="L27" s="16"/>
      <c r="M27" s="8" t="str">
        <f t="shared" si="0"/>
        <v/>
      </c>
      <c r="N27" s="9"/>
    </row>
    <row r="28" spans="1:14" ht="15.75">
      <c r="A28" s="11"/>
      <c r="B28" s="9"/>
      <c r="C28" s="12" t="str">
        <f>IF(B28="","",IFERROR(INDEX('Cashier Roster'!$C$5:$C$64,MATCH(B28,'Cashier Roster'!$B$5:$B$64,0)),"Not on roster"))</f>
        <v/>
      </c>
      <c r="D28" s="12" t="str">
        <f>IF(B28="","",IFERROR(INDEX('Cashier Roster'!$D$5:$D$64,MATCH(B28,'Cashier Roster'!$B$5:$B$64,0)),""))</f>
        <v/>
      </c>
      <c r="E28" s="13"/>
      <c r="F28" s="14"/>
      <c r="G28" s="8" t="str">
        <f>IF(OR(B28="",E28=""),"",IF(E28="No","Missed",IF(F28="","",IF(F28&lt;=Settings!$B$7,"On time","Late"))))</f>
        <v/>
      </c>
      <c r="H28" s="15"/>
      <c r="I28" s="16"/>
      <c r="J28" s="16"/>
      <c r="K28" s="17" t="str">
        <f>IF(J28="","",ROUND(J28*Settings!$B$8,2))</f>
        <v/>
      </c>
      <c r="L28" s="16"/>
      <c r="M28" s="8" t="str">
        <f t="shared" si="0"/>
        <v/>
      </c>
      <c r="N28" s="9"/>
    </row>
    <row r="29" spans="1:14" ht="15.75">
      <c r="A29" s="11"/>
      <c r="B29" s="9"/>
      <c r="C29" s="12" t="str">
        <f>IF(B29="","",IFERROR(INDEX('Cashier Roster'!$C$5:$C$64,MATCH(B29,'Cashier Roster'!$B$5:$B$64,0)),"Not on roster"))</f>
        <v/>
      </c>
      <c r="D29" s="12" t="str">
        <f>IF(B29="","",IFERROR(INDEX('Cashier Roster'!$D$5:$D$64,MATCH(B29,'Cashier Roster'!$B$5:$B$64,0)),""))</f>
        <v/>
      </c>
      <c r="E29" s="13"/>
      <c r="F29" s="14"/>
      <c r="G29" s="8" t="str">
        <f>IF(OR(B29="",E29=""),"",IF(E29="No","Missed",IF(F29="","",IF(F29&lt;=Settings!$B$7,"On time","Late"))))</f>
        <v/>
      </c>
      <c r="H29" s="15"/>
      <c r="I29" s="16"/>
      <c r="J29" s="16"/>
      <c r="K29" s="17" t="str">
        <f>IF(J29="","",ROUND(J29*Settings!$B$8,2))</f>
        <v/>
      </c>
      <c r="L29" s="16"/>
      <c r="M29" s="8" t="str">
        <f t="shared" si="0"/>
        <v/>
      </c>
      <c r="N29" s="9"/>
    </row>
    <row r="30" spans="1:14" ht="15.75">
      <c r="A30" s="11"/>
      <c r="B30" s="9"/>
      <c r="C30" s="12" t="str">
        <f>IF(B30="","",IFERROR(INDEX('Cashier Roster'!$C$5:$C$64,MATCH(B30,'Cashier Roster'!$B$5:$B$64,0)),"Not on roster"))</f>
        <v/>
      </c>
      <c r="D30" s="12" t="str">
        <f>IF(B30="","",IFERROR(INDEX('Cashier Roster'!$D$5:$D$64,MATCH(B30,'Cashier Roster'!$B$5:$B$64,0)),""))</f>
        <v/>
      </c>
      <c r="E30" s="13"/>
      <c r="F30" s="14"/>
      <c r="G30" s="8" t="str">
        <f>IF(OR(B30="",E30=""),"",IF(E30="No","Missed",IF(F30="","",IF(F30&lt;=Settings!$B$7,"On time","Late"))))</f>
        <v/>
      </c>
      <c r="H30" s="15"/>
      <c r="I30" s="16"/>
      <c r="J30" s="16"/>
      <c r="K30" s="17" t="str">
        <f>IF(J30="","",ROUND(J30*Settings!$B$8,2))</f>
        <v/>
      </c>
      <c r="L30" s="16"/>
      <c r="M30" s="8" t="str">
        <f t="shared" si="0"/>
        <v/>
      </c>
      <c r="N30" s="9"/>
    </row>
    <row r="31" spans="1:14" ht="15.75">
      <c r="A31" s="11"/>
      <c r="B31" s="9"/>
      <c r="C31" s="12" t="str">
        <f>IF(B31="","",IFERROR(INDEX('Cashier Roster'!$C$5:$C$64,MATCH(B31,'Cashier Roster'!$B$5:$B$64,0)),"Not on roster"))</f>
        <v/>
      </c>
      <c r="D31" s="12" t="str">
        <f>IF(B31="","",IFERROR(INDEX('Cashier Roster'!$D$5:$D$64,MATCH(B31,'Cashier Roster'!$B$5:$B$64,0)),""))</f>
        <v/>
      </c>
      <c r="E31" s="13"/>
      <c r="F31" s="14"/>
      <c r="G31" s="8" t="str">
        <f>IF(OR(B31="",E31=""),"",IF(E31="No","Missed",IF(F31="","",IF(F31&lt;=Settings!$B$7,"On time","Late"))))</f>
        <v/>
      </c>
      <c r="H31" s="15"/>
      <c r="I31" s="16"/>
      <c r="J31" s="16"/>
      <c r="K31" s="17" t="str">
        <f>IF(J31="","",ROUND(J31*Settings!$B$8,2))</f>
        <v/>
      </c>
      <c r="L31" s="16"/>
      <c r="M31" s="8" t="str">
        <f t="shared" si="0"/>
        <v/>
      </c>
      <c r="N31" s="9"/>
    </row>
    <row r="32" spans="1:14" ht="15.75">
      <c r="A32" s="11"/>
      <c r="B32" s="9"/>
      <c r="C32" s="12" t="str">
        <f>IF(B32="","",IFERROR(INDEX('Cashier Roster'!$C$5:$C$64,MATCH(B32,'Cashier Roster'!$B$5:$B$64,0)),"Not on roster"))</f>
        <v/>
      </c>
      <c r="D32" s="12" t="str">
        <f>IF(B32="","",IFERROR(INDEX('Cashier Roster'!$D$5:$D$64,MATCH(B32,'Cashier Roster'!$B$5:$B$64,0)),""))</f>
        <v/>
      </c>
      <c r="E32" s="13"/>
      <c r="F32" s="14"/>
      <c r="G32" s="8" t="str">
        <f>IF(OR(B32="",E32=""),"",IF(E32="No","Missed",IF(F32="","",IF(F32&lt;=Settings!$B$7,"On time","Late"))))</f>
        <v/>
      </c>
      <c r="H32" s="15"/>
      <c r="I32" s="16"/>
      <c r="J32" s="16"/>
      <c r="K32" s="17" t="str">
        <f>IF(J32="","",ROUND(J32*Settings!$B$8,2))</f>
        <v/>
      </c>
      <c r="L32" s="16"/>
      <c r="M32" s="8" t="str">
        <f t="shared" si="0"/>
        <v/>
      </c>
      <c r="N32" s="9"/>
    </row>
    <row r="33" spans="1:14" ht="15.75">
      <c r="A33" s="11"/>
      <c r="B33" s="9"/>
      <c r="C33" s="12" t="str">
        <f>IF(B33="","",IFERROR(INDEX('Cashier Roster'!$C$5:$C$64,MATCH(B33,'Cashier Roster'!$B$5:$B$64,0)),"Not on roster"))</f>
        <v/>
      </c>
      <c r="D33" s="12" t="str">
        <f>IF(B33="","",IFERROR(INDEX('Cashier Roster'!$D$5:$D$64,MATCH(B33,'Cashier Roster'!$B$5:$B$64,0)),""))</f>
        <v/>
      </c>
      <c r="E33" s="13"/>
      <c r="F33" s="14"/>
      <c r="G33" s="8" t="str">
        <f>IF(OR(B33="",E33=""),"",IF(E33="No","Missed",IF(F33="","",IF(F33&lt;=Settings!$B$7,"On time","Late"))))</f>
        <v/>
      </c>
      <c r="H33" s="15"/>
      <c r="I33" s="16"/>
      <c r="J33" s="16"/>
      <c r="K33" s="17" t="str">
        <f>IF(J33="","",ROUND(J33*Settings!$B$8,2))</f>
        <v/>
      </c>
      <c r="L33" s="16"/>
      <c r="M33" s="8" t="str">
        <f t="shared" si="0"/>
        <v/>
      </c>
      <c r="N33" s="9"/>
    </row>
    <row r="34" spans="1:14" ht="15.75">
      <c r="A34" s="11"/>
      <c r="B34" s="9"/>
      <c r="C34" s="12" t="str">
        <f>IF(B34="","",IFERROR(INDEX('Cashier Roster'!$C$5:$C$64,MATCH(B34,'Cashier Roster'!$B$5:$B$64,0)),"Not on roster"))</f>
        <v/>
      </c>
      <c r="D34" s="12" t="str">
        <f>IF(B34="","",IFERROR(INDEX('Cashier Roster'!$D$5:$D$64,MATCH(B34,'Cashier Roster'!$B$5:$B$64,0)),""))</f>
        <v/>
      </c>
      <c r="E34" s="13"/>
      <c r="F34" s="14"/>
      <c r="G34" s="8" t="str">
        <f>IF(OR(B34="",E34=""),"",IF(E34="No","Missed",IF(F34="","",IF(F34&lt;=Settings!$B$7,"On time","Late"))))</f>
        <v/>
      </c>
      <c r="H34" s="15"/>
      <c r="I34" s="16"/>
      <c r="J34" s="16"/>
      <c r="K34" s="17" t="str">
        <f>IF(J34="","",ROUND(J34*Settings!$B$8,2))</f>
        <v/>
      </c>
      <c r="L34" s="16"/>
      <c r="M34" s="8" t="str">
        <f t="shared" si="0"/>
        <v/>
      </c>
      <c r="N34" s="9"/>
    </row>
    <row r="35" spans="1:14" ht="15.75">
      <c r="A35" s="11"/>
      <c r="B35" s="9"/>
      <c r="C35" s="12" t="str">
        <f>IF(B35="","",IFERROR(INDEX('Cashier Roster'!$C$5:$C$64,MATCH(B35,'Cashier Roster'!$B$5:$B$64,0)),"Not on roster"))</f>
        <v/>
      </c>
      <c r="D35" s="12" t="str">
        <f>IF(B35="","",IFERROR(INDEX('Cashier Roster'!$D$5:$D$64,MATCH(B35,'Cashier Roster'!$B$5:$B$64,0)),""))</f>
        <v/>
      </c>
      <c r="E35" s="13"/>
      <c r="F35" s="14"/>
      <c r="G35" s="8" t="str">
        <f>IF(OR(B35="",E35=""),"",IF(E35="No","Missed",IF(F35="","",IF(F35&lt;=Settings!$B$7,"On time","Late"))))</f>
        <v/>
      </c>
      <c r="H35" s="15"/>
      <c r="I35" s="16"/>
      <c r="J35" s="16"/>
      <c r="K35" s="17" t="str">
        <f>IF(J35="","",ROUND(J35*Settings!$B$8,2))</f>
        <v/>
      </c>
      <c r="L35" s="16"/>
      <c r="M35" s="8" t="str">
        <f t="shared" si="0"/>
        <v/>
      </c>
      <c r="N35" s="9"/>
    </row>
    <row r="36" spans="1:14" ht="15.75">
      <c r="A36" s="11"/>
      <c r="B36" s="9"/>
      <c r="C36" s="12" t="str">
        <f>IF(B36="","",IFERROR(INDEX('Cashier Roster'!$C$5:$C$64,MATCH(B36,'Cashier Roster'!$B$5:$B$64,0)),"Not on roster"))</f>
        <v/>
      </c>
      <c r="D36" s="12" t="str">
        <f>IF(B36="","",IFERROR(INDEX('Cashier Roster'!$D$5:$D$64,MATCH(B36,'Cashier Roster'!$B$5:$B$64,0)),""))</f>
        <v/>
      </c>
      <c r="E36" s="13"/>
      <c r="F36" s="14"/>
      <c r="G36" s="8" t="str">
        <f>IF(OR(B36="",E36=""),"",IF(E36="No","Missed",IF(F36="","",IF(F36&lt;=Settings!$B$7,"On time","Late"))))</f>
        <v/>
      </c>
      <c r="H36" s="15"/>
      <c r="I36" s="16"/>
      <c r="J36" s="16"/>
      <c r="K36" s="17" t="str">
        <f>IF(J36="","",ROUND(J36*Settings!$B$8,2))</f>
        <v/>
      </c>
      <c r="L36" s="16"/>
      <c r="M36" s="8" t="str">
        <f t="shared" si="0"/>
        <v/>
      </c>
      <c r="N36" s="9"/>
    </row>
    <row r="37" spans="1:14" ht="15.75">
      <c r="A37" s="11"/>
      <c r="B37" s="9"/>
      <c r="C37" s="12" t="str">
        <f>IF(B37="","",IFERROR(INDEX('Cashier Roster'!$C$5:$C$64,MATCH(B37,'Cashier Roster'!$B$5:$B$64,0)),"Not on roster"))</f>
        <v/>
      </c>
      <c r="D37" s="12" t="str">
        <f>IF(B37="","",IFERROR(INDEX('Cashier Roster'!$D$5:$D$64,MATCH(B37,'Cashier Roster'!$B$5:$B$64,0)),""))</f>
        <v/>
      </c>
      <c r="E37" s="13"/>
      <c r="F37" s="14"/>
      <c r="G37" s="8" t="str">
        <f>IF(OR(B37="",E37=""),"",IF(E37="No","Missed",IF(F37="","",IF(F37&lt;=Settings!$B$7,"On time","Late"))))</f>
        <v/>
      </c>
      <c r="H37" s="15"/>
      <c r="I37" s="16"/>
      <c r="J37" s="16"/>
      <c r="K37" s="17" t="str">
        <f>IF(J37="","",ROUND(J37*Settings!$B$8,2))</f>
        <v/>
      </c>
      <c r="L37" s="16"/>
      <c r="M37" s="8" t="str">
        <f t="shared" si="0"/>
        <v/>
      </c>
      <c r="N37" s="9"/>
    </row>
    <row r="38" spans="1:14" ht="15.75">
      <c r="A38" s="11"/>
      <c r="B38" s="9"/>
      <c r="C38" s="12" t="str">
        <f>IF(B38="","",IFERROR(INDEX('Cashier Roster'!$C$5:$C$64,MATCH(B38,'Cashier Roster'!$B$5:$B$64,0)),"Not on roster"))</f>
        <v/>
      </c>
      <c r="D38" s="12" t="str">
        <f>IF(B38="","",IFERROR(INDEX('Cashier Roster'!$D$5:$D$64,MATCH(B38,'Cashier Roster'!$B$5:$B$64,0)),""))</f>
        <v/>
      </c>
      <c r="E38" s="13"/>
      <c r="F38" s="14"/>
      <c r="G38" s="8" t="str">
        <f>IF(OR(B38="",E38=""),"",IF(E38="No","Missed",IF(F38="","",IF(F38&lt;=Settings!$B$7,"On time","Late"))))</f>
        <v/>
      </c>
      <c r="H38" s="15"/>
      <c r="I38" s="16"/>
      <c r="J38" s="16"/>
      <c r="K38" s="17" t="str">
        <f>IF(J38="","",ROUND(J38*Settings!$B$8,2))</f>
        <v/>
      </c>
      <c r="L38" s="16"/>
      <c r="M38" s="8" t="str">
        <f t="shared" si="0"/>
        <v/>
      </c>
      <c r="N38" s="9"/>
    </row>
    <row r="39" spans="1:14" ht="15.75">
      <c r="A39" s="11"/>
      <c r="B39" s="9"/>
      <c r="C39" s="12" t="str">
        <f>IF(B39="","",IFERROR(INDEX('Cashier Roster'!$C$5:$C$64,MATCH(B39,'Cashier Roster'!$B$5:$B$64,0)),"Not on roster"))</f>
        <v/>
      </c>
      <c r="D39" s="12" t="str">
        <f>IF(B39="","",IFERROR(INDEX('Cashier Roster'!$D$5:$D$64,MATCH(B39,'Cashier Roster'!$B$5:$B$64,0)),""))</f>
        <v/>
      </c>
      <c r="E39" s="13"/>
      <c r="F39" s="14"/>
      <c r="G39" s="8" t="str">
        <f>IF(OR(B39="",E39=""),"",IF(E39="No","Missed",IF(F39="","",IF(F39&lt;=Settings!$B$7,"On time","Late"))))</f>
        <v/>
      </c>
      <c r="H39" s="15"/>
      <c r="I39" s="16"/>
      <c r="J39" s="16"/>
      <c r="K39" s="17" t="str">
        <f>IF(J39="","",ROUND(J39*Settings!$B$8,2))</f>
        <v/>
      </c>
      <c r="L39" s="16"/>
      <c r="M39" s="8" t="str">
        <f t="shared" si="0"/>
        <v/>
      </c>
      <c r="N39" s="9"/>
    </row>
    <row r="40" spans="1:14" ht="15.75">
      <c r="A40" s="11"/>
      <c r="B40" s="9"/>
      <c r="C40" s="12" t="str">
        <f>IF(B40="","",IFERROR(INDEX('Cashier Roster'!$C$5:$C$64,MATCH(B40,'Cashier Roster'!$B$5:$B$64,0)),"Not on roster"))</f>
        <v/>
      </c>
      <c r="D40" s="12" t="str">
        <f>IF(B40="","",IFERROR(INDEX('Cashier Roster'!$D$5:$D$64,MATCH(B40,'Cashier Roster'!$B$5:$B$64,0)),""))</f>
        <v/>
      </c>
      <c r="E40" s="13"/>
      <c r="F40" s="14"/>
      <c r="G40" s="8" t="str">
        <f>IF(OR(B40="",E40=""),"",IF(E40="No","Missed",IF(F40="","",IF(F40&lt;=Settings!$B$7,"On time","Late"))))</f>
        <v/>
      </c>
      <c r="H40" s="15"/>
      <c r="I40" s="16"/>
      <c r="J40" s="16"/>
      <c r="K40" s="17" t="str">
        <f>IF(J40="","",ROUND(J40*Settings!$B$8,2))</f>
        <v/>
      </c>
      <c r="L40" s="16"/>
      <c r="M40" s="8" t="str">
        <f t="shared" si="0"/>
        <v/>
      </c>
      <c r="N40" s="9"/>
    </row>
    <row r="41" spans="1:14" ht="15.75">
      <c r="A41" s="11"/>
      <c r="B41" s="9"/>
      <c r="C41" s="12" t="str">
        <f>IF(B41="","",IFERROR(INDEX('Cashier Roster'!$C$5:$C$64,MATCH(B41,'Cashier Roster'!$B$5:$B$64,0)),"Not on roster"))</f>
        <v/>
      </c>
      <c r="D41" s="12" t="str">
        <f>IF(B41="","",IFERROR(INDEX('Cashier Roster'!$D$5:$D$64,MATCH(B41,'Cashier Roster'!$B$5:$B$64,0)),""))</f>
        <v/>
      </c>
      <c r="E41" s="13"/>
      <c r="F41" s="14"/>
      <c r="G41" s="8" t="str">
        <f>IF(OR(B41="",E41=""),"",IF(E41="No","Missed",IF(F41="","",IF(F41&lt;=Settings!$B$7,"On time","Late"))))</f>
        <v/>
      </c>
      <c r="H41" s="15"/>
      <c r="I41" s="16"/>
      <c r="J41" s="16"/>
      <c r="K41" s="17" t="str">
        <f>IF(J41="","",ROUND(J41*Settings!$B$8,2))</f>
        <v/>
      </c>
      <c r="L41" s="16"/>
      <c r="M41" s="8" t="str">
        <f t="shared" si="0"/>
        <v/>
      </c>
      <c r="N41" s="9"/>
    </row>
    <row r="42" spans="1:14" ht="15.75">
      <c r="A42" s="11"/>
      <c r="B42" s="9"/>
      <c r="C42" s="12" t="str">
        <f>IF(B42="","",IFERROR(INDEX('Cashier Roster'!$C$5:$C$64,MATCH(B42,'Cashier Roster'!$B$5:$B$64,0)),"Not on roster"))</f>
        <v/>
      </c>
      <c r="D42" s="12" t="str">
        <f>IF(B42="","",IFERROR(INDEX('Cashier Roster'!$D$5:$D$64,MATCH(B42,'Cashier Roster'!$B$5:$B$64,0)),""))</f>
        <v/>
      </c>
      <c r="E42" s="13"/>
      <c r="F42" s="14"/>
      <c r="G42" s="8" t="str">
        <f>IF(OR(B42="",E42=""),"",IF(E42="No","Missed",IF(F42="","",IF(F42&lt;=Settings!$B$7,"On time","Late"))))</f>
        <v/>
      </c>
      <c r="H42" s="15"/>
      <c r="I42" s="16"/>
      <c r="J42" s="16"/>
      <c r="K42" s="17" t="str">
        <f>IF(J42="","",ROUND(J42*Settings!$B$8,2))</f>
        <v/>
      </c>
      <c r="L42" s="16"/>
      <c r="M42" s="8" t="str">
        <f t="shared" si="0"/>
        <v/>
      </c>
      <c r="N42" s="9"/>
    </row>
    <row r="43" spans="1:14" ht="15.75">
      <c r="A43" s="11"/>
      <c r="B43" s="9"/>
      <c r="C43" s="12" t="str">
        <f>IF(B43="","",IFERROR(INDEX('Cashier Roster'!$C$5:$C$64,MATCH(B43,'Cashier Roster'!$B$5:$B$64,0)),"Not on roster"))</f>
        <v/>
      </c>
      <c r="D43" s="12" t="str">
        <f>IF(B43="","",IFERROR(INDEX('Cashier Roster'!$D$5:$D$64,MATCH(B43,'Cashier Roster'!$B$5:$B$64,0)),""))</f>
        <v/>
      </c>
      <c r="E43" s="13"/>
      <c r="F43" s="14"/>
      <c r="G43" s="8" t="str">
        <f>IF(OR(B43="",E43=""),"",IF(E43="No","Missed",IF(F43="","",IF(F43&lt;=Settings!$B$7,"On time","Late"))))</f>
        <v/>
      </c>
      <c r="H43" s="15"/>
      <c r="I43" s="16"/>
      <c r="J43" s="16"/>
      <c r="K43" s="17" t="str">
        <f>IF(J43="","",ROUND(J43*Settings!$B$8,2))</f>
        <v/>
      </c>
      <c r="L43" s="16"/>
      <c r="M43" s="8" t="str">
        <f t="shared" si="0"/>
        <v/>
      </c>
      <c r="N43" s="9"/>
    </row>
    <row r="44" spans="1:14" ht="15.75">
      <c r="A44" s="11"/>
      <c r="B44" s="9"/>
      <c r="C44" s="12" t="str">
        <f>IF(B44="","",IFERROR(INDEX('Cashier Roster'!$C$5:$C$64,MATCH(B44,'Cashier Roster'!$B$5:$B$64,0)),"Not on roster"))</f>
        <v/>
      </c>
      <c r="D44" s="12" t="str">
        <f>IF(B44="","",IFERROR(INDEX('Cashier Roster'!$D$5:$D$64,MATCH(B44,'Cashier Roster'!$B$5:$B$64,0)),""))</f>
        <v/>
      </c>
      <c r="E44" s="13"/>
      <c r="F44" s="14"/>
      <c r="G44" s="8" t="str">
        <f>IF(OR(B44="",E44=""),"",IF(E44="No","Missed",IF(F44="","",IF(F44&lt;=Settings!$B$7,"On time","Late"))))</f>
        <v/>
      </c>
      <c r="H44" s="15"/>
      <c r="I44" s="16"/>
      <c r="J44" s="16"/>
      <c r="K44" s="17" t="str">
        <f>IF(J44="","",ROUND(J44*Settings!$B$8,2))</f>
        <v/>
      </c>
      <c r="L44" s="16"/>
      <c r="M44" s="8" t="str">
        <f t="shared" si="0"/>
        <v/>
      </c>
      <c r="N44" s="9"/>
    </row>
    <row r="45" spans="1:14" ht="15.75">
      <c r="A45" s="11"/>
      <c r="B45" s="9"/>
      <c r="C45" s="12" t="str">
        <f>IF(B45="","",IFERROR(INDEX('Cashier Roster'!$C$5:$C$64,MATCH(B45,'Cashier Roster'!$B$5:$B$64,0)),"Not on roster"))</f>
        <v/>
      </c>
      <c r="D45" s="12" t="str">
        <f>IF(B45="","",IFERROR(INDEX('Cashier Roster'!$D$5:$D$64,MATCH(B45,'Cashier Roster'!$B$5:$B$64,0)),""))</f>
        <v/>
      </c>
      <c r="E45" s="13"/>
      <c r="F45" s="14"/>
      <c r="G45" s="8" t="str">
        <f>IF(OR(B45="",E45=""),"",IF(E45="No","Missed",IF(F45="","",IF(F45&lt;=Settings!$B$7,"On time","Late"))))</f>
        <v/>
      </c>
      <c r="H45" s="15"/>
      <c r="I45" s="16"/>
      <c r="J45" s="16"/>
      <c r="K45" s="17" t="str">
        <f>IF(J45="","",ROUND(J45*Settings!$B$8,2))</f>
        <v/>
      </c>
      <c r="L45" s="16"/>
      <c r="M45" s="8" t="str">
        <f t="shared" si="0"/>
        <v/>
      </c>
      <c r="N45" s="9"/>
    </row>
    <row r="46" spans="1:14" ht="15.75">
      <c r="A46" s="11"/>
      <c r="B46" s="9"/>
      <c r="C46" s="12" t="str">
        <f>IF(B46="","",IFERROR(INDEX('Cashier Roster'!$C$5:$C$64,MATCH(B46,'Cashier Roster'!$B$5:$B$64,0)),"Not on roster"))</f>
        <v/>
      </c>
      <c r="D46" s="12" t="str">
        <f>IF(B46="","",IFERROR(INDEX('Cashier Roster'!$D$5:$D$64,MATCH(B46,'Cashier Roster'!$B$5:$B$64,0)),""))</f>
        <v/>
      </c>
      <c r="E46" s="13"/>
      <c r="F46" s="14"/>
      <c r="G46" s="8" t="str">
        <f>IF(OR(B46="",E46=""),"",IF(E46="No","Missed",IF(F46="","",IF(F46&lt;=Settings!$B$7,"On time","Late"))))</f>
        <v/>
      </c>
      <c r="H46" s="15"/>
      <c r="I46" s="16"/>
      <c r="J46" s="16"/>
      <c r="K46" s="17" t="str">
        <f>IF(J46="","",ROUND(J46*Settings!$B$8,2))</f>
        <v/>
      </c>
      <c r="L46" s="16"/>
      <c r="M46" s="8" t="str">
        <f t="shared" si="0"/>
        <v/>
      </c>
      <c r="N46" s="9"/>
    </row>
    <row r="47" spans="1:14" ht="15.75">
      <c r="A47" s="11"/>
      <c r="B47" s="9"/>
      <c r="C47" s="12" t="str">
        <f>IF(B47="","",IFERROR(INDEX('Cashier Roster'!$C$5:$C$64,MATCH(B47,'Cashier Roster'!$B$5:$B$64,0)),"Not on roster"))</f>
        <v/>
      </c>
      <c r="D47" s="12" t="str">
        <f>IF(B47="","",IFERROR(INDEX('Cashier Roster'!$D$5:$D$64,MATCH(B47,'Cashier Roster'!$B$5:$B$64,0)),""))</f>
        <v/>
      </c>
      <c r="E47" s="13"/>
      <c r="F47" s="14"/>
      <c r="G47" s="8" t="str">
        <f>IF(OR(B47="",E47=""),"",IF(E47="No","Missed",IF(F47="","",IF(F47&lt;=Settings!$B$7,"On time","Late"))))</f>
        <v/>
      </c>
      <c r="H47" s="15"/>
      <c r="I47" s="16"/>
      <c r="J47" s="16"/>
      <c r="K47" s="17" t="str">
        <f>IF(J47="","",ROUND(J47*Settings!$B$8,2))</f>
        <v/>
      </c>
      <c r="L47" s="16"/>
      <c r="M47" s="8" t="str">
        <f t="shared" si="0"/>
        <v/>
      </c>
      <c r="N47" s="9"/>
    </row>
    <row r="48" spans="1:14" ht="15.75">
      <c r="A48" s="11"/>
      <c r="B48" s="9"/>
      <c r="C48" s="12" t="str">
        <f>IF(B48="","",IFERROR(INDEX('Cashier Roster'!$C$5:$C$64,MATCH(B48,'Cashier Roster'!$B$5:$B$64,0)),"Not on roster"))</f>
        <v/>
      </c>
      <c r="D48" s="12" t="str">
        <f>IF(B48="","",IFERROR(INDEX('Cashier Roster'!$D$5:$D$64,MATCH(B48,'Cashier Roster'!$B$5:$B$64,0)),""))</f>
        <v/>
      </c>
      <c r="E48" s="13"/>
      <c r="F48" s="14"/>
      <c r="G48" s="8" t="str">
        <f>IF(OR(B48="",E48=""),"",IF(E48="No","Missed",IF(F48="","",IF(F48&lt;=Settings!$B$7,"On time","Late"))))</f>
        <v/>
      </c>
      <c r="H48" s="15"/>
      <c r="I48" s="16"/>
      <c r="J48" s="16"/>
      <c r="K48" s="17" t="str">
        <f>IF(J48="","",ROUND(J48*Settings!$B$8,2))</f>
        <v/>
      </c>
      <c r="L48" s="16"/>
      <c r="M48" s="8" t="str">
        <f t="shared" si="0"/>
        <v/>
      </c>
      <c r="N48" s="9"/>
    </row>
    <row r="49" spans="1:14" ht="15.75">
      <c r="A49" s="11"/>
      <c r="B49" s="9"/>
      <c r="C49" s="12" t="str">
        <f>IF(B49="","",IFERROR(INDEX('Cashier Roster'!$C$5:$C$64,MATCH(B49,'Cashier Roster'!$B$5:$B$64,0)),"Not on roster"))</f>
        <v/>
      </c>
      <c r="D49" s="12" t="str">
        <f>IF(B49="","",IFERROR(INDEX('Cashier Roster'!$D$5:$D$64,MATCH(B49,'Cashier Roster'!$B$5:$B$64,0)),""))</f>
        <v/>
      </c>
      <c r="E49" s="13"/>
      <c r="F49" s="14"/>
      <c r="G49" s="8" t="str">
        <f>IF(OR(B49="",E49=""),"",IF(E49="No","Missed",IF(F49="","",IF(F49&lt;=Settings!$B$7,"On time","Late"))))</f>
        <v/>
      </c>
      <c r="H49" s="15"/>
      <c r="I49" s="16"/>
      <c r="J49" s="16"/>
      <c r="K49" s="17" t="str">
        <f>IF(J49="","",ROUND(J49*Settings!$B$8,2))</f>
        <v/>
      </c>
      <c r="L49" s="16"/>
      <c r="M49" s="8" t="str">
        <f t="shared" si="0"/>
        <v/>
      </c>
      <c r="N49" s="9"/>
    </row>
    <row r="50" spans="1:14" ht="15.75">
      <c r="A50" s="11"/>
      <c r="B50" s="9"/>
      <c r="C50" s="12" t="str">
        <f>IF(B50="","",IFERROR(INDEX('Cashier Roster'!$C$5:$C$64,MATCH(B50,'Cashier Roster'!$B$5:$B$64,0)),"Not on roster"))</f>
        <v/>
      </c>
      <c r="D50" s="12" t="str">
        <f>IF(B50="","",IFERROR(INDEX('Cashier Roster'!$D$5:$D$64,MATCH(B50,'Cashier Roster'!$B$5:$B$64,0)),""))</f>
        <v/>
      </c>
      <c r="E50" s="13"/>
      <c r="F50" s="14"/>
      <c r="G50" s="8" t="str">
        <f>IF(OR(B50="",E50=""),"",IF(E50="No","Missed",IF(F50="","",IF(F50&lt;=Settings!$B$7,"On time","Late"))))</f>
        <v/>
      </c>
      <c r="H50" s="15"/>
      <c r="I50" s="16"/>
      <c r="J50" s="16"/>
      <c r="K50" s="17" t="str">
        <f>IF(J50="","",ROUND(J50*Settings!$B$8,2))</f>
        <v/>
      </c>
      <c r="L50" s="16"/>
      <c r="M50" s="8" t="str">
        <f t="shared" si="0"/>
        <v/>
      </c>
      <c r="N50" s="9"/>
    </row>
    <row r="51" spans="1:14" ht="15.75">
      <c r="A51" s="11"/>
      <c r="B51" s="9"/>
      <c r="C51" s="12" t="str">
        <f>IF(B51="","",IFERROR(INDEX('Cashier Roster'!$C$5:$C$64,MATCH(B51,'Cashier Roster'!$B$5:$B$64,0)),"Not on roster"))</f>
        <v/>
      </c>
      <c r="D51" s="12" t="str">
        <f>IF(B51="","",IFERROR(INDEX('Cashier Roster'!$D$5:$D$64,MATCH(B51,'Cashier Roster'!$B$5:$B$64,0)),""))</f>
        <v/>
      </c>
      <c r="E51" s="13"/>
      <c r="F51" s="14"/>
      <c r="G51" s="8" t="str">
        <f>IF(OR(B51="",E51=""),"",IF(E51="No","Missed",IF(F51="","",IF(F51&lt;=Settings!$B$7,"On time","Late"))))</f>
        <v/>
      </c>
      <c r="H51" s="15"/>
      <c r="I51" s="16"/>
      <c r="J51" s="16"/>
      <c r="K51" s="17" t="str">
        <f>IF(J51="","",ROUND(J51*Settings!$B$8,2))</f>
        <v/>
      </c>
      <c r="L51" s="16"/>
      <c r="M51" s="8" t="str">
        <f t="shared" si="0"/>
        <v/>
      </c>
      <c r="N51" s="9"/>
    </row>
    <row r="52" spans="1:14" ht="15.75">
      <c r="A52" s="11"/>
      <c r="B52" s="9"/>
      <c r="C52" s="12" t="str">
        <f>IF(B52="","",IFERROR(INDEX('Cashier Roster'!$C$5:$C$64,MATCH(B52,'Cashier Roster'!$B$5:$B$64,0)),"Not on roster"))</f>
        <v/>
      </c>
      <c r="D52" s="12" t="str">
        <f>IF(B52="","",IFERROR(INDEX('Cashier Roster'!$D$5:$D$64,MATCH(B52,'Cashier Roster'!$B$5:$B$64,0)),""))</f>
        <v/>
      </c>
      <c r="E52" s="13"/>
      <c r="F52" s="14"/>
      <c r="G52" s="8" t="str">
        <f>IF(OR(B52="",E52=""),"",IF(E52="No","Missed",IF(F52="","",IF(F52&lt;=Settings!$B$7,"On time","Late"))))</f>
        <v/>
      </c>
      <c r="H52" s="15"/>
      <c r="I52" s="16"/>
      <c r="J52" s="16"/>
      <c r="K52" s="17" t="str">
        <f>IF(J52="","",ROUND(J52*Settings!$B$8,2))</f>
        <v/>
      </c>
      <c r="L52" s="16"/>
      <c r="M52" s="8" t="str">
        <f t="shared" si="0"/>
        <v/>
      </c>
      <c r="N52" s="9"/>
    </row>
    <row r="53" spans="1:14" ht="15.75">
      <c r="A53" s="11"/>
      <c r="B53" s="9"/>
      <c r="C53" s="12" t="str">
        <f>IF(B53="","",IFERROR(INDEX('Cashier Roster'!$C$5:$C$64,MATCH(B53,'Cashier Roster'!$B$5:$B$64,0)),"Not on roster"))</f>
        <v/>
      </c>
      <c r="D53" s="12" t="str">
        <f>IF(B53="","",IFERROR(INDEX('Cashier Roster'!$D$5:$D$64,MATCH(B53,'Cashier Roster'!$B$5:$B$64,0)),""))</f>
        <v/>
      </c>
      <c r="E53" s="13"/>
      <c r="F53" s="14"/>
      <c r="G53" s="8" t="str">
        <f>IF(OR(B53="",E53=""),"",IF(E53="No","Missed",IF(F53="","",IF(F53&lt;=Settings!$B$7,"On time","Late"))))</f>
        <v/>
      </c>
      <c r="H53" s="15"/>
      <c r="I53" s="16"/>
      <c r="J53" s="16"/>
      <c r="K53" s="17" t="str">
        <f>IF(J53="","",ROUND(J53*Settings!$B$8,2))</f>
        <v/>
      </c>
      <c r="L53" s="16"/>
      <c r="M53" s="8" t="str">
        <f t="shared" si="0"/>
        <v/>
      </c>
      <c r="N53" s="9"/>
    </row>
    <row r="54" spans="1:14" ht="15.75">
      <c r="A54" s="11"/>
      <c r="B54" s="9"/>
      <c r="C54" s="12" t="str">
        <f>IF(B54="","",IFERROR(INDEX('Cashier Roster'!$C$5:$C$64,MATCH(B54,'Cashier Roster'!$B$5:$B$64,0)),"Not on roster"))</f>
        <v/>
      </c>
      <c r="D54" s="12" t="str">
        <f>IF(B54="","",IFERROR(INDEX('Cashier Roster'!$D$5:$D$64,MATCH(B54,'Cashier Roster'!$B$5:$B$64,0)),""))</f>
        <v/>
      </c>
      <c r="E54" s="13"/>
      <c r="F54" s="14"/>
      <c r="G54" s="8" t="str">
        <f>IF(OR(B54="",E54=""),"",IF(E54="No","Missed",IF(F54="","",IF(F54&lt;=Settings!$B$7,"On time","Late"))))</f>
        <v/>
      </c>
      <c r="H54" s="15"/>
      <c r="I54" s="16"/>
      <c r="J54" s="16"/>
      <c r="K54" s="17" t="str">
        <f>IF(J54="","",ROUND(J54*Settings!$B$8,2))</f>
        <v/>
      </c>
      <c r="L54" s="16"/>
      <c r="M54" s="8" t="str">
        <f t="shared" si="0"/>
        <v/>
      </c>
      <c r="N54" s="9"/>
    </row>
    <row r="55" spans="1:14" ht="15.75">
      <c r="A55" s="11"/>
      <c r="B55" s="9"/>
      <c r="C55" s="12" t="str">
        <f>IF(B55="","",IFERROR(INDEX('Cashier Roster'!$C$5:$C$64,MATCH(B55,'Cashier Roster'!$B$5:$B$64,0)),"Not on roster"))</f>
        <v/>
      </c>
      <c r="D55" s="12" t="str">
        <f>IF(B55="","",IFERROR(INDEX('Cashier Roster'!$D$5:$D$64,MATCH(B55,'Cashier Roster'!$B$5:$B$64,0)),""))</f>
        <v/>
      </c>
      <c r="E55" s="13"/>
      <c r="F55" s="14"/>
      <c r="G55" s="8" t="str">
        <f>IF(OR(B55="",E55=""),"",IF(E55="No","Missed",IF(F55="","",IF(F55&lt;=Settings!$B$7,"On time","Late"))))</f>
        <v/>
      </c>
      <c r="H55" s="15"/>
      <c r="I55" s="16"/>
      <c r="J55" s="16"/>
      <c r="K55" s="17" t="str">
        <f>IF(J55="","",ROUND(J55*Settings!$B$8,2))</f>
        <v/>
      </c>
      <c r="L55" s="16"/>
      <c r="M55" s="8" t="str">
        <f t="shared" si="0"/>
        <v/>
      </c>
      <c r="N55" s="9"/>
    </row>
    <row r="56" spans="1:14" ht="15.75">
      <c r="A56" s="11"/>
      <c r="B56" s="9"/>
      <c r="C56" s="12" t="str">
        <f>IF(B56="","",IFERROR(INDEX('Cashier Roster'!$C$5:$C$64,MATCH(B56,'Cashier Roster'!$B$5:$B$64,0)),"Not on roster"))</f>
        <v/>
      </c>
      <c r="D56" s="12" t="str">
        <f>IF(B56="","",IFERROR(INDEX('Cashier Roster'!$D$5:$D$64,MATCH(B56,'Cashier Roster'!$B$5:$B$64,0)),""))</f>
        <v/>
      </c>
      <c r="E56" s="13"/>
      <c r="F56" s="14"/>
      <c r="G56" s="8" t="str">
        <f>IF(OR(B56="",E56=""),"",IF(E56="No","Missed",IF(F56="","",IF(F56&lt;=Settings!$B$7,"On time","Late"))))</f>
        <v/>
      </c>
      <c r="H56" s="15"/>
      <c r="I56" s="16"/>
      <c r="J56" s="16"/>
      <c r="K56" s="17" t="str">
        <f>IF(J56="","",ROUND(J56*Settings!$B$8,2))</f>
        <v/>
      </c>
      <c r="L56" s="16"/>
      <c r="M56" s="8" t="str">
        <f t="shared" si="0"/>
        <v/>
      </c>
      <c r="N56" s="9"/>
    </row>
    <row r="57" spans="1:14" ht="15.75">
      <c r="A57" s="11"/>
      <c r="B57" s="9"/>
      <c r="C57" s="12" t="str">
        <f>IF(B57="","",IFERROR(INDEX('Cashier Roster'!$C$5:$C$64,MATCH(B57,'Cashier Roster'!$B$5:$B$64,0)),"Not on roster"))</f>
        <v/>
      </c>
      <c r="D57" s="12" t="str">
        <f>IF(B57="","",IFERROR(INDEX('Cashier Roster'!$D$5:$D$64,MATCH(B57,'Cashier Roster'!$B$5:$B$64,0)),""))</f>
        <v/>
      </c>
      <c r="E57" s="13"/>
      <c r="F57" s="14"/>
      <c r="G57" s="8" t="str">
        <f>IF(OR(B57="",E57=""),"",IF(E57="No","Missed",IF(F57="","",IF(F57&lt;=Settings!$B$7,"On time","Late"))))</f>
        <v/>
      </c>
      <c r="H57" s="15"/>
      <c r="I57" s="16"/>
      <c r="J57" s="16"/>
      <c r="K57" s="17" t="str">
        <f>IF(J57="","",ROUND(J57*Settings!$B$8,2))</f>
        <v/>
      </c>
      <c r="L57" s="16"/>
      <c r="M57" s="8" t="str">
        <f t="shared" si="0"/>
        <v/>
      </c>
      <c r="N57" s="9"/>
    </row>
    <row r="58" spans="1:14" ht="15.75">
      <c r="A58" s="11"/>
      <c r="B58" s="9"/>
      <c r="C58" s="12" t="str">
        <f>IF(B58="","",IFERROR(INDEX('Cashier Roster'!$C$5:$C$64,MATCH(B58,'Cashier Roster'!$B$5:$B$64,0)),"Not on roster"))</f>
        <v/>
      </c>
      <c r="D58" s="12" t="str">
        <f>IF(B58="","",IFERROR(INDEX('Cashier Roster'!$D$5:$D$64,MATCH(B58,'Cashier Roster'!$B$5:$B$64,0)),""))</f>
        <v/>
      </c>
      <c r="E58" s="13"/>
      <c r="F58" s="14"/>
      <c r="G58" s="8" t="str">
        <f>IF(OR(B58="",E58=""),"",IF(E58="No","Missed",IF(F58="","",IF(F58&lt;=Settings!$B$7,"On time","Late"))))</f>
        <v/>
      </c>
      <c r="H58" s="15"/>
      <c r="I58" s="16"/>
      <c r="J58" s="16"/>
      <c r="K58" s="17" t="str">
        <f>IF(J58="","",ROUND(J58*Settings!$B$8,2))</f>
        <v/>
      </c>
      <c r="L58" s="16"/>
      <c r="M58" s="8" t="str">
        <f t="shared" si="0"/>
        <v/>
      </c>
      <c r="N58" s="9"/>
    </row>
    <row r="59" spans="1:14" ht="15.75">
      <c r="A59" s="11"/>
      <c r="B59" s="9"/>
      <c r="C59" s="12" t="str">
        <f>IF(B59="","",IFERROR(INDEX('Cashier Roster'!$C$5:$C$64,MATCH(B59,'Cashier Roster'!$B$5:$B$64,0)),"Not on roster"))</f>
        <v/>
      </c>
      <c r="D59" s="12" t="str">
        <f>IF(B59="","",IFERROR(INDEX('Cashier Roster'!$D$5:$D$64,MATCH(B59,'Cashier Roster'!$B$5:$B$64,0)),""))</f>
        <v/>
      </c>
      <c r="E59" s="13"/>
      <c r="F59" s="14"/>
      <c r="G59" s="8" t="str">
        <f>IF(OR(B59="",E59=""),"",IF(E59="No","Missed",IF(F59="","",IF(F59&lt;=Settings!$B$7,"On time","Late"))))</f>
        <v/>
      </c>
      <c r="H59" s="15"/>
      <c r="I59" s="16"/>
      <c r="J59" s="16"/>
      <c r="K59" s="17" t="str">
        <f>IF(J59="","",ROUND(J59*Settings!$B$8,2))</f>
        <v/>
      </c>
      <c r="L59" s="16"/>
      <c r="M59" s="8" t="str">
        <f t="shared" si="0"/>
        <v/>
      </c>
      <c r="N59" s="9"/>
    </row>
    <row r="60" spans="1:14" ht="15.75">
      <c r="A60" s="11"/>
      <c r="B60" s="9"/>
      <c r="C60" s="12" t="str">
        <f>IF(B60="","",IFERROR(INDEX('Cashier Roster'!$C$5:$C$64,MATCH(B60,'Cashier Roster'!$B$5:$B$64,0)),"Not on roster"))</f>
        <v/>
      </c>
      <c r="D60" s="12" t="str">
        <f>IF(B60="","",IFERROR(INDEX('Cashier Roster'!$D$5:$D$64,MATCH(B60,'Cashier Roster'!$B$5:$B$64,0)),""))</f>
        <v/>
      </c>
      <c r="E60" s="13"/>
      <c r="F60" s="14"/>
      <c r="G60" s="8" t="str">
        <f>IF(OR(B60="",E60=""),"",IF(E60="No","Missed",IF(F60="","",IF(F60&lt;=Settings!$B$7,"On time","Late"))))</f>
        <v/>
      </c>
      <c r="H60" s="15"/>
      <c r="I60" s="16"/>
      <c r="J60" s="16"/>
      <c r="K60" s="17" t="str">
        <f>IF(J60="","",ROUND(J60*Settings!$B$8,2))</f>
        <v/>
      </c>
      <c r="L60" s="16"/>
      <c r="M60" s="8" t="str">
        <f t="shared" si="0"/>
        <v/>
      </c>
      <c r="N60" s="9"/>
    </row>
    <row r="61" spans="1:14" ht="15.75">
      <c r="A61" s="11"/>
      <c r="B61" s="9"/>
      <c r="C61" s="12" t="str">
        <f>IF(B61="","",IFERROR(INDEX('Cashier Roster'!$C$5:$C$64,MATCH(B61,'Cashier Roster'!$B$5:$B$64,0)),"Not on roster"))</f>
        <v/>
      </c>
      <c r="D61" s="12" t="str">
        <f>IF(B61="","",IFERROR(INDEX('Cashier Roster'!$D$5:$D$64,MATCH(B61,'Cashier Roster'!$B$5:$B$64,0)),""))</f>
        <v/>
      </c>
      <c r="E61" s="13"/>
      <c r="F61" s="14"/>
      <c r="G61" s="8" t="str">
        <f>IF(OR(B61="",E61=""),"",IF(E61="No","Missed",IF(F61="","",IF(F61&lt;=Settings!$B$7,"On time","Late"))))</f>
        <v/>
      </c>
      <c r="H61" s="15"/>
      <c r="I61" s="16"/>
      <c r="J61" s="16"/>
      <c r="K61" s="17" t="str">
        <f>IF(J61="","",ROUND(J61*Settings!$B$8,2))</f>
        <v/>
      </c>
      <c r="L61" s="16"/>
      <c r="M61" s="8" t="str">
        <f t="shared" si="0"/>
        <v/>
      </c>
      <c r="N61" s="9"/>
    </row>
    <row r="62" spans="1:14" ht="15.75">
      <c r="A62" s="11"/>
      <c r="B62" s="9"/>
      <c r="C62" s="12" t="str">
        <f>IF(B62="","",IFERROR(INDEX('Cashier Roster'!$C$5:$C$64,MATCH(B62,'Cashier Roster'!$B$5:$B$64,0)),"Not on roster"))</f>
        <v/>
      </c>
      <c r="D62" s="12" t="str">
        <f>IF(B62="","",IFERROR(INDEX('Cashier Roster'!$D$5:$D$64,MATCH(B62,'Cashier Roster'!$B$5:$B$64,0)),""))</f>
        <v/>
      </c>
      <c r="E62" s="13"/>
      <c r="F62" s="14"/>
      <c r="G62" s="8" t="str">
        <f>IF(OR(B62="",E62=""),"",IF(E62="No","Missed",IF(F62="","",IF(F62&lt;=Settings!$B$7,"On time","Late"))))</f>
        <v/>
      </c>
      <c r="H62" s="15"/>
      <c r="I62" s="16"/>
      <c r="J62" s="16"/>
      <c r="K62" s="17" t="str">
        <f>IF(J62="","",ROUND(J62*Settings!$B$8,2))</f>
        <v/>
      </c>
      <c r="L62" s="16"/>
      <c r="M62" s="8" t="str">
        <f t="shared" si="0"/>
        <v/>
      </c>
      <c r="N62" s="9"/>
    </row>
    <row r="63" spans="1:14" ht="15.75">
      <c r="A63" s="11"/>
      <c r="B63" s="9"/>
      <c r="C63" s="12" t="str">
        <f>IF(B63="","",IFERROR(INDEX('Cashier Roster'!$C$5:$C$64,MATCH(B63,'Cashier Roster'!$B$5:$B$64,0)),"Not on roster"))</f>
        <v/>
      </c>
      <c r="D63" s="12" t="str">
        <f>IF(B63="","",IFERROR(INDEX('Cashier Roster'!$D$5:$D$64,MATCH(B63,'Cashier Roster'!$B$5:$B$64,0)),""))</f>
        <v/>
      </c>
      <c r="E63" s="13"/>
      <c r="F63" s="14"/>
      <c r="G63" s="8" t="str">
        <f>IF(OR(B63="",E63=""),"",IF(E63="No","Missed",IF(F63="","",IF(F63&lt;=Settings!$B$7,"On time","Late"))))</f>
        <v/>
      </c>
      <c r="H63" s="15"/>
      <c r="I63" s="16"/>
      <c r="J63" s="16"/>
      <c r="K63" s="17" t="str">
        <f>IF(J63="","",ROUND(J63*Settings!$B$8,2))</f>
        <v/>
      </c>
      <c r="L63" s="16"/>
      <c r="M63" s="8" t="str">
        <f t="shared" si="0"/>
        <v/>
      </c>
      <c r="N63" s="9"/>
    </row>
    <row r="64" spans="1:14" ht="15.75">
      <c r="A64" s="11"/>
      <c r="B64" s="9"/>
      <c r="C64" s="12" t="str">
        <f>IF(B64="","",IFERROR(INDEX('Cashier Roster'!$C$5:$C$64,MATCH(B64,'Cashier Roster'!$B$5:$B$64,0)),"Not on roster"))</f>
        <v/>
      </c>
      <c r="D64" s="12" t="str">
        <f>IF(B64="","",IFERROR(INDEX('Cashier Roster'!$D$5:$D$64,MATCH(B64,'Cashier Roster'!$B$5:$B$64,0)),""))</f>
        <v/>
      </c>
      <c r="E64" s="13"/>
      <c r="F64" s="14"/>
      <c r="G64" s="8" t="str">
        <f>IF(OR(B64="",E64=""),"",IF(E64="No","Missed",IF(F64="","",IF(F64&lt;=Settings!$B$7,"On time","Late"))))</f>
        <v/>
      </c>
      <c r="H64" s="15"/>
      <c r="I64" s="16"/>
      <c r="J64" s="16"/>
      <c r="K64" s="17" t="str">
        <f>IF(J64="","",ROUND(J64*Settings!$B$8,2))</f>
        <v/>
      </c>
      <c r="L64" s="16"/>
      <c r="M64" s="8" t="str">
        <f t="shared" si="0"/>
        <v/>
      </c>
      <c r="N64" s="9"/>
    </row>
    <row r="65" spans="1:14" ht="15.75">
      <c r="A65" s="11"/>
      <c r="B65" s="9"/>
      <c r="C65" s="12" t="str">
        <f>IF(B65="","",IFERROR(INDEX('Cashier Roster'!$C$5:$C$64,MATCH(B65,'Cashier Roster'!$B$5:$B$64,0)),"Not on roster"))</f>
        <v/>
      </c>
      <c r="D65" s="12" t="str">
        <f>IF(B65="","",IFERROR(INDEX('Cashier Roster'!$D$5:$D$64,MATCH(B65,'Cashier Roster'!$B$5:$B$64,0)),""))</f>
        <v/>
      </c>
      <c r="E65" s="13"/>
      <c r="F65" s="14"/>
      <c r="G65" s="8" t="str">
        <f>IF(OR(B65="",E65=""),"",IF(E65="No","Missed",IF(F65="","",IF(F65&lt;=Settings!$B$7,"On time","Late"))))</f>
        <v/>
      </c>
      <c r="H65" s="15"/>
      <c r="I65" s="16"/>
      <c r="J65" s="16"/>
      <c r="K65" s="17" t="str">
        <f>IF(J65="","",ROUND(J65*Settings!$B$8,2))</f>
        <v/>
      </c>
      <c r="L65" s="16"/>
      <c r="M65" s="8" t="str">
        <f t="shared" si="0"/>
        <v/>
      </c>
      <c r="N65" s="9"/>
    </row>
    <row r="66" spans="1:14" ht="15.75">
      <c r="A66" s="11"/>
      <c r="B66" s="9"/>
      <c r="C66" s="12" t="str">
        <f>IF(B66="","",IFERROR(INDEX('Cashier Roster'!$C$5:$C$64,MATCH(B66,'Cashier Roster'!$B$5:$B$64,0)),"Not on roster"))</f>
        <v/>
      </c>
      <c r="D66" s="12" t="str">
        <f>IF(B66="","",IFERROR(INDEX('Cashier Roster'!$D$5:$D$64,MATCH(B66,'Cashier Roster'!$B$5:$B$64,0)),""))</f>
        <v/>
      </c>
      <c r="E66" s="13"/>
      <c r="F66" s="14"/>
      <c r="G66" s="8" t="str">
        <f>IF(OR(B66="",E66=""),"",IF(E66="No","Missed",IF(F66="","",IF(F66&lt;=Settings!$B$7,"On time","Late"))))</f>
        <v/>
      </c>
      <c r="H66" s="15"/>
      <c r="I66" s="16"/>
      <c r="J66" s="16"/>
      <c r="K66" s="17" t="str">
        <f>IF(J66="","",ROUND(J66*Settings!$B$8,2))</f>
        <v/>
      </c>
      <c r="L66" s="16"/>
      <c r="M66" s="8" t="str">
        <f t="shared" si="0"/>
        <v/>
      </c>
      <c r="N66" s="9"/>
    </row>
    <row r="67" spans="1:14" ht="15.75">
      <c r="A67" s="11"/>
      <c r="B67" s="9"/>
      <c r="C67" s="12" t="str">
        <f>IF(B67="","",IFERROR(INDEX('Cashier Roster'!$C$5:$C$64,MATCH(B67,'Cashier Roster'!$B$5:$B$64,0)),"Not on roster"))</f>
        <v/>
      </c>
      <c r="D67" s="12" t="str">
        <f>IF(B67="","",IFERROR(INDEX('Cashier Roster'!$D$5:$D$64,MATCH(B67,'Cashier Roster'!$B$5:$B$64,0)),""))</f>
        <v/>
      </c>
      <c r="E67" s="13"/>
      <c r="F67" s="14"/>
      <c r="G67" s="8" t="str">
        <f>IF(OR(B67="",E67=""),"",IF(E67="No","Missed",IF(F67="","",IF(F67&lt;=Settings!$B$7,"On time","Late"))))</f>
        <v/>
      </c>
      <c r="H67" s="15"/>
      <c r="I67" s="16"/>
      <c r="J67" s="16"/>
      <c r="K67" s="17" t="str">
        <f>IF(J67="","",ROUND(J67*Settings!$B$8,2))</f>
        <v/>
      </c>
      <c r="L67" s="16"/>
      <c r="M67" s="8" t="str">
        <f t="shared" si="0"/>
        <v/>
      </c>
      <c r="N67" s="9"/>
    </row>
    <row r="68" spans="1:14" ht="15.75">
      <c r="A68" s="11"/>
      <c r="B68" s="9"/>
      <c r="C68" s="12" t="str">
        <f>IF(B68="","",IFERROR(INDEX('Cashier Roster'!$C$5:$C$64,MATCH(B68,'Cashier Roster'!$B$5:$B$64,0)),"Not on roster"))</f>
        <v/>
      </c>
      <c r="D68" s="12" t="str">
        <f>IF(B68="","",IFERROR(INDEX('Cashier Roster'!$D$5:$D$64,MATCH(B68,'Cashier Roster'!$B$5:$B$64,0)),""))</f>
        <v/>
      </c>
      <c r="E68" s="13"/>
      <c r="F68" s="14"/>
      <c r="G68" s="8" t="str">
        <f>IF(OR(B68="",E68=""),"",IF(E68="No","Missed",IF(F68="","",IF(F68&lt;=Settings!$B$7,"On time","Late"))))</f>
        <v/>
      </c>
      <c r="H68" s="15"/>
      <c r="I68" s="16"/>
      <c r="J68" s="16"/>
      <c r="K68" s="17" t="str">
        <f>IF(J68="","",ROUND(J68*Settings!$B$8,2))</f>
        <v/>
      </c>
      <c r="L68" s="16"/>
      <c r="M68" s="8" t="str">
        <f t="shared" si="0"/>
        <v/>
      </c>
      <c r="N68" s="9"/>
    </row>
    <row r="69" spans="1:14" ht="15.75">
      <c r="A69" s="11"/>
      <c r="B69" s="9"/>
      <c r="C69" s="12" t="str">
        <f>IF(B69="","",IFERROR(INDEX('Cashier Roster'!$C$5:$C$64,MATCH(B69,'Cashier Roster'!$B$5:$B$64,0)),"Not on roster"))</f>
        <v/>
      </c>
      <c r="D69" s="12" t="str">
        <f>IF(B69="","",IFERROR(INDEX('Cashier Roster'!$D$5:$D$64,MATCH(B69,'Cashier Roster'!$B$5:$B$64,0)),""))</f>
        <v/>
      </c>
      <c r="E69" s="13"/>
      <c r="F69" s="14"/>
      <c r="G69" s="8" t="str">
        <f>IF(OR(B69="",E69=""),"",IF(E69="No","Missed",IF(F69="","",IF(F69&lt;=Settings!$B$7,"On time","Late"))))</f>
        <v/>
      </c>
      <c r="H69" s="15"/>
      <c r="I69" s="16"/>
      <c r="J69" s="16"/>
      <c r="K69" s="17" t="str">
        <f>IF(J69="","",ROUND(J69*Settings!$B$8,2))</f>
        <v/>
      </c>
      <c r="L69" s="16"/>
      <c r="M69" s="8" t="str">
        <f t="shared" ref="M69:M132" si="1">IF(L69="","",IF(L69&lt;=0,"Yes","No"))</f>
        <v/>
      </c>
      <c r="N69" s="9"/>
    </row>
    <row r="70" spans="1:14" ht="15.75">
      <c r="A70" s="11"/>
      <c r="B70" s="9"/>
      <c r="C70" s="12" t="str">
        <f>IF(B70="","",IFERROR(INDEX('Cashier Roster'!$C$5:$C$64,MATCH(B70,'Cashier Roster'!$B$5:$B$64,0)),"Not on roster"))</f>
        <v/>
      </c>
      <c r="D70" s="12" t="str">
        <f>IF(B70="","",IFERROR(INDEX('Cashier Roster'!$D$5:$D$64,MATCH(B70,'Cashier Roster'!$B$5:$B$64,0)),""))</f>
        <v/>
      </c>
      <c r="E70" s="13"/>
      <c r="F70" s="14"/>
      <c r="G70" s="8" t="str">
        <f>IF(OR(B70="",E70=""),"",IF(E70="No","Missed",IF(F70="","",IF(F70&lt;=Settings!$B$7,"On time","Late"))))</f>
        <v/>
      </c>
      <c r="H70" s="15"/>
      <c r="I70" s="16"/>
      <c r="J70" s="16"/>
      <c r="K70" s="17" t="str">
        <f>IF(J70="","",ROUND(J70*Settings!$B$8,2))</f>
        <v/>
      </c>
      <c r="L70" s="16"/>
      <c r="M70" s="8" t="str">
        <f t="shared" si="1"/>
        <v/>
      </c>
      <c r="N70" s="9"/>
    </row>
    <row r="71" spans="1:14" ht="15.75">
      <c r="A71" s="11"/>
      <c r="B71" s="9"/>
      <c r="C71" s="12" t="str">
        <f>IF(B71="","",IFERROR(INDEX('Cashier Roster'!$C$5:$C$64,MATCH(B71,'Cashier Roster'!$B$5:$B$64,0)),"Not on roster"))</f>
        <v/>
      </c>
      <c r="D71" s="12" t="str">
        <f>IF(B71="","",IFERROR(INDEX('Cashier Roster'!$D$5:$D$64,MATCH(B71,'Cashier Roster'!$B$5:$B$64,0)),""))</f>
        <v/>
      </c>
      <c r="E71" s="13"/>
      <c r="F71" s="14"/>
      <c r="G71" s="8" t="str">
        <f>IF(OR(B71="",E71=""),"",IF(E71="No","Missed",IF(F71="","",IF(F71&lt;=Settings!$B$7,"On time","Late"))))</f>
        <v/>
      </c>
      <c r="H71" s="15"/>
      <c r="I71" s="16"/>
      <c r="J71" s="16"/>
      <c r="K71" s="17" t="str">
        <f>IF(J71="","",ROUND(J71*Settings!$B$8,2))</f>
        <v/>
      </c>
      <c r="L71" s="16"/>
      <c r="M71" s="8" t="str">
        <f t="shared" si="1"/>
        <v/>
      </c>
      <c r="N71" s="9"/>
    </row>
    <row r="72" spans="1:14" ht="15.75">
      <c r="A72" s="11"/>
      <c r="B72" s="9"/>
      <c r="C72" s="12" t="str">
        <f>IF(B72="","",IFERROR(INDEX('Cashier Roster'!$C$5:$C$64,MATCH(B72,'Cashier Roster'!$B$5:$B$64,0)),"Not on roster"))</f>
        <v/>
      </c>
      <c r="D72" s="12" t="str">
        <f>IF(B72="","",IFERROR(INDEX('Cashier Roster'!$D$5:$D$64,MATCH(B72,'Cashier Roster'!$B$5:$B$64,0)),""))</f>
        <v/>
      </c>
      <c r="E72" s="13"/>
      <c r="F72" s="14"/>
      <c r="G72" s="8" t="str">
        <f>IF(OR(B72="",E72=""),"",IF(E72="No","Missed",IF(F72="","",IF(F72&lt;=Settings!$B$7,"On time","Late"))))</f>
        <v/>
      </c>
      <c r="H72" s="15"/>
      <c r="I72" s="16"/>
      <c r="J72" s="16"/>
      <c r="K72" s="17" t="str">
        <f>IF(J72="","",ROUND(J72*Settings!$B$8,2))</f>
        <v/>
      </c>
      <c r="L72" s="16"/>
      <c r="M72" s="8" t="str">
        <f t="shared" si="1"/>
        <v/>
      </c>
      <c r="N72" s="9"/>
    </row>
    <row r="73" spans="1:14" ht="15.75">
      <c r="A73" s="11"/>
      <c r="B73" s="9"/>
      <c r="C73" s="12" t="str">
        <f>IF(B73="","",IFERROR(INDEX('Cashier Roster'!$C$5:$C$64,MATCH(B73,'Cashier Roster'!$B$5:$B$64,0)),"Not on roster"))</f>
        <v/>
      </c>
      <c r="D73" s="12" t="str">
        <f>IF(B73="","",IFERROR(INDEX('Cashier Roster'!$D$5:$D$64,MATCH(B73,'Cashier Roster'!$B$5:$B$64,0)),""))</f>
        <v/>
      </c>
      <c r="E73" s="13"/>
      <c r="F73" s="14"/>
      <c r="G73" s="8" t="str">
        <f>IF(OR(B73="",E73=""),"",IF(E73="No","Missed",IF(F73="","",IF(F73&lt;=Settings!$B$7,"On time","Late"))))</f>
        <v/>
      </c>
      <c r="H73" s="15"/>
      <c r="I73" s="16"/>
      <c r="J73" s="16"/>
      <c r="K73" s="17" t="str">
        <f>IF(J73="","",ROUND(J73*Settings!$B$8,2))</f>
        <v/>
      </c>
      <c r="L73" s="16"/>
      <c r="M73" s="8" t="str">
        <f t="shared" si="1"/>
        <v/>
      </c>
      <c r="N73" s="9"/>
    </row>
    <row r="74" spans="1:14" ht="15.75">
      <c r="A74" s="11"/>
      <c r="B74" s="9"/>
      <c r="C74" s="12" t="str">
        <f>IF(B74="","",IFERROR(INDEX('Cashier Roster'!$C$5:$C$64,MATCH(B74,'Cashier Roster'!$B$5:$B$64,0)),"Not on roster"))</f>
        <v/>
      </c>
      <c r="D74" s="12" t="str">
        <f>IF(B74="","",IFERROR(INDEX('Cashier Roster'!$D$5:$D$64,MATCH(B74,'Cashier Roster'!$B$5:$B$64,0)),""))</f>
        <v/>
      </c>
      <c r="E74" s="13"/>
      <c r="F74" s="14"/>
      <c r="G74" s="8" t="str">
        <f>IF(OR(B74="",E74=""),"",IF(E74="No","Missed",IF(F74="","",IF(F74&lt;=Settings!$B$7,"On time","Late"))))</f>
        <v/>
      </c>
      <c r="H74" s="15"/>
      <c r="I74" s="16"/>
      <c r="J74" s="16"/>
      <c r="K74" s="17" t="str">
        <f>IF(J74="","",ROUND(J74*Settings!$B$8,2))</f>
        <v/>
      </c>
      <c r="L74" s="16"/>
      <c r="M74" s="8" t="str">
        <f t="shared" si="1"/>
        <v/>
      </c>
      <c r="N74" s="9"/>
    </row>
    <row r="75" spans="1:14" ht="15.75">
      <c r="A75" s="11"/>
      <c r="B75" s="9"/>
      <c r="C75" s="12" t="str">
        <f>IF(B75="","",IFERROR(INDEX('Cashier Roster'!$C$5:$C$64,MATCH(B75,'Cashier Roster'!$B$5:$B$64,0)),"Not on roster"))</f>
        <v/>
      </c>
      <c r="D75" s="12" t="str">
        <f>IF(B75="","",IFERROR(INDEX('Cashier Roster'!$D$5:$D$64,MATCH(B75,'Cashier Roster'!$B$5:$B$64,0)),""))</f>
        <v/>
      </c>
      <c r="E75" s="13"/>
      <c r="F75" s="14"/>
      <c r="G75" s="8" t="str">
        <f>IF(OR(B75="",E75=""),"",IF(E75="No","Missed",IF(F75="","",IF(F75&lt;=Settings!$B$7,"On time","Late"))))</f>
        <v/>
      </c>
      <c r="H75" s="15"/>
      <c r="I75" s="16"/>
      <c r="J75" s="16"/>
      <c r="K75" s="17" t="str">
        <f>IF(J75="","",ROUND(J75*Settings!$B$8,2))</f>
        <v/>
      </c>
      <c r="L75" s="16"/>
      <c r="M75" s="8" t="str">
        <f t="shared" si="1"/>
        <v/>
      </c>
      <c r="N75" s="9"/>
    </row>
    <row r="76" spans="1:14" ht="15.75">
      <c r="A76" s="11"/>
      <c r="B76" s="9"/>
      <c r="C76" s="12" t="str">
        <f>IF(B76="","",IFERROR(INDEX('Cashier Roster'!$C$5:$C$64,MATCH(B76,'Cashier Roster'!$B$5:$B$64,0)),"Not on roster"))</f>
        <v/>
      </c>
      <c r="D76" s="12" t="str">
        <f>IF(B76="","",IFERROR(INDEX('Cashier Roster'!$D$5:$D$64,MATCH(B76,'Cashier Roster'!$B$5:$B$64,0)),""))</f>
        <v/>
      </c>
      <c r="E76" s="13"/>
      <c r="F76" s="14"/>
      <c r="G76" s="8" t="str">
        <f>IF(OR(B76="",E76=""),"",IF(E76="No","Missed",IF(F76="","",IF(F76&lt;=Settings!$B$7,"On time","Late"))))</f>
        <v/>
      </c>
      <c r="H76" s="15"/>
      <c r="I76" s="16"/>
      <c r="J76" s="16"/>
      <c r="K76" s="17" t="str">
        <f>IF(J76="","",ROUND(J76*Settings!$B$8,2))</f>
        <v/>
      </c>
      <c r="L76" s="16"/>
      <c r="M76" s="8" t="str">
        <f t="shared" si="1"/>
        <v/>
      </c>
      <c r="N76" s="9"/>
    </row>
    <row r="77" spans="1:14" ht="15.75">
      <c r="A77" s="11"/>
      <c r="B77" s="9"/>
      <c r="C77" s="12" t="str">
        <f>IF(B77="","",IFERROR(INDEX('Cashier Roster'!$C$5:$C$64,MATCH(B77,'Cashier Roster'!$B$5:$B$64,0)),"Not on roster"))</f>
        <v/>
      </c>
      <c r="D77" s="12" t="str">
        <f>IF(B77="","",IFERROR(INDEX('Cashier Roster'!$D$5:$D$64,MATCH(B77,'Cashier Roster'!$B$5:$B$64,0)),""))</f>
        <v/>
      </c>
      <c r="E77" s="13"/>
      <c r="F77" s="14"/>
      <c r="G77" s="8" t="str">
        <f>IF(OR(B77="",E77=""),"",IF(E77="No","Missed",IF(F77="","",IF(F77&lt;=Settings!$B$7,"On time","Late"))))</f>
        <v/>
      </c>
      <c r="H77" s="15"/>
      <c r="I77" s="16"/>
      <c r="J77" s="16"/>
      <c r="K77" s="17" t="str">
        <f>IF(J77="","",ROUND(J77*Settings!$B$8,2))</f>
        <v/>
      </c>
      <c r="L77" s="16"/>
      <c r="M77" s="8" t="str">
        <f t="shared" si="1"/>
        <v/>
      </c>
      <c r="N77" s="9"/>
    </row>
    <row r="78" spans="1:14" ht="15.75">
      <c r="A78" s="11"/>
      <c r="B78" s="9"/>
      <c r="C78" s="12" t="str">
        <f>IF(B78="","",IFERROR(INDEX('Cashier Roster'!$C$5:$C$64,MATCH(B78,'Cashier Roster'!$B$5:$B$64,0)),"Not on roster"))</f>
        <v/>
      </c>
      <c r="D78" s="12" t="str">
        <f>IF(B78="","",IFERROR(INDEX('Cashier Roster'!$D$5:$D$64,MATCH(B78,'Cashier Roster'!$B$5:$B$64,0)),""))</f>
        <v/>
      </c>
      <c r="E78" s="13"/>
      <c r="F78" s="14"/>
      <c r="G78" s="8" t="str">
        <f>IF(OR(B78="",E78=""),"",IF(E78="No","Missed",IF(F78="","",IF(F78&lt;=Settings!$B$7,"On time","Late"))))</f>
        <v/>
      </c>
      <c r="H78" s="15"/>
      <c r="I78" s="16"/>
      <c r="J78" s="16"/>
      <c r="K78" s="17" t="str">
        <f>IF(J78="","",ROUND(J78*Settings!$B$8,2))</f>
        <v/>
      </c>
      <c r="L78" s="16"/>
      <c r="M78" s="8" t="str">
        <f t="shared" si="1"/>
        <v/>
      </c>
      <c r="N78" s="9"/>
    </row>
    <row r="79" spans="1:14" ht="15.75">
      <c r="A79" s="11"/>
      <c r="B79" s="9"/>
      <c r="C79" s="12" t="str">
        <f>IF(B79="","",IFERROR(INDEX('Cashier Roster'!$C$5:$C$64,MATCH(B79,'Cashier Roster'!$B$5:$B$64,0)),"Not on roster"))</f>
        <v/>
      </c>
      <c r="D79" s="12" t="str">
        <f>IF(B79="","",IFERROR(INDEX('Cashier Roster'!$D$5:$D$64,MATCH(B79,'Cashier Roster'!$B$5:$B$64,0)),""))</f>
        <v/>
      </c>
      <c r="E79" s="13"/>
      <c r="F79" s="14"/>
      <c r="G79" s="8" t="str">
        <f>IF(OR(B79="",E79=""),"",IF(E79="No","Missed",IF(F79="","",IF(F79&lt;=Settings!$B$7,"On time","Late"))))</f>
        <v/>
      </c>
      <c r="H79" s="15"/>
      <c r="I79" s="16"/>
      <c r="J79" s="16"/>
      <c r="K79" s="17" t="str">
        <f>IF(J79="","",ROUND(J79*Settings!$B$8,2))</f>
        <v/>
      </c>
      <c r="L79" s="16"/>
      <c r="M79" s="8" t="str">
        <f t="shared" si="1"/>
        <v/>
      </c>
      <c r="N79" s="9"/>
    </row>
    <row r="80" spans="1:14" ht="15.75">
      <c r="A80" s="11"/>
      <c r="B80" s="9"/>
      <c r="C80" s="12" t="str">
        <f>IF(B80="","",IFERROR(INDEX('Cashier Roster'!$C$5:$C$64,MATCH(B80,'Cashier Roster'!$B$5:$B$64,0)),"Not on roster"))</f>
        <v/>
      </c>
      <c r="D80" s="12" t="str">
        <f>IF(B80="","",IFERROR(INDEX('Cashier Roster'!$D$5:$D$64,MATCH(B80,'Cashier Roster'!$B$5:$B$64,0)),""))</f>
        <v/>
      </c>
      <c r="E80" s="13"/>
      <c r="F80" s="14"/>
      <c r="G80" s="8" t="str">
        <f>IF(OR(B80="",E80=""),"",IF(E80="No","Missed",IF(F80="","",IF(F80&lt;=Settings!$B$7,"On time","Late"))))</f>
        <v/>
      </c>
      <c r="H80" s="15"/>
      <c r="I80" s="16"/>
      <c r="J80" s="16"/>
      <c r="K80" s="17" t="str">
        <f>IF(J80="","",ROUND(J80*Settings!$B$8,2))</f>
        <v/>
      </c>
      <c r="L80" s="16"/>
      <c r="M80" s="8" t="str">
        <f t="shared" si="1"/>
        <v/>
      </c>
      <c r="N80" s="9"/>
    </row>
    <row r="81" spans="1:14" ht="15.75">
      <c r="A81" s="11"/>
      <c r="B81" s="9"/>
      <c r="C81" s="12" t="str">
        <f>IF(B81="","",IFERROR(INDEX('Cashier Roster'!$C$5:$C$64,MATCH(B81,'Cashier Roster'!$B$5:$B$64,0)),"Not on roster"))</f>
        <v/>
      </c>
      <c r="D81" s="12" t="str">
        <f>IF(B81="","",IFERROR(INDEX('Cashier Roster'!$D$5:$D$64,MATCH(B81,'Cashier Roster'!$B$5:$B$64,0)),""))</f>
        <v/>
      </c>
      <c r="E81" s="13"/>
      <c r="F81" s="14"/>
      <c r="G81" s="8" t="str">
        <f>IF(OR(B81="",E81=""),"",IF(E81="No","Missed",IF(F81="","",IF(F81&lt;=Settings!$B$7,"On time","Late"))))</f>
        <v/>
      </c>
      <c r="H81" s="15"/>
      <c r="I81" s="16"/>
      <c r="J81" s="16"/>
      <c r="K81" s="17" t="str">
        <f>IF(J81="","",ROUND(J81*Settings!$B$8,2))</f>
        <v/>
      </c>
      <c r="L81" s="16"/>
      <c r="M81" s="8" t="str">
        <f t="shared" si="1"/>
        <v/>
      </c>
      <c r="N81" s="9"/>
    </row>
    <row r="82" spans="1:14" ht="15.75">
      <c r="A82" s="11"/>
      <c r="B82" s="9"/>
      <c r="C82" s="12" t="str">
        <f>IF(B82="","",IFERROR(INDEX('Cashier Roster'!$C$5:$C$64,MATCH(B82,'Cashier Roster'!$B$5:$B$64,0)),"Not on roster"))</f>
        <v/>
      </c>
      <c r="D82" s="12" t="str">
        <f>IF(B82="","",IFERROR(INDEX('Cashier Roster'!$D$5:$D$64,MATCH(B82,'Cashier Roster'!$B$5:$B$64,0)),""))</f>
        <v/>
      </c>
      <c r="E82" s="13"/>
      <c r="F82" s="14"/>
      <c r="G82" s="8" t="str">
        <f>IF(OR(B82="",E82=""),"",IF(E82="No","Missed",IF(F82="","",IF(F82&lt;=Settings!$B$7,"On time","Late"))))</f>
        <v/>
      </c>
      <c r="H82" s="15"/>
      <c r="I82" s="16"/>
      <c r="J82" s="16"/>
      <c r="K82" s="17" t="str">
        <f>IF(J82="","",ROUND(J82*Settings!$B$8,2))</f>
        <v/>
      </c>
      <c r="L82" s="16"/>
      <c r="M82" s="8" t="str">
        <f t="shared" si="1"/>
        <v/>
      </c>
      <c r="N82" s="9"/>
    </row>
    <row r="83" spans="1:14" ht="15.75">
      <c r="A83" s="11"/>
      <c r="B83" s="9"/>
      <c r="C83" s="12" t="str">
        <f>IF(B83="","",IFERROR(INDEX('Cashier Roster'!$C$5:$C$64,MATCH(B83,'Cashier Roster'!$B$5:$B$64,0)),"Not on roster"))</f>
        <v/>
      </c>
      <c r="D83" s="12" t="str">
        <f>IF(B83="","",IFERROR(INDEX('Cashier Roster'!$D$5:$D$64,MATCH(B83,'Cashier Roster'!$B$5:$B$64,0)),""))</f>
        <v/>
      </c>
      <c r="E83" s="13"/>
      <c r="F83" s="14"/>
      <c r="G83" s="8" t="str">
        <f>IF(OR(B83="",E83=""),"",IF(E83="No","Missed",IF(F83="","",IF(F83&lt;=Settings!$B$7,"On time","Late"))))</f>
        <v/>
      </c>
      <c r="H83" s="15"/>
      <c r="I83" s="16"/>
      <c r="J83" s="16"/>
      <c r="K83" s="17" t="str">
        <f>IF(J83="","",ROUND(J83*Settings!$B$8,2))</f>
        <v/>
      </c>
      <c r="L83" s="16"/>
      <c r="M83" s="8" t="str">
        <f t="shared" si="1"/>
        <v/>
      </c>
      <c r="N83" s="9"/>
    </row>
    <row r="84" spans="1:14" ht="15.75">
      <c r="A84" s="11"/>
      <c r="B84" s="9"/>
      <c r="C84" s="12" t="str">
        <f>IF(B84="","",IFERROR(INDEX('Cashier Roster'!$C$5:$C$64,MATCH(B84,'Cashier Roster'!$B$5:$B$64,0)),"Not on roster"))</f>
        <v/>
      </c>
      <c r="D84" s="12" t="str">
        <f>IF(B84="","",IFERROR(INDEX('Cashier Roster'!$D$5:$D$64,MATCH(B84,'Cashier Roster'!$B$5:$B$64,0)),""))</f>
        <v/>
      </c>
      <c r="E84" s="13"/>
      <c r="F84" s="14"/>
      <c r="G84" s="8" t="str">
        <f>IF(OR(B84="",E84=""),"",IF(E84="No","Missed",IF(F84="","",IF(F84&lt;=Settings!$B$7,"On time","Late"))))</f>
        <v/>
      </c>
      <c r="H84" s="15"/>
      <c r="I84" s="16"/>
      <c r="J84" s="16"/>
      <c r="K84" s="17" t="str">
        <f>IF(J84="","",ROUND(J84*Settings!$B$8,2))</f>
        <v/>
      </c>
      <c r="L84" s="16"/>
      <c r="M84" s="8" t="str">
        <f t="shared" si="1"/>
        <v/>
      </c>
      <c r="N84" s="9"/>
    </row>
    <row r="85" spans="1:14" ht="15.75">
      <c r="A85" s="11"/>
      <c r="B85" s="9"/>
      <c r="C85" s="12" t="str">
        <f>IF(B85="","",IFERROR(INDEX('Cashier Roster'!$C$5:$C$64,MATCH(B85,'Cashier Roster'!$B$5:$B$64,0)),"Not on roster"))</f>
        <v/>
      </c>
      <c r="D85" s="12" t="str">
        <f>IF(B85="","",IFERROR(INDEX('Cashier Roster'!$D$5:$D$64,MATCH(B85,'Cashier Roster'!$B$5:$B$64,0)),""))</f>
        <v/>
      </c>
      <c r="E85" s="13"/>
      <c r="F85" s="14"/>
      <c r="G85" s="8" t="str">
        <f>IF(OR(B85="",E85=""),"",IF(E85="No","Missed",IF(F85="","",IF(F85&lt;=Settings!$B$7,"On time","Late"))))</f>
        <v/>
      </c>
      <c r="H85" s="15"/>
      <c r="I85" s="16"/>
      <c r="J85" s="16"/>
      <c r="K85" s="17" t="str">
        <f>IF(J85="","",ROUND(J85*Settings!$B$8,2))</f>
        <v/>
      </c>
      <c r="L85" s="16"/>
      <c r="M85" s="8" t="str">
        <f t="shared" si="1"/>
        <v/>
      </c>
      <c r="N85" s="9"/>
    </row>
    <row r="86" spans="1:14" ht="15.75">
      <c r="A86" s="11"/>
      <c r="B86" s="9"/>
      <c r="C86" s="12" t="str">
        <f>IF(B86="","",IFERROR(INDEX('Cashier Roster'!$C$5:$C$64,MATCH(B86,'Cashier Roster'!$B$5:$B$64,0)),"Not on roster"))</f>
        <v/>
      </c>
      <c r="D86" s="12" t="str">
        <f>IF(B86="","",IFERROR(INDEX('Cashier Roster'!$D$5:$D$64,MATCH(B86,'Cashier Roster'!$B$5:$B$64,0)),""))</f>
        <v/>
      </c>
      <c r="E86" s="13"/>
      <c r="F86" s="14"/>
      <c r="G86" s="8" t="str">
        <f>IF(OR(B86="",E86=""),"",IF(E86="No","Missed",IF(F86="","",IF(F86&lt;=Settings!$B$7,"On time","Late"))))</f>
        <v/>
      </c>
      <c r="H86" s="15"/>
      <c r="I86" s="16"/>
      <c r="J86" s="16"/>
      <c r="K86" s="17" t="str">
        <f>IF(J86="","",ROUND(J86*Settings!$B$8,2))</f>
        <v/>
      </c>
      <c r="L86" s="16"/>
      <c r="M86" s="8" t="str">
        <f t="shared" si="1"/>
        <v/>
      </c>
      <c r="N86" s="9"/>
    </row>
    <row r="87" spans="1:14" ht="15.75">
      <c r="A87" s="11"/>
      <c r="B87" s="9"/>
      <c r="C87" s="12" t="str">
        <f>IF(B87="","",IFERROR(INDEX('Cashier Roster'!$C$5:$C$64,MATCH(B87,'Cashier Roster'!$B$5:$B$64,0)),"Not on roster"))</f>
        <v/>
      </c>
      <c r="D87" s="12" t="str">
        <f>IF(B87="","",IFERROR(INDEX('Cashier Roster'!$D$5:$D$64,MATCH(B87,'Cashier Roster'!$B$5:$B$64,0)),""))</f>
        <v/>
      </c>
      <c r="E87" s="13"/>
      <c r="F87" s="14"/>
      <c r="G87" s="8" t="str">
        <f>IF(OR(B87="",E87=""),"",IF(E87="No","Missed",IF(F87="","",IF(F87&lt;=Settings!$B$7,"On time","Late"))))</f>
        <v/>
      </c>
      <c r="H87" s="15"/>
      <c r="I87" s="16"/>
      <c r="J87" s="16"/>
      <c r="K87" s="17" t="str">
        <f>IF(J87="","",ROUND(J87*Settings!$B$8,2))</f>
        <v/>
      </c>
      <c r="L87" s="16"/>
      <c r="M87" s="8" t="str">
        <f t="shared" si="1"/>
        <v/>
      </c>
      <c r="N87" s="9"/>
    </row>
    <row r="88" spans="1:14" ht="15.75">
      <c r="A88" s="11"/>
      <c r="B88" s="9"/>
      <c r="C88" s="12" t="str">
        <f>IF(B88="","",IFERROR(INDEX('Cashier Roster'!$C$5:$C$64,MATCH(B88,'Cashier Roster'!$B$5:$B$64,0)),"Not on roster"))</f>
        <v/>
      </c>
      <c r="D88" s="12" t="str">
        <f>IF(B88="","",IFERROR(INDEX('Cashier Roster'!$D$5:$D$64,MATCH(B88,'Cashier Roster'!$B$5:$B$64,0)),""))</f>
        <v/>
      </c>
      <c r="E88" s="13"/>
      <c r="F88" s="14"/>
      <c r="G88" s="8" t="str">
        <f>IF(OR(B88="",E88=""),"",IF(E88="No","Missed",IF(F88="","",IF(F88&lt;=Settings!$B$7,"On time","Late"))))</f>
        <v/>
      </c>
      <c r="H88" s="15"/>
      <c r="I88" s="16"/>
      <c r="J88" s="16"/>
      <c r="K88" s="17" t="str">
        <f>IF(J88="","",ROUND(J88*Settings!$B$8,2))</f>
        <v/>
      </c>
      <c r="L88" s="16"/>
      <c r="M88" s="8" t="str">
        <f t="shared" si="1"/>
        <v/>
      </c>
      <c r="N88" s="9"/>
    </row>
    <row r="89" spans="1:14" ht="15.75">
      <c r="A89" s="11"/>
      <c r="B89" s="9"/>
      <c r="C89" s="12" t="str">
        <f>IF(B89="","",IFERROR(INDEX('Cashier Roster'!$C$5:$C$64,MATCH(B89,'Cashier Roster'!$B$5:$B$64,0)),"Not on roster"))</f>
        <v/>
      </c>
      <c r="D89" s="12" t="str">
        <f>IF(B89="","",IFERROR(INDEX('Cashier Roster'!$D$5:$D$64,MATCH(B89,'Cashier Roster'!$B$5:$B$64,0)),""))</f>
        <v/>
      </c>
      <c r="E89" s="13"/>
      <c r="F89" s="14"/>
      <c r="G89" s="8" t="str">
        <f>IF(OR(B89="",E89=""),"",IF(E89="No","Missed",IF(F89="","",IF(F89&lt;=Settings!$B$7,"On time","Late"))))</f>
        <v/>
      </c>
      <c r="H89" s="15"/>
      <c r="I89" s="16"/>
      <c r="J89" s="16"/>
      <c r="K89" s="17" t="str">
        <f>IF(J89="","",ROUND(J89*Settings!$B$8,2))</f>
        <v/>
      </c>
      <c r="L89" s="16"/>
      <c r="M89" s="8" t="str">
        <f t="shared" si="1"/>
        <v/>
      </c>
      <c r="N89" s="9"/>
    </row>
    <row r="90" spans="1:14" ht="15.75">
      <c r="A90" s="11"/>
      <c r="B90" s="9"/>
      <c r="C90" s="12" t="str">
        <f>IF(B90="","",IFERROR(INDEX('Cashier Roster'!$C$5:$C$64,MATCH(B90,'Cashier Roster'!$B$5:$B$64,0)),"Not on roster"))</f>
        <v/>
      </c>
      <c r="D90" s="12" t="str">
        <f>IF(B90="","",IFERROR(INDEX('Cashier Roster'!$D$5:$D$64,MATCH(B90,'Cashier Roster'!$B$5:$B$64,0)),""))</f>
        <v/>
      </c>
      <c r="E90" s="13"/>
      <c r="F90" s="14"/>
      <c r="G90" s="8" t="str">
        <f>IF(OR(B90="",E90=""),"",IF(E90="No","Missed",IF(F90="","",IF(F90&lt;=Settings!$B$7,"On time","Late"))))</f>
        <v/>
      </c>
      <c r="H90" s="15"/>
      <c r="I90" s="16"/>
      <c r="J90" s="16"/>
      <c r="K90" s="17" t="str">
        <f>IF(J90="","",ROUND(J90*Settings!$B$8,2))</f>
        <v/>
      </c>
      <c r="L90" s="16"/>
      <c r="M90" s="8" t="str">
        <f t="shared" si="1"/>
        <v/>
      </c>
      <c r="N90" s="9"/>
    </row>
    <row r="91" spans="1:14" ht="15.75">
      <c r="A91" s="11"/>
      <c r="B91" s="9"/>
      <c r="C91" s="12" t="str">
        <f>IF(B91="","",IFERROR(INDEX('Cashier Roster'!$C$5:$C$64,MATCH(B91,'Cashier Roster'!$B$5:$B$64,0)),"Not on roster"))</f>
        <v/>
      </c>
      <c r="D91" s="12" t="str">
        <f>IF(B91="","",IFERROR(INDEX('Cashier Roster'!$D$5:$D$64,MATCH(B91,'Cashier Roster'!$B$5:$B$64,0)),""))</f>
        <v/>
      </c>
      <c r="E91" s="13"/>
      <c r="F91" s="14"/>
      <c r="G91" s="8" t="str">
        <f>IF(OR(B91="",E91=""),"",IF(E91="No","Missed",IF(F91="","",IF(F91&lt;=Settings!$B$7,"On time","Late"))))</f>
        <v/>
      </c>
      <c r="H91" s="15"/>
      <c r="I91" s="16"/>
      <c r="J91" s="16"/>
      <c r="K91" s="17" t="str">
        <f>IF(J91="","",ROUND(J91*Settings!$B$8,2))</f>
        <v/>
      </c>
      <c r="L91" s="16"/>
      <c r="M91" s="8" t="str">
        <f t="shared" si="1"/>
        <v/>
      </c>
      <c r="N91" s="9"/>
    </row>
    <row r="92" spans="1:14" ht="15.75">
      <c r="A92" s="11"/>
      <c r="B92" s="9"/>
      <c r="C92" s="12" t="str">
        <f>IF(B92="","",IFERROR(INDEX('Cashier Roster'!$C$5:$C$64,MATCH(B92,'Cashier Roster'!$B$5:$B$64,0)),"Not on roster"))</f>
        <v/>
      </c>
      <c r="D92" s="12" t="str">
        <f>IF(B92="","",IFERROR(INDEX('Cashier Roster'!$D$5:$D$64,MATCH(B92,'Cashier Roster'!$B$5:$B$64,0)),""))</f>
        <v/>
      </c>
      <c r="E92" s="13"/>
      <c r="F92" s="14"/>
      <c r="G92" s="8" t="str">
        <f>IF(OR(B92="",E92=""),"",IF(E92="No","Missed",IF(F92="","",IF(F92&lt;=Settings!$B$7,"On time","Late"))))</f>
        <v/>
      </c>
      <c r="H92" s="15"/>
      <c r="I92" s="16"/>
      <c r="J92" s="16"/>
      <c r="K92" s="17" t="str">
        <f>IF(J92="","",ROUND(J92*Settings!$B$8,2))</f>
        <v/>
      </c>
      <c r="L92" s="16"/>
      <c r="M92" s="8" t="str">
        <f t="shared" si="1"/>
        <v/>
      </c>
      <c r="N92" s="9"/>
    </row>
    <row r="93" spans="1:14" ht="15.75">
      <c r="A93" s="11"/>
      <c r="B93" s="9"/>
      <c r="C93" s="12" t="str">
        <f>IF(B93="","",IFERROR(INDEX('Cashier Roster'!$C$5:$C$64,MATCH(B93,'Cashier Roster'!$B$5:$B$64,0)),"Not on roster"))</f>
        <v/>
      </c>
      <c r="D93" s="12" t="str">
        <f>IF(B93="","",IFERROR(INDEX('Cashier Roster'!$D$5:$D$64,MATCH(B93,'Cashier Roster'!$B$5:$B$64,0)),""))</f>
        <v/>
      </c>
      <c r="E93" s="13"/>
      <c r="F93" s="14"/>
      <c r="G93" s="8" t="str">
        <f>IF(OR(B93="",E93=""),"",IF(E93="No","Missed",IF(F93="","",IF(F93&lt;=Settings!$B$7,"On time","Late"))))</f>
        <v/>
      </c>
      <c r="H93" s="15"/>
      <c r="I93" s="16"/>
      <c r="J93" s="16"/>
      <c r="K93" s="17" t="str">
        <f>IF(J93="","",ROUND(J93*Settings!$B$8,2))</f>
        <v/>
      </c>
      <c r="L93" s="16"/>
      <c r="M93" s="8" t="str">
        <f t="shared" si="1"/>
        <v/>
      </c>
      <c r="N93" s="9"/>
    </row>
    <row r="94" spans="1:14" ht="15.75">
      <c r="A94" s="11"/>
      <c r="B94" s="9"/>
      <c r="C94" s="12" t="str">
        <f>IF(B94="","",IFERROR(INDEX('Cashier Roster'!$C$5:$C$64,MATCH(B94,'Cashier Roster'!$B$5:$B$64,0)),"Not on roster"))</f>
        <v/>
      </c>
      <c r="D94" s="12" t="str">
        <f>IF(B94="","",IFERROR(INDEX('Cashier Roster'!$D$5:$D$64,MATCH(B94,'Cashier Roster'!$B$5:$B$64,0)),""))</f>
        <v/>
      </c>
      <c r="E94" s="13"/>
      <c r="F94" s="14"/>
      <c r="G94" s="8" t="str">
        <f>IF(OR(B94="",E94=""),"",IF(E94="No","Missed",IF(F94="","",IF(F94&lt;=Settings!$B$7,"On time","Late"))))</f>
        <v/>
      </c>
      <c r="H94" s="15"/>
      <c r="I94" s="16"/>
      <c r="J94" s="16"/>
      <c r="K94" s="17" t="str">
        <f>IF(J94="","",ROUND(J94*Settings!$B$8,2))</f>
        <v/>
      </c>
      <c r="L94" s="16"/>
      <c r="M94" s="8" t="str">
        <f t="shared" si="1"/>
        <v/>
      </c>
      <c r="N94" s="9"/>
    </row>
    <row r="95" spans="1:14" ht="15.75">
      <c r="A95" s="11"/>
      <c r="B95" s="9"/>
      <c r="C95" s="12" t="str">
        <f>IF(B95="","",IFERROR(INDEX('Cashier Roster'!$C$5:$C$64,MATCH(B95,'Cashier Roster'!$B$5:$B$64,0)),"Not on roster"))</f>
        <v/>
      </c>
      <c r="D95" s="12" t="str">
        <f>IF(B95="","",IFERROR(INDEX('Cashier Roster'!$D$5:$D$64,MATCH(B95,'Cashier Roster'!$B$5:$B$64,0)),""))</f>
        <v/>
      </c>
      <c r="E95" s="13"/>
      <c r="F95" s="14"/>
      <c r="G95" s="8" t="str">
        <f>IF(OR(B95="",E95=""),"",IF(E95="No","Missed",IF(F95="","",IF(F95&lt;=Settings!$B$7,"On time","Late"))))</f>
        <v/>
      </c>
      <c r="H95" s="15"/>
      <c r="I95" s="16"/>
      <c r="J95" s="16"/>
      <c r="K95" s="17" t="str">
        <f>IF(J95="","",ROUND(J95*Settings!$B$8,2))</f>
        <v/>
      </c>
      <c r="L95" s="16"/>
      <c r="M95" s="8" t="str">
        <f t="shared" si="1"/>
        <v/>
      </c>
      <c r="N95" s="9"/>
    </row>
    <row r="96" spans="1:14" ht="15.75">
      <c r="A96" s="11"/>
      <c r="B96" s="9"/>
      <c r="C96" s="12" t="str">
        <f>IF(B96="","",IFERROR(INDEX('Cashier Roster'!$C$5:$C$64,MATCH(B96,'Cashier Roster'!$B$5:$B$64,0)),"Not on roster"))</f>
        <v/>
      </c>
      <c r="D96" s="12" t="str">
        <f>IF(B96="","",IFERROR(INDEX('Cashier Roster'!$D$5:$D$64,MATCH(B96,'Cashier Roster'!$B$5:$B$64,0)),""))</f>
        <v/>
      </c>
      <c r="E96" s="13"/>
      <c r="F96" s="14"/>
      <c r="G96" s="8" t="str">
        <f>IF(OR(B96="",E96=""),"",IF(E96="No","Missed",IF(F96="","",IF(F96&lt;=Settings!$B$7,"On time","Late"))))</f>
        <v/>
      </c>
      <c r="H96" s="15"/>
      <c r="I96" s="16"/>
      <c r="J96" s="16"/>
      <c r="K96" s="17" t="str">
        <f>IF(J96="","",ROUND(J96*Settings!$B$8,2))</f>
        <v/>
      </c>
      <c r="L96" s="16"/>
      <c r="M96" s="8" t="str">
        <f t="shared" si="1"/>
        <v/>
      </c>
      <c r="N96" s="9"/>
    </row>
    <row r="97" spans="1:14" ht="15.75">
      <c r="A97" s="11"/>
      <c r="B97" s="9"/>
      <c r="C97" s="12" t="str">
        <f>IF(B97="","",IFERROR(INDEX('Cashier Roster'!$C$5:$C$64,MATCH(B97,'Cashier Roster'!$B$5:$B$64,0)),"Not on roster"))</f>
        <v/>
      </c>
      <c r="D97" s="12" t="str">
        <f>IF(B97="","",IFERROR(INDEX('Cashier Roster'!$D$5:$D$64,MATCH(B97,'Cashier Roster'!$B$5:$B$64,0)),""))</f>
        <v/>
      </c>
      <c r="E97" s="13"/>
      <c r="F97" s="14"/>
      <c r="G97" s="8" t="str">
        <f>IF(OR(B97="",E97=""),"",IF(E97="No","Missed",IF(F97="","",IF(F97&lt;=Settings!$B$7,"On time","Late"))))</f>
        <v/>
      </c>
      <c r="H97" s="15"/>
      <c r="I97" s="16"/>
      <c r="J97" s="16"/>
      <c r="K97" s="17" t="str">
        <f>IF(J97="","",ROUND(J97*Settings!$B$8,2))</f>
        <v/>
      </c>
      <c r="L97" s="16"/>
      <c r="M97" s="8" t="str">
        <f t="shared" si="1"/>
        <v/>
      </c>
      <c r="N97" s="9"/>
    </row>
    <row r="98" spans="1:14" ht="15.75">
      <c r="A98" s="11"/>
      <c r="B98" s="9"/>
      <c r="C98" s="12" t="str">
        <f>IF(B98="","",IFERROR(INDEX('Cashier Roster'!$C$5:$C$64,MATCH(B98,'Cashier Roster'!$B$5:$B$64,0)),"Not on roster"))</f>
        <v/>
      </c>
      <c r="D98" s="12" t="str">
        <f>IF(B98="","",IFERROR(INDEX('Cashier Roster'!$D$5:$D$64,MATCH(B98,'Cashier Roster'!$B$5:$B$64,0)),""))</f>
        <v/>
      </c>
      <c r="E98" s="13"/>
      <c r="F98" s="14"/>
      <c r="G98" s="8" t="str">
        <f>IF(OR(B98="",E98=""),"",IF(E98="No","Missed",IF(F98="","",IF(F98&lt;=Settings!$B$7,"On time","Late"))))</f>
        <v/>
      </c>
      <c r="H98" s="15"/>
      <c r="I98" s="16"/>
      <c r="J98" s="16"/>
      <c r="K98" s="17" t="str">
        <f>IF(J98="","",ROUND(J98*Settings!$B$8,2))</f>
        <v/>
      </c>
      <c r="L98" s="16"/>
      <c r="M98" s="8" t="str">
        <f t="shared" si="1"/>
        <v/>
      </c>
      <c r="N98" s="9"/>
    </row>
    <row r="99" spans="1:14" ht="15.75">
      <c r="A99" s="11"/>
      <c r="B99" s="9"/>
      <c r="C99" s="12" t="str">
        <f>IF(B99="","",IFERROR(INDEX('Cashier Roster'!$C$5:$C$64,MATCH(B99,'Cashier Roster'!$B$5:$B$64,0)),"Not on roster"))</f>
        <v/>
      </c>
      <c r="D99" s="12" t="str">
        <f>IF(B99="","",IFERROR(INDEX('Cashier Roster'!$D$5:$D$64,MATCH(B99,'Cashier Roster'!$B$5:$B$64,0)),""))</f>
        <v/>
      </c>
      <c r="E99" s="13"/>
      <c r="F99" s="14"/>
      <c r="G99" s="8" t="str">
        <f>IF(OR(B99="",E99=""),"",IF(E99="No","Missed",IF(F99="","",IF(F99&lt;=Settings!$B$7,"On time","Late"))))</f>
        <v/>
      </c>
      <c r="H99" s="15"/>
      <c r="I99" s="16"/>
      <c r="J99" s="16"/>
      <c r="K99" s="17" t="str">
        <f>IF(J99="","",ROUND(J99*Settings!$B$8,2))</f>
        <v/>
      </c>
      <c r="L99" s="16"/>
      <c r="M99" s="8" t="str">
        <f t="shared" si="1"/>
        <v/>
      </c>
      <c r="N99" s="9"/>
    </row>
    <row r="100" spans="1:14" ht="15.75">
      <c r="A100" s="11"/>
      <c r="B100" s="9"/>
      <c r="C100" s="12" t="str">
        <f>IF(B100="","",IFERROR(INDEX('Cashier Roster'!$C$5:$C$64,MATCH(B100,'Cashier Roster'!$B$5:$B$64,0)),"Not on roster"))</f>
        <v/>
      </c>
      <c r="D100" s="12" t="str">
        <f>IF(B100="","",IFERROR(INDEX('Cashier Roster'!$D$5:$D$64,MATCH(B100,'Cashier Roster'!$B$5:$B$64,0)),""))</f>
        <v/>
      </c>
      <c r="E100" s="13"/>
      <c r="F100" s="14"/>
      <c r="G100" s="8" t="str">
        <f>IF(OR(B100="",E100=""),"",IF(E100="No","Missed",IF(F100="","",IF(F100&lt;=Settings!$B$7,"On time","Late"))))</f>
        <v/>
      </c>
      <c r="H100" s="15"/>
      <c r="I100" s="16"/>
      <c r="J100" s="16"/>
      <c r="K100" s="17" t="str">
        <f>IF(J100="","",ROUND(J100*Settings!$B$8,2))</f>
        <v/>
      </c>
      <c r="L100" s="16"/>
      <c r="M100" s="8" t="str">
        <f t="shared" si="1"/>
        <v/>
      </c>
      <c r="N100" s="9"/>
    </row>
    <row r="101" spans="1:14" ht="15.75">
      <c r="A101" s="11"/>
      <c r="B101" s="9"/>
      <c r="C101" s="12" t="str">
        <f>IF(B101="","",IFERROR(INDEX('Cashier Roster'!$C$5:$C$64,MATCH(B101,'Cashier Roster'!$B$5:$B$64,0)),"Not on roster"))</f>
        <v/>
      </c>
      <c r="D101" s="12" t="str">
        <f>IF(B101="","",IFERROR(INDEX('Cashier Roster'!$D$5:$D$64,MATCH(B101,'Cashier Roster'!$B$5:$B$64,0)),""))</f>
        <v/>
      </c>
      <c r="E101" s="13"/>
      <c r="F101" s="14"/>
      <c r="G101" s="8" t="str">
        <f>IF(OR(B101="",E101=""),"",IF(E101="No","Missed",IF(F101="","",IF(F101&lt;=Settings!$B$7,"On time","Late"))))</f>
        <v/>
      </c>
      <c r="H101" s="15"/>
      <c r="I101" s="16"/>
      <c r="J101" s="16"/>
      <c r="K101" s="17" t="str">
        <f>IF(J101="","",ROUND(J101*Settings!$B$8,2))</f>
        <v/>
      </c>
      <c r="L101" s="16"/>
      <c r="M101" s="8" t="str">
        <f t="shared" si="1"/>
        <v/>
      </c>
      <c r="N101" s="9"/>
    </row>
    <row r="102" spans="1:14" ht="15.75">
      <c r="A102" s="11"/>
      <c r="B102" s="9"/>
      <c r="C102" s="12" t="str">
        <f>IF(B102="","",IFERROR(INDEX('Cashier Roster'!$C$5:$C$64,MATCH(B102,'Cashier Roster'!$B$5:$B$64,0)),"Not on roster"))</f>
        <v/>
      </c>
      <c r="D102" s="12" t="str">
        <f>IF(B102="","",IFERROR(INDEX('Cashier Roster'!$D$5:$D$64,MATCH(B102,'Cashier Roster'!$B$5:$B$64,0)),""))</f>
        <v/>
      </c>
      <c r="E102" s="13"/>
      <c r="F102" s="14"/>
      <c r="G102" s="8" t="str">
        <f>IF(OR(B102="",E102=""),"",IF(E102="No","Missed",IF(F102="","",IF(F102&lt;=Settings!$B$7,"On time","Late"))))</f>
        <v/>
      </c>
      <c r="H102" s="15"/>
      <c r="I102" s="16"/>
      <c r="J102" s="16"/>
      <c r="K102" s="17" t="str">
        <f>IF(J102="","",ROUND(J102*Settings!$B$8,2))</f>
        <v/>
      </c>
      <c r="L102" s="16"/>
      <c r="M102" s="8" t="str">
        <f t="shared" si="1"/>
        <v/>
      </c>
      <c r="N102" s="9"/>
    </row>
    <row r="103" spans="1:14" ht="15.75">
      <c r="A103" s="11"/>
      <c r="B103" s="9"/>
      <c r="C103" s="12" t="str">
        <f>IF(B103="","",IFERROR(INDEX('Cashier Roster'!$C$5:$C$64,MATCH(B103,'Cashier Roster'!$B$5:$B$64,0)),"Not on roster"))</f>
        <v/>
      </c>
      <c r="D103" s="12" t="str">
        <f>IF(B103="","",IFERROR(INDEX('Cashier Roster'!$D$5:$D$64,MATCH(B103,'Cashier Roster'!$B$5:$B$64,0)),""))</f>
        <v/>
      </c>
      <c r="E103" s="13"/>
      <c r="F103" s="14"/>
      <c r="G103" s="8" t="str">
        <f>IF(OR(B103="",E103=""),"",IF(E103="No","Missed",IF(F103="","",IF(F103&lt;=Settings!$B$7,"On time","Late"))))</f>
        <v/>
      </c>
      <c r="H103" s="15"/>
      <c r="I103" s="16"/>
      <c r="J103" s="16"/>
      <c r="K103" s="17" t="str">
        <f>IF(J103="","",ROUND(J103*Settings!$B$8,2))</f>
        <v/>
      </c>
      <c r="L103" s="16"/>
      <c r="M103" s="8" t="str">
        <f t="shared" si="1"/>
        <v/>
      </c>
      <c r="N103" s="9"/>
    </row>
    <row r="104" spans="1:14" ht="15.75">
      <c r="A104" s="11"/>
      <c r="B104" s="9"/>
      <c r="C104" s="12" t="str">
        <f>IF(B104="","",IFERROR(INDEX('Cashier Roster'!$C$5:$C$64,MATCH(B104,'Cashier Roster'!$B$5:$B$64,0)),"Not on roster"))</f>
        <v/>
      </c>
      <c r="D104" s="12" t="str">
        <f>IF(B104="","",IFERROR(INDEX('Cashier Roster'!$D$5:$D$64,MATCH(B104,'Cashier Roster'!$B$5:$B$64,0)),""))</f>
        <v/>
      </c>
      <c r="E104" s="13"/>
      <c r="F104" s="14"/>
      <c r="G104" s="8" t="str">
        <f>IF(OR(B104="",E104=""),"",IF(E104="No","Missed",IF(F104="","",IF(F104&lt;=Settings!$B$7,"On time","Late"))))</f>
        <v/>
      </c>
      <c r="H104" s="15"/>
      <c r="I104" s="16"/>
      <c r="J104" s="16"/>
      <c r="K104" s="17" t="str">
        <f>IF(J104="","",ROUND(J104*Settings!$B$8,2))</f>
        <v/>
      </c>
      <c r="L104" s="16"/>
      <c r="M104" s="8" t="str">
        <f t="shared" si="1"/>
        <v/>
      </c>
      <c r="N104" s="9"/>
    </row>
    <row r="105" spans="1:14" ht="15.75">
      <c r="A105" s="11"/>
      <c r="B105" s="9"/>
      <c r="C105" s="12" t="str">
        <f>IF(B105="","",IFERROR(INDEX('Cashier Roster'!$C$5:$C$64,MATCH(B105,'Cashier Roster'!$B$5:$B$64,0)),"Not on roster"))</f>
        <v/>
      </c>
      <c r="D105" s="12" t="str">
        <f>IF(B105="","",IFERROR(INDEX('Cashier Roster'!$D$5:$D$64,MATCH(B105,'Cashier Roster'!$B$5:$B$64,0)),""))</f>
        <v/>
      </c>
      <c r="E105" s="13"/>
      <c r="F105" s="14"/>
      <c r="G105" s="8" t="str">
        <f>IF(OR(B105="",E105=""),"",IF(E105="No","Missed",IF(F105="","",IF(F105&lt;=Settings!$B$7,"On time","Late"))))</f>
        <v/>
      </c>
      <c r="H105" s="15"/>
      <c r="I105" s="16"/>
      <c r="J105" s="16"/>
      <c r="K105" s="17" t="str">
        <f>IF(J105="","",ROUND(J105*Settings!$B$8,2))</f>
        <v/>
      </c>
      <c r="L105" s="16"/>
      <c r="M105" s="8" t="str">
        <f t="shared" si="1"/>
        <v/>
      </c>
      <c r="N105" s="9"/>
    </row>
    <row r="106" spans="1:14" ht="15.75">
      <c r="A106" s="11"/>
      <c r="B106" s="9"/>
      <c r="C106" s="12" t="str">
        <f>IF(B106="","",IFERROR(INDEX('Cashier Roster'!$C$5:$C$64,MATCH(B106,'Cashier Roster'!$B$5:$B$64,0)),"Not on roster"))</f>
        <v/>
      </c>
      <c r="D106" s="12" t="str">
        <f>IF(B106="","",IFERROR(INDEX('Cashier Roster'!$D$5:$D$64,MATCH(B106,'Cashier Roster'!$B$5:$B$64,0)),""))</f>
        <v/>
      </c>
      <c r="E106" s="13"/>
      <c r="F106" s="14"/>
      <c r="G106" s="8" t="str">
        <f>IF(OR(B106="",E106=""),"",IF(E106="No","Missed",IF(F106="","",IF(F106&lt;=Settings!$B$7,"On time","Late"))))</f>
        <v/>
      </c>
      <c r="H106" s="15"/>
      <c r="I106" s="16"/>
      <c r="J106" s="16"/>
      <c r="K106" s="17" t="str">
        <f>IF(J106="","",ROUND(J106*Settings!$B$8,2))</f>
        <v/>
      </c>
      <c r="L106" s="16"/>
      <c r="M106" s="8" t="str">
        <f t="shared" si="1"/>
        <v/>
      </c>
      <c r="N106" s="9"/>
    </row>
    <row r="107" spans="1:14" ht="15.75">
      <c r="A107" s="11"/>
      <c r="B107" s="9"/>
      <c r="C107" s="12" t="str">
        <f>IF(B107="","",IFERROR(INDEX('Cashier Roster'!$C$5:$C$64,MATCH(B107,'Cashier Roster'!$B$5:$B$64,0)),"Not on roster"))</f>
        <v/>
      </c>
      <c r="D107" s="12" t="str">
        <f>IF(B107="","",IFERROR(INDEX('Cashier Roster'!$D$5:$D$64,MATCH(B107,'Cashier Roster'!$B$5:$B$64,0)),""))</f>
        <v/>
      </c>
      <c r="E107" s="13"/>
      <c r="F107" s="14"/>
      <c r="G107" s="8" t="str">
        <f>IF(OR(B107="",E107=""),"",IF(E107="No","Missed",IF(F107="","",IF(F107&lt;=Settings!$B$7,"On time","Late"))))</f>
        <v/>
      </c>
      <c r="H107" s="15"/>
      <c r="I107" s="16"/>
      <c r="J107" s="16"/>
      <c r="K107" s="17" t="str">
        <f>IF(J107="","",ROUND(J107*Settings!$B$8,2))</f>
        <v/>
      </c>
      <c r="L107" s="16"/>
      <c r="M107" s="8" t="str">
        <f t="shared" si="1"/>
        <v/>
      </c>
      <c r="N107" s="9"/>
    </row>
    <row r="108" spans="1:14" ht="15.75">
      <c r="A108" s="11"/>
      <c r="B108" s="9"/>
      <c r="C108" s="12" t="str">
        <f>IF(B108="","",IFERROR(INDEX('Cashier Roster'!$C$5:$C$64,MATCH(B108,'Cashier Roster'!$B$5:$B$64,0)),"Not on roster"))</f>
        <v/>
      </c>
      <c r="D108" s="12" t="str">
        <f>IF(B108="","",IFERROR(INDEX('Cashier Roster'!$D$5:$D$64,MATCH(B108,'Cashier Roster'!$B$5:$B$64,0)),""))</f>
        <v/>
      </c>
      <c r="E108" s="13"/>
      <c r="F108" s="14"/>
      <c r="G108" s="8" t="str">
        <f>IF(OR(B108="",E108=""),"",IF(E108="No","Missed",IF(F108="","",IF(F108&lt;=Settings!$B$7,"On time","Late"))))</f>
        <v/>
      </c>
      <c r="H108" s="15"/>
      <c r="I108" s="16"/>
      <c r="J108" s="16"/>
      <c r="K108" s="17" t="str">
        <f>IF(J108="","",ROUND(J108*Settings!$B$8,2))</f>
        <v/>
      </c>
      <c r="L108" s="16"/>
      <c r="M108" s="8" t="str">
        <f t="shared" si="1"/>
        <v/>
      </c>
      <c r="N108" s="9"/>
    </row>
    <row r="109" spans="1:14" ht="15.75">
      <c r="A109" s="11"/>
      <c r="B109" s="9"/>
      <c r="C109" s="12" t="str">
        <f>IF(B109="","",IFERROR(INDEX('Cashier Roster'!$C$5:$C$64,MATCH(B109,'Cashier Roster'!$B$5:$B$64,0)),"Not on roster"))</f>
        <v/>
      </c>
      <c r="D109" s="12" t="str">
        <f>IF(B109="","",IFERROR(INDEX('Cashier Roster'!$D$5:$D$64,MATCH(B109,'Cashier Roster'!$B$5:$B$64,0)),""))</f>
        <v/>
      </c>
      <c r="E109" s="13"/>
      <c r="F109" s="14"/>
      <c r="G109" s="8" t="str">
        <f>IF(OR(B109="",E109=""),"",IF(E109="No","Missed",IF(F109="","",IF(F109&lt;=Settings!$B$7,"On time","Late"))))</f>
        <v/>
      </c>
      <c r="H109" s="15"/>
      <c r="I109" s="16"/>
      <c r="J109" s="16"/>
      <c r="K109" s="17" t="str">
        <f>IF(J109="","",ROUND(J109*Settings!$B$8,2))</f>
        <v/>
      </c>
      <c r="L109" s="16"/>
      <c r="M109" s="8" t="str">
        <f t="shared" si="1"/>
        <v/>
      </c>
      <c r="N109" s="9"/>
    </row>
    <row r="110" spans="1:14" ht="15.75">
      <c r="A110" s="11"/>
      <c r="B110" s="9"/>
      <c r="C110" s="12" t="str">
        <f>IF(B110="","",IFERROR(INDEX('Cashier Roster'!$C$5:$C$64,MATCH(B110,'Cashier Roster'!$B$5:$B$64,0)),"Not on roster"))</f>
        <v/>
      </c>
      <c r="D110" s="12" t="str">
        <f>IF(B110="","",IFERROR(INDEX('Cashier Roster'!$D$5:$D$64,MATCH(B110,'Cashier Roster'!$B$5:$B$64,0)),""))</f>
        <v/>
      </c>
      <c r="E110" s="13"/>
      <c r="F110" s="14"/>
      <c r="G110" s="8" t="str">
        <f>IF(OR(B110="",E110=""),"",IF(E110="No","Missed",IF(F110="","",IF(F110&lt;=Settings!$B$7,"On time","Late"))))</f>
        <v/>
      </c>
      <c r="H110" s="15"/>
      <c r="I110" s="16"/>
      <c r="J110" s="16"/>
      <c r="K110" s="17" t="str">
        <f>IF(J110="","",ROUND(J110*Settings!$B$8,2))</f>
        <v/>
      </c>
      <c r="L110" s="16"/>
      <c r="M110" s="8" t="str">
        <f t="shared" si="1"/>
        <v/>
      </c>
      <c r="N110" s="9"/>
    </row>
    <row r="111" spans="1:14" ht="15.75">
      <c r="A111" s="11"/>
      <c r="B111" s="9"/>
      <c r="C111" s="12" t="str">
        <f>IF(B111="","",IFERROR(INDEX('Cashier Roster'!$C$5:$C$64,MATCH(B111,'Cashier Roster'!$B$5:$B$64,0)),"Not on roster"))</f>
        <v/>
      </c>
      <c r="D111" s="12" t="str">
        <f>IF(B111="","",IFERROR(INDEX('Cashier Roster'!$D$5:$D$64,MATCH(B111,'Cashier Roster'!$B$5:$B$64,0)),""))</f>
        <v/>
      </c>
      <c r="E111" s="13"/>
      <c r="F111" s="14"/>
      <c r="G111" s="8" t="str">
        <f>IF(OR(B111="",E111=""),"",IF(E111="No","Missed",IF(F111="","",IF(F111&lt;=Settings!$B$7,"On time","Late"))))</f>
        <v/>
      </c>
      <c r="H111" s="15"/>
      <c r="I111" s="16"/>
      <c r="J111" s="16"/>
      <c r="K111" s="17" t="str">
        <f>IF(J111="","",ROUND(J111*Settings!$B$8,2))</f>
        <v/>
      </c>
      <c r="L111" s="16"/>
      <c r="M111" s="8" t="str">
        <f t="shared" si="1"/>
        <v/>
      </c>
      <c r="N111" s="9"/>
    </row>
    <row r="112" spans="1:14" ht="15.75">
      <c r="A112" s="11"/>
      <c r="B112" s="9"/>
      <c r="C112" s="12" t="str">
        <f>IF(B112="","",IFERROR(INDEX('Cashier Roster'!$C$5:$C$64,MATCH(B112,'Cashier Roster'!$B$5:$B$64,0)),"Not on roster"))</f>
        <v/>
      </c>
      <c r="D112" s="12" t="str">
        <f>IF(B112="","",IFERROR(INDEX('Cashier Roster'!$D$5:$D$64,MATCH(B112,'Cashier Roster'!$B$5:$B$64,0)),""))</f>
        <v/>
      </c>
      <c r="E112" s="13"/>
      <c r="F112" s="14"/>
      <c r="G112" s="8" t="str">
        <f>IF(OR(B112="",E112=""),"",IF(E112="No","Missed",IF(F112="","",IF(F112&lt;=Settings!$B$7,"On time","Late"))))</f>
        <v/>
      </c>
      <c r="H112" s="15"/>
      <c r="I112" s="16"/>
      <c r="J112" s="16"/>
      <c r="K112" s="17" t="str">
        <f>IF(J112="","",ROUND(J112*Settings!$B$8,2))</f>
        <v/>
      </c>
      <c r="L112" s="16"/>
      <c r="M112" s="8" t="str">
        <f t="shared" si="1"/>
        <v/>
      </c>
      <c r="N112" s="9"/>
    </row>
    <row r="113" spans="1:14" ht="15.75">
      <c r="A113" s="11"/>
      <c r="B113" s="9"/>
      <c r="C113" s="12" t="str">
        <f>IF(B113="","",IFERROR(INDEX('Cashier Roster'!$C$5:$C$64,MATCH(B113,'Cashier Roster'!$B$5:$B$64,0)),"Not on roster"))</f>
        <v/>
      </c>
      <c r="D113" s="12" t="str">
        <f>IF(B113="","",IFERROR(INDEX('Cashier Roster'!$D$5:$D$64,MATCH(B113,'Cashier Roster'!$B$5:$B$64,0)),""))</f>
        <v/>
      </c>
      <c r="E113" s="13"/>
      <c r="F113" s="14"/>
      <c r="G113" s="8" t="str">
        <f>IF(OR(B113="",E113=""),"",IF(E113="No","Missed",IF(F113="","",IF(F113&lt;=Settings!$B$7,"On time","Late"))))</f>
        <v/>
      </c>
      <c r="H113" s="15"/>
      <c r="I113" s="16"/>
      <c r="J113" s="16"/>
      <c r="K113" s="17" t="str">
        <f>IF(J113="","",ROUND(J113*Settings!$B$8,2))</f>
        <v/>
      </c>
      <c r="L113" s="16"/>
      <c r="M113" s="8" t="str">
        <f t="shared" si="1"/>
        <v/>
      </c>
      <c r="N113" s="9"/>
    </row>
    <row r="114" spans="1:14" ht="15.75">
      <c r="A114" s="11"/>
      <c r="B114" s="9"/>
      <c r="C114" s="12" t="str">
        <f>IF(B114="","",IFERROR(INDEX('Cashier Roster'!$C$5:$C$64,MATCH(B114,'Cashier Roster'!$B$5:$B$64,0)),"Not on roster"))</f>
        <v/>
      </c>
      <c r="D114" s="12" t="str">
        <f>IF(B114="","",IFERROR(INDEX('Cashier Roster'!$D$5:$D$64,MATCH(B114,'Cashier Roster'!$B$5:$B$64,0)),""))</f>
        <v/>
      </c>
      <c r="E114" s="13"/>
      <c r="F114" s="14"/>
      <c r="G114" s="8" t="str">
        <f>IF(OR(B114="",E114=""),"",IF(E114="No","Missed",IF(F114="","",IF(F114&lt;=Settings!$B$7,"On time","Late"))))</f>
        <v/>
      </c>
      <c r="H114" s="15"/>
      <c r="I114" s="16"/>
      <c r="J114" s="16"/>
      <c r="K114" s="17" t="str">
        <f>IF(J114="","",ROUND(J114*Settings!$B$8,2))</f>
        <v/>
      </c>
      <c r="L114" s="16"/>
      <c r="M114" s="8" t="str">
        <f t="shared" si="1"/>
        <v/>
      </c>
      <c r="N114" s="9"/>
    </row>
    <row r="115" spans="1:14" ht="15.75">
      <c r="A115" s="11"/>
      <c r="B115" s="9"/>
      <c r="C115" s="12" t="str">
        <f>IF(B115="","",IFERROR(INDEX('Cashier Roster'!$C$5:$C$64,MATCH(B115,'Cashier Roster'!$B$5:$B$64,0)),"Not on roster"))</f>
        <v/>
      </c>
      <c r="D115" s="12" t="str">
        <f>IF(B115="","",IFERROR(INDEX('Cashier Roster'!$D$5:$D$64,MATCH(B115,'Cashier Roster'!$B$5:$B$64,0)),""))</f>
        <v/>
      </c>
      <c r="E115" s="13"/>
      <c r="F115" s="14"/>
      <c r="G115" s="8" t="str">
        <f>IF(OR(B115="",E115=""),"",IF(E115="No","Missed",IF(F115="","",IF(F115&lt;=Settings!$B$7,"On time","Late"))))</f>
        <v/>
      </c>
      <c r="H115" s="15"/>
      <c r="I115" s="16"/>
      <c r="J115" s="16"/>
      <c r="K115" s="17" t="str">
        <f>IF(J115="","",ROUND(J115*Settings!$B$8,2))</f>
        <v/>
      </c>
      <c r="L115" s="16"/>
      <c r="M115" s="8" t="str">
        <f t="shared" si="1"/>
        <v/>
      </c>
      <c r="N115" s="9"/>
    </row>
    <row r="116" spans="1:14" ht="15.75">
      <c r="A116" s="11"/>
      <c r="B116" s="9"/>
      <c r="C116" s="12" t="str">
        <f>IF(B116="","",IFERROR(INDEX('Cashier Roster'!$C$5:$C$64,MATCH(B116,'Cashier Roster'!$B$5:$B$64,0)),"Not on roster"))</f>
        <v/>
      </c>
      <c r="D116" s="12" t="str">
        <f>IF(B116="","",IFERROR(INDEX('Cashier Roster'!$D$5:$D$64,MATCH(B116,'Cashier Roster'!$B$5:$B$64,0)),""))</f>
        <v/>
      </c>
      <c r="E116" s="13"/>
      <c r="F116" s="14"/>
      <c r="G116" s="8" t="str">
        <f>IF(OR(B116="",E116=""),"",IF(E116="No","Missed",IF(F116="","",IF(F116&lt;=Settings!$B$7,"On time","Late"))))</f>
        <v/>
      </c>
      <c r="H116" s="15"/>
      <c r="I116" s="16"/>
      <c r="J116" s="16"/>
      <c r="K116" s="17" t="str">
        <f>IF(J116="","",ROUND(J116*Settings!$B$8,2))</f>
        <v/>
      </c>
      <c r="L116" s="16"/>
      <c r="M116" s="8" t="str">
        <f t="shared" si="1"/>
        <v/>
      </c>
      <c r="N116" s="9"/>
    </row>
    <row r="117" spans="1:14" ht="15.75">
      <c r="A117" s="11"/>
      <c r="B117" s="9"/>
      <c r="C117" s="12" t="str">
        <f>IF(B117="","",IFERROR(INDEX('Cashier Roster'!$C$5:$C$64,MATCH(B117,'Cashier Roster'!$B$5:$B$64,0)),"Not on roster"))</f>
        <v/>
      </c>
      <c r="D117" s="12" t="str">
        <f>IF(B117="","",IFERROR(INDEX('Cashier Roster'!$D$5:$D$64,MATCH(B117,'Cashier Roster'!$B$5:$B$64,0)),""))</f>
        <v/>
      </c>
      <c r="E117" s="13"/>
      <c r="F117" s="14"/>
      <c r="G117" s="8" t="str">
        <f>IF(OR(B117="",E117=""),"",IF(E117="No","Missed",IF(F117="","",IF(F117&lt;=Settings!$B$7,"On time","Late"))))</f>
        <v/>
      </c>
      <c r="H117" s="15"/>
      <c r="I117" s="16"/>
      <c r="J117" s="16"/>
      <c r="K117" s="17" t="str">
        <f>IF(J117="","",ROUND(J117*Settings!$B$8,2))</f>
        <v/>
      </c>
      <c r="L117" s="16"/>
      <c r="M117" s="8" t="str">
        <f t="shared" si="1"/>
        <v/>
      </c>
      <c r="N117" s="9"/>
    </row>
    <row r="118" spans="1:14" ht="15.75">
      <c r="A118" s="11"/>
      <c r="B118" s="9"/>
      <c r="C118" s="12" t="str">
        <f>IF(B118="","",IFERROR(INDEX('Cashier Roster'!$C$5:$C$64,MATCH(B118,'Cashier Roster'!$B$5:$B$64,0)),"Not on roster"))</f>
        <v/>
      </c>
      <c r="D118" s="12" t="str">
        <f>IF(B118="","",IFERROR(INDEX('Cashier Roster'!$D$5:$D$64,MATCH(B118,'Cashier Roster'!$B$5:$B$64,0)),""))</f>
        <v/>
      </c>
      <c r="E118" s="13"/>
      <c r="F118" s="14"/>
      <c r="G118" s="8" t="str">
        <f>IF(OR(B118="",E118=""),"",IF(E118="No","Missed",IF(F118="","",IF(F118&lt;=Settings!$B$7,"On time","Late"))))</f>
        <v/>
      </c>
      <c r="H118" s="15"/>
      <c r="I118" s="16"/>
      <c r="J118" s="16"/>
      <c r="K118" s="17" t="str">
        <f>IF(J118="","",ROUND(J118*Settings!$B$8,2))</f>
        <v/>
      </c>
      <c r="L118" s="16"/>
      <c r="M118" s="8" t="str">
        <f t="shared" si="1"/>
        <v/>
      </c>
      <c r="N118" s="9"/>
    </row>
    <row r="119" spans="1:14" ht="15.75">
      <c r="A119" s="11"/>
      <c r="B119" s="9"/>
      <c r="C119" s="12" t="str">
        <f>IF(B119="","",IFERROR(INDEX('Cashier Roster'!$C$5:$C$64,MATCH(B119,'Cashier Roster'!$B$5:$B$64,0)),"Not on roster"))</f>
        <v/>
      </c>
      <c r="D119" s="12" t="str">
        <f>IF(B119="","",IFERROR(INDEX('Cashier Roster'!$D$5:$D$64,MATCH(B119,'Cashier Roster'!$B$5:$B$64,0)),""))</f>
        <v/>
      </c>
      <c r="E119" s="13"/>
      <c r="F119" s="14"/>
      <c r="G119" s="8" t="str">
        <f>IF(OR(B119="",E119=""),"",IF(E119="No","Missed",IF(F119="","",IF(F119&lt;=Settings!$B$7,"On time","Late"))))</f>
        <v/>
      </c>
      <c r="H119" s="15"/>
      <c r="I119" s="16"/>
      <c r="J119" s="16"/>
      <c r="K119" s="17" t="str">
        <f>IF(J119="","",ROUND(J119*Settings!$B$8,2))</f>
        <v/>
      </c>
      <c r="L119" s="16"/>
      <c r="M119" s="8" t="str">
        <f t="shared" si="1"/>
        <v/>
      </c>
      <c r="N119" s="9"/>
    </row>
    <row r="120" spans="1:14" ht="15.75">
      <c r="A120" s="11"/>
      <c r="B120" s="9"/>
      <c r="C120" s="12" t="str">
        <f>IF(B120="","",IFERROR(INDEX('Cashier Roster'!$C$5:$C$64,MATCH(B120,'Cashier Roster'!$B$5:$B$64,0)),"Not on roster"))</f>
        <v/>
      </c>
      <c r="D120" s="12" t="str">
        <f>IF(B120="","",IFERROR(INDEX('Cashier Roster'!$D$5:$D$64,MATCH(B120,'Cashier Roster'!$B$5:$B$64,0)),""))</f>
        <v/>
      </c>
      <c r="E120" s="13"/>
      <c r="F120" s="14"/>
      <c r="G120" s="8" t="str">
        <f>IF(OR(B120="",E120=""),"",IF(E120="No","Missed",IF(F120="","",IF(F120&lt;=Settings!$B$7,"On time","Late"))))</f>
        <v/>
      </c>
      <c r="H120" s="15"/>
      <c r="I120" s="16"/>
      <c r="J120" s="16"/>
      <c r="K120" s="17" t="str">
        <f>IF(J120="","",ROUND(J120*Settings!$B$8,2))</f>
        <v/>
      </c>
      <c r="L120" s="16"/>
      <c r="M120" s="8" t="str">
        <f t="shared" si="1"/>
        <v/>
      </c>
      <c r="N120" s="9"/>
    </row>
    <row r="121" spans="1:14" ht="15.75">
      <c r="A121" s="11"/>
      <c r="B121" s="9"/>
      <c r="C121" s="12" t="str">
        <f>IF(B121="","",IFERROR(INDEX('Cashier Roster'!$C$5:$C$64,MATCH(B121,'Cashier Roster'!$B$5:$B$64,0)),"Not on roster"))</f>
        <v/>
      </c>
      <c r="D121" s="12" t="str">
        <f>IF(B121="","",IFERROR(INDEX('Cashier Roster'!$D$5:$D$64,MATCH(B121,'Cashier Roster'!$B$5:$B$64,0)),""))</f>
        <v/>
      </c>
      <c r="E121" s="13"/>
      <c r="F121" s="14"/>
      <c r="G121" s="8" t="str">
        <f>IF(OR(B121="",E121=""),"",IF(E121="No","Missed",IF(F121="","",IF(F121&lt;=Settings!$B$7,"On time","Late"))))</f>
        <v/>
      </c>
      <c r="H121" s="15"/>
      <c r="I121" s="16"/>
      <c r="J121" s="16"/>
      <c r="K121" s="17" t="str">
        <f>IF(J121="","",ROUND(J121*Settings!$B$8,2))</f>
        <v/>
      </c>
      <c r="L121" s="16"/>
      <c r="M121" s="8" t="str">
        <f t="shared" si="1"/>
        <v/>
      </c>
      <c r="N121" s="9"/>
    </row>
    <row r="122" spans="1:14" ht="15.75">
      <c r="A122" s="11"/>
      <c r="B122" s="9"/>
      <c r="C122" s="12" t="str">
        <f>IF(B122="","",IFERROR(INDEX('Cashier Roster'!$C$5:$C$64,MATCH(B122,'Cashier Roster'!$B$5:$B$64,0)),"Not on roster"))</f>
        <v/>
      </c>
      <c r="D122" s="12" t="str">
        <f>IF(B122="","",IFERROR(INDEX('Cashier Roster'!$D$5:$D$64,MATCH(B122,'Cashier Roster'!$B$5:$B$64,0)),""))</f>
        <v/>
      </c>
      <c r="E122" s="13"/>
      <c r="F122" s="14"/>
      <c r="G122" s="8" t="str">
        <f>IF(OR(B122="",E122=""),"",IF(E122="No","Missed",IF(F122="","",IF(F122&lt;=Settings!$B$7,"On time","Late"))))</f>
        <v/>
      </c>
      <c r="H122" s="15"/>
      <c r="I122" s="16"/>
      <c r="J122" s="16"/>
      <c r="K122" s="17" t="str">
        <f>IF(J122="","",ROUND(J122*Settings!$B$8,2))</f>
        <v/>
      </c>
      <c r="L122" s="16"/>
      <c r="M122" s="8" t="str">
        <f t="shared" si="1"/>
        <v/>
      </c>
      <c r="N122" s="9"/>
    </row>
    <row r="123" spans="1:14" ht="15.75">
      <c r="A123" s="11"/>
      <c r="B123" s="9"/>
      <c r="C123" s="12" t="str">
        <f>IF(B123="","",IFERROR(INDEX('Cashier Roster'!$C$5:$C$64,MATCH(B123,'Cashier Roster'!$B$5:$B$64,0)),"Not on roster"))</f>
        <v/>
      </c>
      <c r="D123" s="12" t="str">
        <f>IF(B123="","",IFERROR(INDEX('Cashier Roster'!$D$5:$D$64,MATCH(B123,'Cashier Roster'!$B$5:$B$64,0)),""))</f>
        <v/>
      </c>
      <c r="E123" s="13"/>
      <c r="F123" s="14"/>
      <c r="G123" s="8" t="str">
        <f>IF(OR(B123="",E123=""),"",IF(E123="No","Missed",IF(F123="","",IF(F123&lt;=Settings!$B$7,"On time","Late"))))</f>
        <v/>
      </c>
      <c r="H123" s="15"/>
      <c r="I123" s="16"/>
      <c r="J123" s="16"/>
      <c r="K123" s="17" t="str">
        <f>IF(J123="","",ROUND(J123*Settings!$B$8,2))</f>
        <v/>
      </c>
      <c r="L123" s="16"/>
      <c r="M123" s="8" t="str">
        <f t="shared" si="1"/>
        <v/>
      </c>
      <c r="N123" s="9"/>
    </row>
    <row r="124" spans="1:14" ht="15.75">
      <c r="A124" s="11"/>
      <c r="B124" s="9"/>
      <c r="C124" s="12" t="str">
        <f>IF(B124="","",IFERROR(INDEX('Cashier Roster'!$C$5:$C$64,MATCH(B124,'Cashier Roster'!$B$5:$B$64,0)),"Not on roster"))</f>
        <v/>
      </c>
      <c r="D124" s="12" t="str">
        <f>IF(B124="","",IFERROR(INDEX('Cashier Roster'!$D$5:$D$64,MATCH(B124,'Cashier Roster'!$B$5:$B$64,0)),""))</f>
        <v/>
      </c>
      <c r="E124" s="13"/>
      <c r="F124" s="14"/>
      <c r="G124" s="8" t="str">
        <f>IF(OR(B124="",E124=""),"",IF(E124="No","Missed",IF(F124="","",IF(F124&lt;=Settings!$B$7,"On time","Late"))))</f>
        <v/>
      </c>
      <c r="H124" s="15"/>
      <c r="I124" s="16"/>
      <c r="J124" s="16"/>
      <c r="K124" s="17" t="str">
        <f>IF(J124="","",ROUND(J124*Settings!$B$8,2))</f>
        <v/>
      </c>
      <c r="L124" s="16"/>
      <c r="M124" s="8" t="str">
        <f t="shared" si="1"/>
        <v/>
      </c>
      <c r="N124" s="9"/>
    </row>
    <row r="125" spans="1:14" ht="15.75">
      <c r="A125" s="11"/>
      <c r="B125" s="9"/>
      <c r="C125" s="12" t="str">
        <f>IF(B125="","",IFERROR(INDEX('Cashier Roster'!$C$5:$C$64,MATCH(B125,'Cashier Roster'!$B$5:$B$64,0)),"Not on roster"))</f>
        <v/>
      </c>
      <c r="D125" s="12" t="str">
        <f>IF(B125="","",IFERROR(INDEX('Cashier Roster'!$D$5:$D$64,MATCH(B125,'Cashier Roster'!$B$5:$B$64,0)),""))</f>
        <v/>
      </c>
      <c r="E125" s="13"/>
      <c r="F125" s="14"/>
      <c r="G125" s="8" t="str">
        <f>IF(OR(B125="",E125=""),"",IF(E125="No","Missed",IF(F125="","",IF(F125&lt;=Settings!$B$7,"On time","Late"))))</f>
        <v/>
      </c>
      <c r="H125" s="15"/>
      <c r="I125" s="16"/>
      <c r="J125" s="16"/>
      <c r="K125" s="17" t="str">
        <f>IF(J125="","",ROUND(J125*Settings!$B$8,2))</f>
        <v/>
      </c>
      <c r="L125" s="16"/>
      <c r="M125" s="8" t="str">
        <f t="shared" si="1"/>
        <v/>
      </c>
      <c r="N125" s="9"/>
    </row>
    <row r="126" spans="1:14" ht="15.75">
      <c r="A126" s="11"/>
      <c r="B126" s="9"/>
      <c r="C126" s="12" t="str">
        <f>IF(B126="","",IFERROR(INDEX('Cashier Roster'!$C$5:$C$64,MATCH(B126,'Cashier Roster'!$B$5:$B$64,0)),"Not on roster"))</f>
        <v/>
      </c>
      <c r="D126" s="12" t="str">
        <f>IF(B126="","",IFERROR(INDEX('Cashier Roster'!$D$5:$D$64,MATCH(B126,'Cashier Roster'!$B$5:$B$64,0)),""))</f>
        <v/>
      </c>
      <c r="E126" s="13"/>
      <c r="F126" s="14"/>
      <c r="G126" s="8" t="str">
        <f>IF(OR(B126="",E126=""),"",IF(E126="No","Missed",IF(F126="","",IF(F126&lt;=Settings!$B$7,"On time","Late"))))</f>
        <v/>
      </c>
      <c r="H126" s="15"/>
      <c r="I126" s="16"/>
      <c r="J126" s="16"/>
      <c r="K126" s="17" t="str">
        <f>IF(J126="","",ROUND(J126*Settings!$B$8,2))</f>
        <v/>
      </c>
      <c r="L126" s="16"/>
      <c r="M126" s="8" t="str">
        <f t="shared" si="1"/>
        <v/>
      </c>
      <c r="N126" s="9"/>
    </row>
    <row r="127" spans="1:14" ht="15.75">
      <c r="A127" s="11"/>
      <c r="B127" s="9"/>
      <c r="C127" s="12" t="str">
        <f>IF(B127="","",IFERROR(INDEX('Cashier Roster'!$C$5:$C$64,MATCH(B127,'Cashier Roster'!$B$5:$B$64,0)),"Not on roster"))</f>
        <v/>
      </c>
      <c r="D127" s="12" t="str">
        <f>IF(B127="","",IFERROR(INDEX('Cashier Roster'!$D$5:$D$64,MATCH(B127,'Cashier Roster'!$B$5:$B$64,0)),""))</f>
        <v/>
      </c>
      <c r="E127" s="13"/>
      <c r="F127" s="14"/>
      <c r="G127" s="8" t="str">
        <f>IF(OR(B127="",E127=""),"",IF(E127="No","Missed",IF(F127="","",IF(F127&lt;=Settings!$B$7,"On time","Late"))))</f>
        <v/>
      </c>
      <c r="H127" s="15"/>
      <c r="I127" s="16"/>
      <c r="J127" s="16"/>
      <c r="K127" s="17" t="str">
        <f>IF(J127="","",ROUND(J127*Settings!$B$8,2))</f>
        <v/>
      </c>
      <c r="L127" s="16"/>
      <c r="M127" s="8" t="str">
        <f t="shared" si="1"/>
        <v/>
      </c>
      <c r="N127" s="9"/>
    </row>
    <row r="128" spans="1:14" ht="15.75">
      <c r="A128" s="11"/>
      <c r="B128" s="9"/>
      <c r="C128" s="12" t="str">
        <f>IF(B128="","",IFERROR(INDEX('Cashier Roster'!$C$5:$C$64,MATCH(B128,'Cashier Roster'!$B$5:$B$64,0)),"Not on roster"))</f>
        <v/>
      </c>
      <c r="D128" s="12" t="str">
        <f>IF(B128="","",IFERROR(INDEX('Cashier Roster'!$D$5:$D$64,MATCH(B128,'Cashier Roster'!$B$5:$B$64,0)),""))</f>
        <v/>
      </c>
      <c r="E128" s="13"/>
      <c r="F128" s="14"/>
      <c r="G128" s="8" t="str">
        <f>IF(OR(B128="",E128=""),"",IF(E128="No","Missed",IF(F128="","",IF(F128&lt;=Settings!$B$7,"On time","Late"))))</f>
        <v/>
      </c>
      <c r="H128" s="15"/>
      <c r="I128" s="16"/>
      <c r="J128" s="16"/>
      <c r="K128" s="17" t="str">
        <f>IF(J128="","",ROUND(J128*Settings!$B$8,2))</f>
        <v/>
      </c>
      <c r="L128" s="16"/>
      <c r="M128" s="8" t="str">
        <f t="shared" si="1"/>
        <v/>
      </c>
      <c r="N128" s="9"/>
    </row>
    <row r="129" spans="1:14" ht="15.75">
      <c r="A129" s="11"/>
      <c r="B129" s="9"/>
      <c r="C129" s="12" t="str">
        <f>IF(B129="","",IFERROR(INDEX('Cashier Roster'!$C$5:$C$64,MATCH(B129,'Cashier Roster'!$B$5:$B$64,0)),"Not on roster"))</f>
        <v/>
      </c>
      <c r="D129" s="12" t="str">
        <f>IF(B129="","",IFERROR(INDEX('Cashier Roster'!$D$5:$D$64,MATCH(B129,'Cashier Roster'!$B$5:$B$64,0)),""))</f>
        <v/>
      </c>
      <c r="E129" s="13"/>
      <c r="F129" s="14"/>
      <c r="G129" s="8" t="str">
        <f>IF(OR(B129="",E129=""),"",IF(E129="No","Missed",IF(F129="","",IF(F129&lt;=Settings!$B$7,"On time","Late"))))</f>
        <v/>
      </c>
      <c r="H129" s="15"/>
      <c r="I129" s="16"/>
      <c r="J129" s="16"/>
      <c r="K129" s="17" t="str">
        <f>IF(J129="","",ROUND(J129*Settings!$B$8,2))</f>
        <v/>
      </c>
      <c r="L129" s="16"/>
      <c r="M129" s="8" t="str">
        <f t="shared" si="1"/>
        <v/>
      </c>
      <c r="N129" s="9"/>
    </row>
    <row r="130" spans="1:14" ht="15.75">
      <c r="A130" s="11"/>
      <c r="B130" s="9"/>
      <c r="C130" s="12" t="str">
        <f>IF(B130="","",IFERROR(INDEX('Cashier Roster'!$C$5:$C$64,MATCH(B130,'Cashier Roster'!$B$5:$B$64,0)),"Not on roster"))</f>
        <v/>
      </c>
      <c r="D130" s="12" t="str">
        <f>IF(B130="","",IFERROR(INDEX('Cashier Roster'!$D$5:$D$64,MATCH(B130,'Cashier Roster'!$B$5:$B$64,0)),""))</f>
        <v/>
      </c>
      <c r="E130" s="13"/>
      <c r="F130" s="14"/>
      <c r="G130" s="8" t="str">
        <f>IF(OR(B130="",E130=""),"",IF(E130="No","Missed",IF(F130="","",IF(F130&lt;=Settings!$B$7,"On time","Late"))))</f>
        <v/>
      </c>
      <c r="H130" s="15"/>
      <c r="I130" s="16"/>
      <c r="J130" s="16"/>
      <c r="K130" s="17" t="str">
        <f>IF(J130="","",ROUND(J130*Settings!$B$8,2))</f>
        <v/>
      </c>
      <c r="L130" s="16"/>
      <c r="M130" s="8" t="str">
        <f t="shared" si="1"/>
        <v/>
      </c>
      <c r="N130" s="9"/>
    </row>
    <row r="131" spans="1:14" ht="15.75">
      <c r="A131" s="11"/>
      <c r="B131" s="9"/>
      <c r="C131" s="12" t="str">
        <f>IF(B131="","",IFERROR(INDEX('Cashier Roster'!$C$5:$C$64,MATCH(B131,'Cashier Roster'!$B$5:$B$64,0)),"Not on roster"))</f>
        <v/>
      </c>
      <c r="D131" s="12" t="str">
        <f>IF(B131="","",IFERROR(INDEX('Cashier Roster'!$D$5:$D$64,MATCH(B131,'Cashier Roster'!$B$5:$B$64,0)),""))</f>
        <v/>
      </c>
      <c r="E131" s="13"/>
      <c r="F131" s="14"/>
      <c r="G131" s="8" t="str">
        <f>IF(OR(B131="",E131=""),"",IF(E131="No","Missed",IF(F131="","",IF(F131&lt;=Settings!$B$7,"On time","Late"))))</f>
        <v/>
      </c>
      <c r="H131" s="15"/>
      <c r="I131" s="16"/>
      <c r="J131" s="16"/>
      <c r="K131" s="17" t="str">
        <f>IF(J131="","",ROUND(J131*Settings!$B$8,2))</f>
        <v/>
      </c>
      <c r="L131" s="16"/>
      <c r="M131" s="8" t="str">
        <f t="shared" si="1"/>
        <v/>
      </c>
      <c r="N131" s="9"/>
    </row>
    <row r="132" spans="1:14" ht="15.75">
      <c r="A132" s="11"/>
      <c r="B132" s="9"/>
      <c r="C132" s="12" t="str">
        <f>IF(B132="","",IFERROR(INDEX('Cashier Roster'!$C$5:$C$64,MATCH(B132,'Cashier Roster'!$B$5:$B$64,0)),"Not on roster"))</f>
        <v/>
      </c>
      <c r="D132" s="12" t="str">
        <f>IF(B132="","",IFERROR(INDEX('Cashier Roster'!$D$5:$D$64,MATCH(B132,'Cashier Roster'!$B$5:$B$64,0)),""))</f>
        <v/>
      </c>
      <c r="E132" s="13"/>
      <c r="F132" s="14"/>
      <c r="G132" s="8" t="str">
        <f>IF(OR(B132="",E132=""),"",IF(E132="No","Missed",IF(F132="","",IF(F132&lt;=Settings!$B$7,"On time","Late"))))</f>
        <v/>
      </c>
      <c r="H132" s="15"/>
      <c r="I132" s="16"/>
      <c r="J132" s="16"/>
      <c r="K132" s="17" t="str">
        <f>IF(J132="","",ROUND(J132*Settings!$B$8,2))</f>
        <v/>
      </c>
      <c r="L132" s="16"/>
      <c r="M132" s="8" t="str">
        <f t="shared" si="1"/>
        <v/>
      </c>
      <c r="N132" s="9"/>
    </row>
    <row r="133" spans="1:14" ht="15.75">
      <c r="A133" s="11"/>
      <c r="B133" s="9"/>
      <c r="C133" s="12" t="str">
        <f>IF(B133="","",IFERROR(INDEX('Cashier Roster'!$C$5:$C$64,MATCH(B133,'Cashier Roster'!$B$5:$B$64,0)),"Not on roster"))</f>
        <v/>
      </c>
      <c r="D133" s="12" t="str">
        <f>IF(B133="","",IFERROR(INDEX('Cashier Roster'!$D$5:$D$64,MATCH(B133,'Cashier Roster'!$B$5:$B$64,0)),""))</f>
        <v/>
      </c>
      <c r="E133" s="13"/>
      <c r="F133" s="14"/>
      <c r="G133" s="8" t="str">
        <f>IF(OR(B133="",E133=""),"",IF(E133="No","Missed",IF(F133="","",IF(F133&lt;=Settings!$B$7,"On time","Late"))))</f>
        <v/>
      </c>
      <c r="H133" s="15"/>
      <c r="I133" s="16"/>
      <c r="J133" s="16"/>
      <c r="K133" s="17" t="str">
        <f>IF(J133="","",ROUND(J133*Settings!$B$8,2))</f>
        <v/>
      </c>
      <c r="L133" s="16"/>
      <c r="M133" s="8" t="str">
        <f t="shared" ref="M133:M196" si="2">IF(L133="","",IF(L133&lt;=0,"Yes","No"))</f>
        <v/>
      </c>
      <c r="N133" s="9"/>
    </row>
    <row r="134" spans="1:14" ht="15.75">
      <c r="A134" s="11"/>
      <c r="B134" s="9"/>
      <c r="C134" s="12" t="str">
        <f>IF(B134="","",IFERROR(INDEX('Cashier Roster'!$C$5:$C$64,MATCH(B134,'Cashier Roster'!$B$5:$B$64,0)),"Not on roster"))</f>
        <v/>
      </c>
      <c r="D134" s="12" t="str">
        <f>IF(B134="","",IFERROR(INDEX('Cashier Roster'!$D$5:$D$64,MATCH(B134,'Cashier Roster'!$B$5:$B$64,0)),""))</f>
        <v/>
      </c>
      <c r="E134" s="13"/>
      <c r="F134" s="14"/>
      <c r="G134" s="8" t="str">
        <f>IF(OR(B134="",E134=""),"",IF(E134="No","Missed",IF(F134="","",IF(F134&lt;=Settings!$B$7,"On time","Late"))))</f>
        <v/>
      </c>
      <c r="H134" s="15"/>
      <c r="I134" s="16"/>
      <c r="J134" s="16"/>
      <c r="K134" s="17" t="str">
        <f>IF(J134="","",ROUND(J134*Settings!$B$8,2))</f>
        <v/>
      </c>
      <c r="L134" s="16"/>
      <c r="M134" s="8" t="str">
        <f t="shared" si="2"/>
        <v/>
      </c>
      <c r="N134" s="9"/>
    </row>
    <row r="135" spans="1:14" ht="15.75">
      <c r="A135" s="11"/>
      <c r="B135" s="9"/>
      <c r="C135" s="12" t="str">
        <f>IF(B135="","",IFERROR(INDEX('Cashier Roster'!$C$5:$C$64,MATCH(B135,'Cashier Roster'!$B$5:$B$64,0)),"Not on roster"))</f>
        <v/>
      </c>
      <c r="D135" s="12" t="str">
        <f>IF(B135="","",IFERROR(INDEX('Cashier Roster'!$D$5:$D$64,MATCH(B135,'Cashier Roster'!$B$5:$B$64,0)),""))</f>
        <v/>
      </c>
      <c r="E135" s="13"/>
      <c r="F135" s="14"/>
      <c r="G135" s="8" t="str">
        <f>IF(OR(B135="",E135=""),"",IF(E135="No","Missed",IF(F135="","",IF(F135&lt;=Settings!$B$7,"On time","Late"))))</f>
        <v/>
      </c>
      <c r="H135" s="15"/>
      <c r="I135" s="16"/>
      <c r="J135" s="16"/>
      <c r="K135" s="17" t="str">
        <f>IF(J135="","",ROUND(J135*Settings!$B$8,2))</f>
        <v/>
      </c>
      <c r="L135" s="16"/>
      <c r="M135" s="8" t="str">
        <f t="shared" si="2"/>
        <v/>
      </c>
      <c r="N135" s="9"/>
    </row>
    <row r="136" spans="1:14" ht="15.75">
      <c r="A136" s="11"/>
      <c r="B136" s="9"/>
      <c r="C136" s="12" t="str">
        <f>IF(B136="","",IFERROR(INDEX('Cashier Roster'!$C$5:$C$64,MATCH(B136,'Cashier Roster'!$B$5:$B$64,0)),"Not on roster"))</f>
        <v/>
      </c>
      <c r="D136" s="12" t="str">
        <f>IF(B136="","",IFERROR(INDEX('Cashier Roster'!$D$5:$D$64,MATCH(B136,'Cashier Roster'!$B$5:$B$64,0)),""))</f>
        <v/>
      </c>
      <c r="E136" s="13"/>
      <c r="F136" s="14"/>
      <c r="G136" s="8" t="str">
        <f>IF(OR(B136="",E136=""),"",IF(E136="No","Missed",IF(F136="","",IF(F136&lt;=Settings!$B$7,"On time","Late"))))</f>
        <v/>
      </c>
      <c r="H136" s="15"/>
      <c r="I136" s="16"/>
      <c r="J136" s="16"/>
      <c r="K136" s="17" t="str">
        <f>IF(J136="","",ROUND(J136*Settings!$B$8,2))</f>
        <v/>
      </c>
      <c r="L136" s="16"/>
      <c r="M136" s="8" t="str">
        <f t="shared" si="2"/>
        <v/>
      </c>
      <c r="N136" s="9"/>
    </row>
    <row r="137" spans="1:14" ht="15.75">
      <c r="A137" s="11"/>
      <c r="B137" s="9"/>
      <c r="C137" s="12" t="str">
        <f>IF(B137="","",IFERROR(INDEX('Cashier Roster'!$C$5:$C$64,MATCH(B137,'Cashier Roster'!$B$5:$B$64,0)),"Not on roster"))</f>
        <v/>
      </c>
      <c r="D137" s="12" t="str">
        <f>IF(B137="","",IFERROR(INDEX('Cashier Roster'!$D$5:$D$64,MATCH(B137,'Cashier Roster'!$B$5:$B$64,0)),""))</f>
        <v/>
      </c>
      <c r="E137" s="13"/>
      <c r="F137" s="14"/>
      <c r="G137" s="8" t="str">
        <f>IF(OR(B137="",E137=""),"",IF(E137="No","Missed",IF(F137="","",IF(F137&lt;=Settings!$B$7,"On time","Late"))))</f>
        <v/>
      </c>
      <c r="H137" s="15"/>
      <c r="I137" s="16"/>
      <c r="J137" s="16"/>
      <c r="K137" s="17" t="str">
        <f>IF(J137="","",ROUND(J137*Settings!$B$8,2))</f>
        <v/>
      </c>
      <c r="L137" s="16"/>
      <c r="M137" s="8" t="str">
        <f t="shared" si="2"/>
        <v/>
      </c>
      <c r="N137" s="9"/>
    </row>
    <row r="138" spans="1:14" ht="15.75">
      <c r="A138" s="11"/>
      <c r="B138" s="9"/>
      <c r="C138" s="12" t="str">
        <f>IF(B138="","",IFERROR(INDEX('Cashier Roster'!$C$5:$C$64,MATCH(B138,'Cashier Roster'!$B$5:$B$64,0)),"Not on roster"))</f>
        <v/>
      </c>
      <c r="D138" s="12" t="str">
        <f>IF(B138="","",IFERROR(INDEX('Cashier Roster'!$D$5:$D$64,MATCH(B138,'Cashier Roster'!$B$5:$B$64,0)),""))</f>
        <v/>
      </c>
      <c r="E138" s="13"/>
      <c r="F138" s="14"/>
      <c r="G138" s="8" t="str">
        <f>IF(OR(B138="",E138=""),"",IF(E138="No","Missed",IF(F138="","",IF(F138&lt;=Settings!$B$7,"On time","Late"))))</f>
        <v/>
      </c>
      <c r="H138" s="15"/>
      <c r="I138" s="16"/>
      <c r="J138" s="16"/>
      <c r="K138" s="17" t="str">
        <f>IF(J138="","",ROUND(J138*Settings!$B$8,2))</f>
        <v/>
      </c>
      <c r="L138" s="16"/>
      <c r="M138" s="8" t="str">
        <f t="shared" si="2"/>
        <v/>
      </c>
      <c r="N138" s="9"/>
    </row>
    <row r="139" spans="1:14" ht="15.75">
      <c r="A139" s="11"/>
      <c r="B139" s="9"/>
      <c r="C139" s="12" t="str">
        <f>IF(B139="","",IFERROR(INDEX('Cashier Roster'!$C$5:$C$64,MATCH(B139,'Cashier Roster'!$B$5:$B$64,0)),"Not on roster"))</f>
        <v/>
      </c>
      <c r="D139" s="12" t="str">
        <f>IF(B139="","",IFERROR(INDEX('Cashier Roster'!$D$5:$D$64,MATCH(B139,'Cashier Roster'!$B$5:$B$64,0)),""))</f>
        <v/>
      </c>
      <c r="E139" s="13"/>
      <c r="F139" s="14"/>
      <c r="G139" s="8" t="str">
        <f>IF(OR(B139="",E139=""),"",IF(E139="No","Missed",IF(F139="","",IF(F139&lt;=Settings!$B$7,"On time","Late"))))</f>
        <v/>
      </c>
      <c r="H139" s="15"/>
      <c r="I139" s="16"/>
      <c r="J139" s="16"/>
      <c r="K139" s="17" t="str">
        <f>IF(J139="","",ROUND(J139*Settings!$B$8,2))</f>
        <v/>
      </c>
      <c r="L139" s="16"/>
      <c r="M139" s="8" t="str">
        <f t="shared" si="2"/>
        <v/>
      </c>
      <c r="N139" s="9"/>
    </row>
    <row r="140" spans="1:14" ht="15.75">
      <c r="A140" s="11"/>
      <c r="B140" s="9"/>
      <c r="C140" s="12" t="str">
        <f>IF(B140="","",IFERROR(INDEX('Cashier Roster'!$C$5:$C$64,MATCH(B140,'Cashier Roster'!$B$5:$B$64,0)),"Not on roster"))</f>
        <v/>
      </c>
      <c r="D140" s="12" t="str">
        <f>IF(B140="","",IFERROR(INDEX('Cashier Roster'!$D$5:$D$64,MATCH(B140,'Cashier Roster'!$B$5:$B$64,0)),""))</f>
        <v/>
      </c>
      <c r="E140" s="13"/>
      <c r="F140" s="14"/>
      <c r="G140" s="8" t="str">
        <f>IF(OR(B140="",E140=""),"",IF(E140="No","Missed",IF(F140="","",IF(F140&lt;=Settings!$B$7,"On time","Late"))))</f>
        <v/>
      </c>
      <c r="H140" s="15"/>
      <c r="I140" s="16"/>
      <c r="J140" s="16"/>
      <c r="K140" s="17" t="str">
        <f>IF(J140="","",ROUND(J140*Settings!$B$8,2))</f>
        <v/>
      </c>
      <c r="L140" s="16"/>
      <c r="M140" s="8" t="str">
        <f t="shared" si="2"/>
        <v/>
      </c>
      <c r="N140" s="9"/>
    </row>
    <row r="141" spans="1:14" ht="15.75">
      <c r="A141" s="11"/>
      <c r="B141" s="9"/>
      <c r="C141" s="12" t="str">
        <f>IF(B141="","",IFERROR(INDEX('Cashier Roster'!$C$5:$C$64,MATCH(B141,'Cashier Roster'!$B$5:$B$64,0)),"Not on roster"))</f>
        <v/>
      </c>
      <c r="D141" s="12" t="str">
        <f>IF(B141="","",IFERROR(INDEX('Cashier Roster'!$D$5:$D$64,MATCH(B141,'Cashier Roster'!$B$5:$B$64,0)),""))</f>
        <v/>
      </c>
      <c r="E141" s="13"/>
      <c r="F141" s="14"/>
      <c r="G141" s="8" t="str">
        <f>IF(OR(B141="",E141=""),"",IF(E141="No","Missed",IF(F141="","",IF(F141&lt;=Settings!$B$7,"On time","Late"))))</f>
        <v/>
      </c>
      <c r="H141" s="15"/>
      <c r="I141" s="16"/>
      <c r="J141" s="16"/>
      <c r="K141" s="17" t="str">
        <f>IF(J141="","",ROUND(J141*Settings!$B$8,2))</f>
        <v/>
      </c>
      <c r="L141" s="16"/>
      <c r="M141" s="8" t="str">
        <f t="shared" si="2"/>
        <v/>
      </c>
      <c r="N141" s="9"/>
    </row>
    <row r="142" spans="1:14" ht="15.75">
      <c r="A142" s="11"/>
      <c r="B142" s="9"/>
      <c r="C142" s="12" t="str">
        <f>IF(B142="","",IFERROR(INDEX('Cashier Roster'!$C$5:$C$64,MATCH(B142,'Cashier Roster'!$B$5:$B$64,0)),"Not on roster"))</f>
        <v/>
      </c>
      <c r="D142" s="12" t="str">
        <f>IF(B142="","",IFERROR(INDEX('Cashier Roster'!$D$5:$D$64,MATCH(B142,'Cashier Roster'!$B$5:$B$64,0)),""))</f>
        <v/>
      </c>
      <c r="E142" s="13"/>
      <c r="F142" s="14"/>
      <c r="G142" s="8" t="str">
        <f>IF(OR(B142="",E142=""),"",IF(E142="No","Missed",IF(F142="","",IF(F142&lt;=Settings!$B$7,"On time","Late"))))</f>
        <v/>
      </c>
      <c r="H142" s="15"/>
      <c r="I142" s="16"/>
      <c r="J142" s="16"/>
      <c r="K142" s="17" t="str">
        <f>IF(J142="","",ROUND(J142*Settings!$B$8,2))</f>
        <v/>
      </c>
      <c r="L142" s="16"/>
      <c r="M142" s="8" t="str">
        <f t="shared" si="2"/>
        <v/>
      </c>
      <c r="N142" s="9"/>
    </row>
    <row r="143" spans="1:14" ht="15.75">
      <c r="A143" s="11"/>
      <c r="B143" s="9"/>
      <c r="C143" s="12" t="str">
        <f>IF(B143="","",IFERROR(INDEX('Cashier Roster'!$C$5:$C$64,MATCH(B143,'Cashier Roster'!$B$5:$B$64,0)),"Not on roster"))</f>
        <v/>
      </c>
      <c r="D143" s="12" t="str">
        <f>IF(B143="","",IFERROR(INDEX('Cashier Roster'!$D$5:$D$64,MATCH(B143,'Cashier Roster'!$B$5:$B$64,0)),""))</f>
        <v/>
      </c>
      <c r="E143" s="13"/>
      <c r="F143" s="14"/>
      <c r="G143" s="8" t="str">
        <f>IF(OR(B143="",E143=""),"",IF(E143="No","Missed",IF(F143="","",IF(F143&lt;=Settings!$B$7,"On time","Late"))))</f>
        <v/>
      </c>
      <c r="H143" s="15"/>
      <c r="I143" s="16"/>
      <c r="J143" s="16"/>
      <c r="K143" s="17" t="str">
        <f>IF(J143="","",ROUND(J143*Settings!$B$8,2))</f>
        <v/>
      </c>
      <c r="L143" s="16"/>
      <c r="M143" s="8" t="str">
        <f t="shared" si="2"/>
        <v/>
      </c>
      <c r="N143" s="9"/>
    </row>
    <row r="144" spans="1:14" ht="15.75">
      <c r="A144" s="11"/>
      <c r="B144" s="9"/>
      <c r="C144" s="12" t="str">
        <f>IF(B144="","",IFERROR(INDEX('Cashier Roster'!$C$5:$C$64,MATCH(B144,'Cashier Roster'!$B$5:$B$64,0)),"Not on roster"))</f>
        <v/>
      </c>
      <c r="D144" s="12" t="str">
        <f>IF(B144="","",IFERROR(INDEX('Cashier Roster'!$D$5:$D$64,MATCH(B144,'Cashier Roster'!$B$5:$B$64,0)),""))</f>
        <v/>
      </c>
      <c r="E144" s="13"/>
      <c r="F144" s="14"/>
      <c r="G144" s="8" t="str">
        <f>IF(OR(B144="",E144=""),"",IF(E144="No","Missed",IF(F144="","",IF(F144&lt;=Settings!$B$7,"On time","Late"))))</f>
        <v/>
      </c>
      <c r="H144" s="15"/>
      <c r="I144" s="16"/>
      <c r="J144" s="16"/>
      <c r="K144" s="17" t="str">
        <f>IF(J144="","",ROUND(J144*Settings!$B$8,2))</f>
        <v/>
      </c>
      <c r="L144" s="16"/>
      <c r="M144" s="8" t="str">
        <f t="shared" si="2"/>
        <v/>
      </c>
      <c r="N144" s="9"/>
    </row>
    <row r="145" spans="1:14" ht="15.75">
      <c r="A145" s="11"/>
      <c r="B145" s="9"/>
      <c r="C145" s="12" t="str">
        <f>IF(B145="","",IFERROR(INDEX('Cashier Roster'!$C$5:$C$64,MATCH(B145,'Cashier Roster'!$B$5:$B$64,0)),"Not on roster"))</f>
        <v/>
      </c>
      <c r="D145" s="12" t="str">
        <f>IF(B145="","",IFERROR(INDEX('Cashier Roster'!$D$5:$D$64,MATCH(B145,'Cashier Roster'!$B$5:$B$64,0)),""))</f>
        <v/>
      </c>
      <c r="E145" s="13"/>
      <c r="F145" s="14"/>
      <c r="G145" s="8" t="str">
        <f>IF(OR(B145="",E145=""),"",IF(E145="No","Missed",IF(F145="","",IF(F145&lt;=Settings!$B$7,"On time","Late"))))</f>
        <v/>
      </c>
      <c r="H145" s="15"/>
      <c r="I145" s="16"/>
      <c r="J145" s="16"/>
      <c r="K145" s="17" t="str">
        <f>IF(J145="","",ROUND(J145*Settings!$B$8,2))</f>
        <v/>
      </c>
      <c r="L145" s="16"/>
      <c r="M145" s="8" t="str">
        <f t="shared" si="2"/>
        <v/>
      </c>
      <c r="N145" s="9"/>
    </row>
    <row r="146" spans="1:14" ht="15.75">
      <c r="A146" s="11"/>
      <c r="B146" s="9"/>
      <c r="C146" s="12" t="str">
        <f>IF(B146="","",IFERROR(INDEX('Cashier Roster'!$C$5:$C$64,MATCH(B146,'Cashier Roster'!$B$5:$B$64,0)),"Not on roster"))</f>
        <v/>
      </c>
      <c r="D146" s="12" t="str">
        <f>IF(B146="","",IFERROR(INDEX('Cashier Roster'!$D$5:$D$64,MATCH(B146,'Cashier Roster'!$B$5:$B$64,0)),""))</f>
        <v/>
      </c>
      <c r="E146" s="13"/>
      <c r="F146" s="14"/>
      <c r="G146" s="8" t="str">
        <f>IF(OR(B146="",E146=""),"",IF(E146="No","Missed",IF(F146="","",IF(F146&lt;=Settings!$B$7,"On time","Late"))))</f>
        <v/>
      </c>
      <c r="H146" s="15"/>
      <c r="I146" s="16"/>
      <c r="J146" s="16"/>
      <c r="K146" s="17" t="str">
        <f>IF(J146="","",ROUND(J146*Settings!$B$8,2))</f>
        <v/>
      </c>
      <c r="L146" s="16"/>
      <c r="M146" s="8" t="str">
        <f t="shared" si="2"/>
        <v/>
      </c>
      <c r="N146" s="9"/>
    </row>
    <row r="147" spans="1:14" ht="15.75">
      <c r="A147" s="11"/>
      <c r="B147" s="9"/>
      <c r="C147" s="12" t="str">
        <f>IF(B147="","",IFERROR(INDEX('Cashier Roster'!$C$5:$C$64,MATCH(B147,'Cashier Roster'!$B$5:$B$64,0)),"Not on roster"))</f>
        <v/>
      </c>
      <c r="D147" s="12" t="str">
        <f>IF(B147="","",IFERROR(INDEX('Cashier Roster'!$D$5:$D$64,MATCH(B147,'Cashier Roster'!$B$5:$B$64,0)),""))</f>
        <v/>
      </c>
      <c r="E147" s="13"/>
      <c r="F147" s="14"/>
      <c r="G147" s="8" t="str">
        <f>IF(OR(B147="",E147=""),"",IF(E147="No","Missed",IF(F147="","",IF(F147&lt;=Settings!$B$7,"On time","Late"))))</f>
        <v/>
      </c>
      <c r="H147" s="15"/>
      <c r="I147" s="16"/>
      <c r="J147" s="16"/>
      <c r="K147" s="17" t="str">
        <f>IF(J147="","",ROUND(J147*Settings!$B$8,2))</f>
        <v/>
      </c>
      <c r="L147" s="16"/>
      <c r="M147" s="8" t="str">
        <f t="shared" si="2"/>
        <v/>
      </c>
      <c r="N147" s="9"/>
    </row>
    <row r="148" spans="1:14" ht="15.75">
      <c r="A148" s="11"/>
      <c r="B148" s="9"/>
      <c r="C148" s="12" t="str">
        <f>IF(B148="","",IFERROR(INDEX('Cashier Roster'!$C$5:$C$64,MATCH(B148,'Cashier Roster'!$B$5:$B$64,0)),"Not on roster"))</f>
        <v/>
      </c>
      <c r="D148" s="12" t="str">
        <f>IF(B148="","",IFERROR(INDEX('Cashier Roster'!$D$5:$D$64,MATCH(B148,'Cashier Roster'!$B$5:$B$64,0)),""))</f>
        <v/>
      </c>
      <c r="E148" s="13"/>
      <c r="F148" s="14"/>
      <c r="G148" s="8" t="str">
        <f>IF(OR(B148="",E148=""),"",IF(E148="No","Missed",IF(F148="","",IF(F148&lt;=Settings!$B$7,"On time","Late"))))</f>
        <v/>
      </c>
      <c r="H148" s="15"/>
      <c r="I148" s="16"/>
      <c r="J148" s="16"/>
      <c r="K148" s="17" t="str">
        <f>IF(J148="","",ROUND(J148*Settings!$B$8,2))</f>
        <v/>
      </c>
      <c r="L148" s="16"/>
      <c r="M148" s="8" t="str">
        <f t="shared" si="2"/>
        <v/>
      </c>
      <c r="N148" s="9"/>
    </row>
    <row r="149" spans="1:14" ht="15.75">
      <c r="A149" s="11"/>
      <c r="B149" s="9"/>
      <c r="C149" s="12" t="str">
        <f>IF(B149="","",IFERROR(INDEX('Cashier Roster'!$C$5:$C$64,MATCH(B149,'Cashier Roster'!$B$5:$B$64,0)),"Not on roster"))</f>
        <v/>
      </c>
      <c r="D149" s="12" t="str">
        <f>IF(B149="","",IFERROR(INDEX('Cashier Roster'!$D$5:$D$64,MATCH(B149,'Cashier Roster'!$B$5:$B$64,0)),""))</f>
        <v/>
      </c>
      <c r="E149" s="13"/>
      <c r="F149" s="14"/>
      <c r="G149" s="8" t="str">
        <f>IF(OR(B149="",E149=""),"",IF(E149="No","Missed",IF(F149="","",IF(F149&lt;=Settings!$B$7,"On time","Late"))))</f>
        <v/>
      </c>
      <c r="H149" s="15"/>
      <c r="I149" s="16"/>
      <c r="J149" s="16"/>
      <c r="K149" s="17" t="str">
        <f>IF(J149="","",ROUND(J149*Settings!$B$8,2))</f>
        <v/>
      </c>
      <c r="L149" s="16"/>
      <c r="M149" s="8" t="str">
        <f t="shared" si="2"/>
        <v/>
      </c>
      <c r="N149" s="9"/>
    </row>
    <row r="150" spans="1:14" ht="15.75">
      <c r="A150" s="11"/>
      <c r="B150" s="9"/>
      <c r="C150" s="12" t="str">
        <f>IF(B150="","",IFERROR(INDEX('Cashier Roster'!$C$5:$C$64,MATCH(B150,'Cashier Roster'!$B$5:$B$64,0)),"Not on roster"))</f>
        <v/>
      </c>
      <c r="D150" s="12" t="str">
        <f>IF(B150="","",IFERROR(INDEX('Cashier Roster'!$D$5:$D$64,MATCH(B150,'Cashier Roster'!$B$5:$B$64,0)),""))</f>
        <v/>
      </c>
      <c r="E150" s="13"/>
      <c r="F150" s="14"/>
      <c r="G150" s="8" t="str">
        <f>IF(OR(B150="",E150=""),"",IF(E150="No","Missed",IF(F150="","",IF(F150&lt;=Settings!$B$7,"On time","Late"))))</f>
        <v/>
      </c>
      <c r="H150" s="15"/>
      <c r="I150" s="16"/>
      <c r="J150" s="16"/>
      <c r="K150" s="17" t="str">
        <f>IF(J150="","",ROUND(J150*Settings!$B$8,2))</f>
        <v/>
      </c>
      <c r="L150" s="16"/>
      <c r="M150" s="8" t="str">
        <f t="shared" si="2"/>
        <v/>
      </c>
      <c r="N150" s="9"/>
    </row>
    <row r="151" spans="1:14" ht="15.75">
      <c r="A151" s="11"/>
      <c r="B151" s="9"/>
      <c r="C151" s="12" t="str">
        <f>IF(B151="","",IFERROR(INDEX('Cashier Roster'!$C$5:$C$64,MATCH(B151,'Cashier Roster'!$B$5:$B$64,0)),"Not on roster"))</f>
        <v/>
      </c>
      <c r="D151" s="12" t="str">
        <f>IF(B151="","",IFERROR(INDEX('Cashier Roster'!$D$5:$D$64,MATCH(B151,'Cashier Roster'!$B$5:$B$64,0)),""))</f>
        <v/>
      </c>
      <c r="E151" s="13"/>
      <c r="F151" s="14"/>
      <c r="G151" s="8" t="str">
        <f>IF(OR(B151="",E151=""),"",IF(E151="No","Missed",IF(F151="","",IF(F151&lt;=Settings!$B$7,"On time","Late"))))</f>
        <v/>
      </c>
      <c r="H151" s="15"/>
      <c r="I151" s="16"/>
      <c r="J151" s="16"/>
      <c r="K151" s="17" t="str">
        <f>IF(J151="","",ROUND(J151*Settings!$B$8,2))</f>
        <v/>
      </c>
      <c r="L151" s="16"/>
      <c r="M151" s="8" t="str">
        <f t="shared" si="2"/>
        <v/>
      </c>
      <c r="N151" s="9"/>
    </row>
    <row r="152" spans="1:14" ht="15.75">
      <c r="A152" s="11"/>
      <c r="B152" s="9"/>
      <c r="C152" s="12" t="str">
        <f>IF(B152="","",IFERROR(INDEX('Cashier Roster'!$C$5:$C$64,MATCH(B152,'Cashier Roster'!$B$5:$B$64,0)),"Not on roster"))</f>
        <v/>
      </c>
      <c r="D152" s="12" t="str">
        <f>IF(B152="","",IFERROR(INDEX('Cashier Roster'!$D$5:$D$64,MATCH(B152,'Cashier Roster'!$B$5:$B$64,0)),""))</f>
        <v/>
      </c>
      <c r="E152" s="13"/>
      <c r="F152" s="14"/>
      <c r="G152" s="8" t="str">
        <f>IF(OR(B152="",E152=""),"",IF(E152="No","Missed",IF(F152="","",IF(F152&lt;=Settings!$B$7,"On time","Late"))))</f>
        <v/>
      </c>
      <c r="H152" s="15"/>
      <c r="I152" s="16"/>
      <c r="J152" s="16"/>
      <c r="K152" s="17" t="str">
        <f>IF(J152="","",ROUND(J152*Settings!$B$8,2))</f>
        <v/>
      </c>
      <c r="L152" s="16"/>
      <c r="M152" s="8" t="str">
        <f t="shared" si="2"/>
        <v/>
      </c>
      <c r="N152" s="9"/>
    </row>
    <row r="153" spans="1:14" ht="15.75">
      <c r="A153" s="11"/>
      <c r="B153" s="9"/>
      <c r="C153" s="12" t="str">
        <f>IF(B153="","",IFERROR(INDEX('Cashier Roster'!$C$5:$C$64,MATCH(B153,'Cashier Roster'!$B$5:$B$64,0)),"Not on roster"))</f>
        <v/>
      </c>
      <c r="D153" s="12" t="str">
        <f>IF(B153="","",IFERROR(INDEX('Cashier Roster'!$D$5:$D$64,MATCH(B153,'Cashier Roster'!$B$5:$B$64,0)),""))</f>
        <v/>
      </c>
      <c r="E153" s="13"/>
      <c r="F153" s="14"/>
      <c r="G153" s="8" t="str">
        <f>IF(OR(B153="",E153=""),"",IF(E153="No","Missed",IF(F153="","",IF(F153&lt;=Settings!$B$7,"On time","Late"))))</f>
        <v/>
      </c>
      <c r="H153" s="15"/>
      <c r="I153" s="16"/>
      <c r="J153" s="16"/>
      <c r="K153" s="17" t="str">
        <f>IF(J153="","",ROUND(J153*Settings!$B$8,2))</f>
        <v/>
      </c>
      <c r="L153" s="16"/>
      <c r="M153" s="8" t="str">
        <f t="shared" si="2"/>
        <v/>
      </c>
      <c r="N153" s="9"/>
    </row>
    <row r="154" spans="1:14" ht="15.75">
      <c r="A154" s="11"/>
      <c r="B154" s="9"/>
      <c r="C154" s="12" t="str">
        <f>IF(B154="","",IFERROR(INDEX('Cashier Roster'!$C$5:$C$64,MATCH(B154,'Cashier Roster'!$B$5:$B$64,0)),"Not on roster"))</f>
        <v/>
      </c>
      <c r="D154" s="12" t="str">
        <f>IF(B154="","",IFERROR(INDEX('Cashier Roster'!$D$5:$D$64,MATCH(B154,'Cashier Roster'!$B$5:$B$64,0)),""))</f>
        <v/>
      </c>
      <c r="E154" s="13"/>
      <c r="F154" s="14"/>
      <c r="G154" s="8" t="str">
        <f>IF(OR(B154="",E154=""),"",IF(E154="No","Missed",IF(F154="","",IF(F154&lt;=Settings!$B$7,"On time","Late"))))</f>
        <v/>
      </c>
      <c r="H154" s="15"/>
      <c r="I154" s="16"/>
      <c r="J154" s="16"/>
      <c r="K154" s="17" t="str">
        <f>IF(J154="","",ROUND(J154*Settings!$B$8,2))</f>
        <v/>
      </c>
      <c r="L154" s="16"/>
      <c r="M154" s="8" t="str">
        <f t="shared" si="2"/>
        <v/>
      </c>
      <c r="N154" s="9"/>
    </row>
    <row r="155" spans="1:14" ht="15.75">
      <c r="A155" s="11"/>
      <c r="B155" s="9"/>
      <c r="C155" s="12" t="str">
        <f>IF(B155="","",IFERROR(INDEX('Cashier Roster'!$C$5:$C$64,MATCH(B155,'Cashier Roster'!$B$5:$B$64,0)),"Not on roster"))</f>
        <v/>
      </c>
      <c r="D155" s="12" t="str">
        <f>IF(B155="","",IFERROR(INDEX('Cashier Roster'!$D$5:$D$64,MATCH(B155,'Cashier Roster'!$B$5:$B$64,0)),""))</f>
        <v/>
      </c>
      <c r="E155" s="13"/>
      <c r="F155" s="14"/>
      <c r="G155" s="8" t="str">
        <f>IF(OR(B155="",E155=""),"",IF(E155="No","Missed",IF(F155="","",IF(F155&lt;=Settings!$B$7,"On time","Late"))))</f>
        <v/>
      </c>
      <c r="H155" s="15"/>
      <c r="I155" s="16"/>
      <c r="J155" s="16"/>
      <c r="K155" s="17" t="str">
        <f>IF(J155="","",ROUND(J155*Settings!$B$8,2))</f>
        <v/>
      </c>
      <c r="L155" s="16"/>
      <c r="M155" s="8" t="str">
        <f t="shared" si="2"/>
        <v/>
      </c>
      <c r="N155" s="9"/>
    </row>
    <row r="156" spans="1:14" ht="15.75">
      <c r="A156" s="11"/>
      <c r="B156" s="9"/>
      <c r="C156" s="12" t="str">
        <f>IF(B156="","",IFERROR(INDEX('Cashier Roster'!$C$5:$C$64,MATCH(B156,'Cashier Roster'!$B$5:$B$64,0)),"Not on roster"))</f>
        <v/>
      </c>
      <c r="D156" s="12" t="str">
        <f>IF(B156="","",IFERROR(INDEX('Cashier Roster'!$D$5:$D$64,MATCH(B156,'Cashier Roster'!$B$5:$B$64,0)),""))</f>
        <v/>
      </c>
      <c r="E156" s="13"/>
      <c r="F156" s="14"/>
      <c r="G156" s="8" t="str">
        <f>IF(OR(B156="",E156=""),"",IF(E156="No","Missed",IF(F156="","",IF(F156&lt;=Settings!$B$7,"On time","Late"))))</f>
        <v/>
      </c>
      <c r="H156" s="15"/>
      <c r="I156" s="16"/>
      <c r="J156" s="16"/>
      <c r="K156" s="17" t="str">
        <f>IF(J156="","",ROUND(J156*Settings!$B$8,2))</f>
        <v/>
      </c>
      <c r="L156" s="16"/>
      <c r="M156" s="8" t="str">
        <f t="shared" si="2"/>
        <v/>
      </c>
      <c r="N156" s="9"/>
    </row>
    <row r="157" spans="1:14" ht="15.75">
      <c r="A157" s="11"/>
      <c r="B157" s="9"/>
      <c r="C157" s="12" t="str">
        <f>IF(B157="","",IFERROR(INDEX('Cashier Roster'!$C$5:$C$64,MATCH(B157,'Cashier Roster'!$B$5:$B$64,0)),"Not on roster"))</f>
        <v/>
      </c>
      <c r="D157" s="12" t="str">
        <f>IF(B157="","",IFERROR(INDEX('Cashier Roster'!$D$5:$D$64,MATCH(B157,'Cashier Roster'!$B$5:$B$64,0)),""))</f>
        <v/>
      </c>
      <c r="E157" s="13"/>
      <c r="F157" s="14"/>
      <c r="G157" s="8" t="str">
        <f>IF(OR(B157="",E157=""),"",IF(E157="No","Missed",IF(F157="","",IF(F157&lt;=Settings!$B$7,"On time","Late"))))</f>
        <v/>
      </c>
      <c r="H157" s="15"/>
      <c r="I157" s="16"/>
      <c r="J157" s="16"/>
      <c r="K157" s="17" t="str">
        <f>IF(J157="","",ROUND(J157*Settings!$B$8,2))</f>
        <v/>
      </c>
      <c r="L157" s="16"/>
      <c r="M157" s="8" t="str">
        <f t="shared" si="2"/>
        <v/>
      </c>
      <c r="N157" s="9"/>
    </row>
    <row r="158" spans="1:14" ht="15.75">
      <c r="A158" s="11"/>
      <c r="B158" s="9"/>
      <c r="C158" s="12" t="str">
        <f>IF(B158="","",IFERROR(INDEX('Cashier Roster'!$C$5:$C$64,MATCH(B158,'Cashier Roster'!$B$5:$B$64,0)),"Not on roster"))</f>
        <v/>
      </c>
      <c r="D158" s="12" t="str">
        <f>IF(B158="","",IFERROR(INDEX('Cashier Roster'!$D$5:$D$64,MATCH(B158,'Cashier Roster'!$B$5:$B$64,0)),""))</f>
        <v/>
      </c>
      <c r="E158" s="13"/>
      <c r="F158" s="14"/>
      <c r="G158" s="8" t="str">
        <f>IF(OR(B158="",E158=""),"",IF(E158="No","Missed",IF(F158="","",IF(F158&lt;=Settings!$B$7,"On time","Late"))))</f>
        <v/>
      </c>
      <c r="H158" s="15"/>
      <c r="I158" s="16"/>
      <c r="J158" s="16"/>
      <c r="K158" s="17" t="str">
        <f>IF(J158="","",ROUND(J158*Settings!$B$8,2))</f>
        <v/>
      </c>
      <c r="L158" s="16"/>
      <c r="M158" s="8" t="str">
        <f t="shared" si="2"/>
        <v/>
      </c>
      <c r="N158" s="9"/>
    </row>
    <row r="159" spans="1:14" ht="15.75">
      <c r="A159" s="11"/>
      <c r="B159" s="9"/>
      <c r="C159" s="12" t="str">
        <f>IF(B159="","",IFERROR(INDEX('Cashier Roster'!$C$5:$C$64,MATCH(B159,'Cashier Roster'!$B$5:$B$64,0)),"Not on roster"))</f>
        <v/>
      </c>
      <c r="D159" s="12" t="str">
        <f>IF(B159="","",IFERROR(INDEX('Cashier Roster'!$D$5:$D$64,MATCH(B159,'Cashier Roster'!$B$5:$B$64,0)),""))</f>
        <v/>
      </c>
      <c r="E159" s="13"/>
      <c r="F159" s="14"/>
      <c r="G159" s="8" t="str">
        <f>IF(OR(B159="",E159=""),"",IF(E159="No","Missed",IF(F159="","",IF(F159&lt;=Settings!$B$7,"On time","Late"))))</f>
        <v/>
      </c>
      <c r="H159" s="15"/>
      <c r="I159" s="16"/>
      <c r="J159" s="16"/>
      <c r="K159" s="17" t="str">
        <f>IF(J159="","",ROUND(J159*Settings!$B$8,2))</f>
        <v/>
      </c>
      <c r="L159" s="16"/>
      <c r="M159" s="8" t="str">
        <f t="shared" si="2"/>
        <v/>
      </c>
      <c r="N159" s="9"/>
    </row>
    <row r="160" spans="1:14" ht="15.75">
      <c r="A160" s="11"/>
      <c r="B160" s="9"/>
      <c r="C160" s="12" t="str">
        <f>IF(B160="","",IFERROR(INDEX('Cashier Roster'!$C$5:$C$64,MATCH(B160,'Cashier Roster'!$B$5:$B$64,0)),"Not on roster"))</f>
        <v/>
      </c>
      <c r="D160" s="12" t="str">
        <f>IF(B160="","",IFERROR(INDEX('Cashier Roster'!$D$5:$D$64,MATCH(B160,'Cashier Roster'!$B$5:$B$64,0)),""))</f>
        <v/>
      </c>
      <c r="E160" s="13"/>
      <c r="F160" s="14"/>
      <c r="G160" s="8" t="str">
        <f>IF(OR(B160="",E160=""),"",IF(E160="No","Missed",IF(F160="","",IF(F160&lt;=Settings!$B$7,"On time","Late"))))</f>
        <v/>
      </c>
      <c r="H160" s="15"/>
      <c r="I160" s="16"/>
      <c r="J160" s="16"/>
      <c r="K160" s="17" t="str">
        <f>IF(J160="","",ROUND(J160*Settings!$B$8,2))</f>
        <v/>
      </c>
      <c r="L160" s="16"/>
      <c r="M160" s="8" t="str">
        <f t="shared" si="2"/>
        <v/>
      </c>
      <c r="N160" s="9"/>
    </row>
    <row r="161" spans="1:14" ht="15.75">
      <c r="A161" s="11"/>
      <c r="B161" s="9"/>
      <c r="C161" s="12" t="str">
        <f>IF(B161="","",IFERROR(INDEX('Cashier Roster'!$C$5:$C$64,MATCH(B161,'Cashier Roster'!$B$5:$B$64,0)),"Not on roster"))</f>
        <v/>
      </c>
      <c r="D161" s="12" t="str">
        <f>IF(B161="","",IFERROR(INDEX('Cashier Roster'!$D$5:$D$64,MATCH(B161,'Cashier Roster'!$B$5:$B$64,0)),""))</f>
        <v/>
      </c>
      <c r="E161" s="13"/>
      <c r="F161" s="14"/>
      <c r="G161" s="8" t="str">
        <f>IF(OR(B161="",E161=""),"",IF(E161="No","Missed",IF(F161="","",IF(F161&lt;=Settings!$B$7,"On time","Late"))))</f>
        <v/>
      </c>
      <c r="H161" s="15"/>
      <c r="I161" s="16"/>
      <c r="J161" s="16"/>
      <c r="K161" s="17" t="str">
        <f>IF(J161="","",ROUND(J161*Settings!$B$8,2))</f>
        <v/>
      </c>
      <c r="L161" s="16"/>
      <c r="M161" s="8" t="str">
        <f t="shared" si="2"/>
        <v/>
      </c>
      <c r="N161" s="9"/>
    </row>
    <row r="162" spans="1:14" ht="15.75">
      <c r="A162" s="11"/>
      <c r="B162" s="9"/>
      <c r="C162" s="12" t="str">
        <f>IF(B162="","",IFERROR(INDEX('Cashier Roster'!$C$5:$C$64,MATCH(B162,'Cashier Roster'!$B$5:$B$64,0)),"Not on roster"))</f>
        <v/>
      </c>
      <c r="D162" s="12" t="str">
        <f>IF(B162="","",IFERROR(INDEX('Cashier Roster'!$D$5:$D$64,MATCH(B162,'Cashier Roster'!$B$5:$B$64,0)),""))</f>
        <v/>
      </c>
      <c r="E162" s="13"/>
      <c r="F162" s="14"/>
      <c r="G162" s="8" t="str">
        <f>IF(OR(B162="",E162=""),"",IF(E162="No","Missed",IF(F162="","",IF(F162&lt;=Settings!$B$7,"On time","Late"))))</f>
        <v/>
      </c>
      <c r="H162" s="15"/>
      <c r="I162" s="16"/>
      <c r="J162" s="16"/>
      <c r="K162" s="17" t="str">
        <f>IF(J162="","",ROUND(J162*Settings!$B$8,2))</f>
        <v/>
      </c>
      <c r="L162" s="16"/>
      <c r="M162" s="8" t="str">
        <f t="shared" si="2"/>
        <v/>
      </c>
      <c r="N162" s="9"/>
    </row>
    <row r="163" spans="1:14" ht="15.75">
      <c r="A163" s="11"/>
      <c r="B163" s="9"/>
      <c r="C163" s="12" t="str">
        <f>IF(B163="","",IFERROR(INDEX('Cashier Roster'!$C$5:$C$64,MATCH(B163,'Cashier Roster'!$B$5:$B$64,0)),"Not on roster"))</f>
        <v/>
      </c>
      <c r="D163" s="12" t="str">
        <f>IF(B163="","",IFERROR(INDEX('Cashier Roster'!$D$5:$D$64,MATCH(B163,'Cashier Roster'!$B$5:$B$64,0)),""))</f>
        <v/>
      </c>
      <c r="E163" s="13"/>
      <c r="F163" s="14"/>
      <c r="G163" s="8" t="str">
        <f>IF(OR(B163="",E163=""),"",IF(E163="No","Missed",IF(F163="","",IF(F163&lt;=Settings!$B$7,"On time","Late"))))</f>
        <v/>
      </c>
      <c r="H163" s="15"/>
      <c r="I163" s="16"/>
      <c r="J163" s="16"/>
      <c r="K163" s="17" t="str">
        <f>IF(J163="","",ROUND(J163*Settings!$B$8,2))</f>
        <v/>
      </c>
      <c r="L163" s="16"/>
      <c r="M163" s="8" t="str">
        <f t="shared" si="2"/>
        <v/>
      </c>
      <c r="N163" s="9"/>
    </row>
    <row r="164" spans="1:14" ht="15.75">
      <c r="A164" s="11"/>
      <c r="B164" s="9"/>
      <c r="C164" s="12" t="str">
        <f>IF(B164="","",IFERROR(INDEX('Cashier Roster'!$C$5:$C$64,MATCH(B164,'Cashier Roster'!$B$5:$B$64,0)),"Not on roster"))</f>
        <v/>
      </c>
      <c r="D164" s="12" t="str">
        <f>IF(B164="","",IFERROR(INDEX('Cashier Roster'!$D$5:$D$64,MATCH(B164,'Cashier Roster'!$B$5:$B$64,0)),""))</f>
        <v/>
      </c>
      <c r="E164" s="13"/>
      <c r="F164" s="14"/>
      <c r="G164" s="8" t="str">
        <f>IF(OR(B164="",E164=""),"",IF(E164="No","Missed",IF(F164="","",IF(F164&lt;=Settings!$B$7,"On time","Late"))))</f>
        <v/>
      </c>
      <c r="H164" s="15"/>
      <c r="I164" s="16"/>
      <c r="J164" s="16"/>
      <c r="K164" s="17" t="str">
        <f>IF(J164="","",ROUND(J164*Settings!$B$8,2))</f>
        <v/>
      </c>
      <c r="L164" s="16"/>
      <c r="M164" s="8" t="str">
        <f t="shared" si="2"/>
        <v/>
      </c>
      <c r="N164" s="9"/>
    </row>
    <row r="165" spans="1:14" ht="15.75">
      <c r="A165" s="11"/>
      <c r="B165" s="9"/>
      <c r="C165" s="12" t="str">
        <f>IF(B165="","",IFERROR(INDEX('Cashier Roster'!$C$5:$C$64,MATCH(B165,'Cashier Roster'!$B$5:$B$64,0)),"Not on roster"))</f>
        <v/>
      </c>
      <c r="D165" s="12" t="str">
        <f>IF(B165="","",IFERROR(INDEX('Cashier Roster'!$D$5:$D$64,MATCH(B165,'Cashier Roster'!$B$5:$B$64,0)),""))</f>
        <v/>
      </c>
      <c r="E165" s="13"/>
      <c r="F165" s="14"/>
      <c r="G165" s="8" t="str">
        <f>IF(OR(B165="",E165=""),"",IF(E165="No","Missed",IF(F165="","",IF(F165&lt;=Settings!$B$7,"On time","Late"))))</f>
        <v/>
      </c>
      <c r="H165" s="15"/>
      <c r="I165" s="16"/>
      <c r="J165" s="16"/>
      <c r="K165" s="17" t="str">
        <f>IF(J165="","",ROUND(J165*Settings!$B$8,2))</f>
        <v/>
      </c>
      <c r="L165" s="16"/>
      <c r="M165" s="8" t="str">
        <f t="shared" si="2"/>
        <v/>
      </c>
      <c r="N165" s="9"/>
    </row>
    <row r="166" spans="1:14" ht="15.75">
      <c r="A166" s="11"/>
      <c r="B166" s="9"/>
      <c r="C166" s="12" t="str">
        <f>IF(B166="","",IFERROR(INDEX('Cashier Roster'!$C$5:$C$64,MATCH(B166,'Cashier Roster'!$B$5:$B$64,0)),"Not on roster"))</f>
        <v/>
      </c>
      <c r="D166" s="12" t="str">
        <f>IF(B166="","",IFERROR(INDEX('Cashier Roster'!$D$5:$D$64,MATCH(B166,'Cashier Roster'!$B$5:$B$64,0)),""))</f>
        <v/>
      </c>
      <c r="E166" s="13"/>
      <c r="F166" s="14"/>
      <c r="G166" s="8" t="str">
        <f>IF(OR(B166="",E166=""),"",IF(E166="No","Missed",IF(F166="","",IF(F166&lt;=Settings!$B$7,"On time","Late"))))</f>
        <v/>
      </c>
      <c r="H166" s="15"/>
      <c r="I166" s="16"/>
      <c r="J166" s="16"/>
      <c r="K166" s="17" t="str">
        <f>IF(J166="","",ROUND(J166*Settings!$B$8,2))</f>
        <v/>
      </c>
      <c r="L166" s="16"/>
      <c r="M166" s="8" t="str">
        <f t="shared" si="2"/>
        <v/>
      </c>
      <c r="N166" s="9"/>
    </row>
    <row r="167" spans="1:14" ht="15.75">
      <c r="A167" s="11"/>
      <c r="B167" s="9"/>
      <c r="C167" s="12" t="str">
        <f>IF(B167="","",IFERROR(INDEX('Cashier Roster'!$C$5:$C$64,MATCH(B167,'Cashier Roster'!$B$5:$B$64,0)),"Not on roster"))</f>
        <v/>
      </c>
      <c r="D167" s="12" t="str">
        <f>IF(B167="","",IFERROR(INDEX('Cashier Roster'!$D$5:$D$64,MATCH(B167,'Cashier Roster'!$B$5:$B$64,0)),""))</f>
        <v/>
      </c>
      <c r="E167" s="13"/>
      <c r="F167" s="14"/>
      <c r="G167" s="8" t="str">
        <f>IF(OR(B167="",E167=""),"",IF(E167="No","Missed",IF(F167="","",IF(F167&lt;=Settings!$B$7,"On time","Late"))))</f>
        <v/>
      </c>
      <c r="H167" s="15"/>
      <c r="I167" s="16"/>
      <c r="J167" s="16"/>
      <c r="K167" s="17" t="str">
        <f>IF(J167="","",ROUND(J167*Settings!$B$8,2))</f>
        <v/>
      </c>
      <c r="L167" s="16"/>
      <c r="M167" s="8" t="str">
        <f t="shared" si="2"/>
        <v/>
      </c>
      <c r="N167" s="9"/>
    </row>
    <row r="168" spans="1:14" ht="15.75">
      <c r="A168" s="11"/>
      <c r="B168" s="9"/>
      <c r="C168" s="12" t="str">
        <f>IF(B168="","",IFERROR(INDEX('Cashier Roster'!$C$5:$C$64,MATCH(B168,'Cashier Roster'!$B$5:$B$64,0)),"Not on roster"))</f>
        <v/>
      </c>
      <c r="D168" s="12" t="str">
        <f>IF(B168="","",IFERROR(INDEX('Cashier Roster'!$D$5:$D$64,MATCH(B168,'Cashier Roster'!$B$5:$B$64,0)),""))</f>
        <v/>
      </c>
      <c r="E168" s="13"/>
      <c r="F168" s="14"/>
      <c r="G168" s="8" t="str">
        <f>IF(OR(B168="",E168=""),"",IF(E168="No","Missed",IF(F168="","",IF(F168&lt;=Settings!$B$7,"On time","Late"))))</f>
        <v/>
      </c>
      <c r="H168" s="15"/>
      <c r="I168" s="16"/>
      <c r="J168" s="16"/>
      <c r="K168" s="17" t="str">
        <f>IF(J168="","",ROUND(J168*Settings!$B$8,2))</f>
        <v/>
      </c>
      <c r="L168" s="16"/>
      <c r="M168" s="8" t="str">
        <f t="shared" si="2"/>
        <v/>
      </c>
      <c r="N168" s="9"/>
    </row>
    <row r="169" spans="1:14" ht="15.75">
      <c r="A169" s="11"/>
      <c r="B169" s="9"/>
      <c r="C169" s="12" t="str">
        <f>IF(B169="","",IFERROR(INDEX('Cashier Roster'!$C$5:$C$64,MATCH(B169,'Cashier Roster'!$B$5:$B$64,0)),"Not on roster"))</f>
        <v/>
      </c>
      <c r="D169" s="12" t="str">
        <f>IF(B169="","",IFERROR(INDEX('Cashier Roster'!$D$5:$D$64,MATCH(B169,'Cashier Roster'!$B$5:$B$64,0)),""))</f>
        <v/>
      </c>
      <c r="E169" s="13"/>
      <c r="F169" s="14"/>
      <c r="G169" s="8" t="str">
        <f>IF(OR(B169="",E169=""),"",IF(E169="No","Missed",IF(F169="","",IF(F169&lt;=Settings!$B$7,"On time","Late"))))</f>
        <v/>
      </c>
      <c r="H169" s="15"/>
      <c r="I169" s="16"/>
      <c r="J169" s="16"/>
      <c r="K169" s="17" t="str">
        <f>IF(J169="","",ROUND(J169*Settings!$B$8,2))</f>
        <v/>
      </c>
      <c r="L169" s="16"/>
      <c r="M169" s="8" t="str">
        <f t="shared" si="2"/>
        <v/>
      </c>
      <c r="N169" s="9"/>
    </row>
    <row r="170" spans="1:14" ht="15.75">
      <c r="A170" s="11"/>
      <c r="B170" s="9"/>
      <c r="C170" s="12" t="str">
        <f>IF(B170="","",IFERROR(INDEX('Cashier Roster'!$C$5:$C$64,MATCH(B170,'Cashier Roster'!$B$5:$B$64,0)),"Not on roster"))</f>
        <v/>
      </c>
      <c r="D170" s="12" t="str">
        <f>IF(B170="","",IFERROR(INDEX('Cashier Roster'!$D$5:$D$64,MATCH(B170,'Cashier Roster'!$B$5:$B$64,0)),""))</f>
        <v/>
      </c>
      <c r="E170" s="13"/>
      <c r="F170" s="14"/>
      <c r="G170" s="8" t="str">
        <f>IF(OR(B170="",E170=""),"",IF(E170="No","Missed",IF(F170="","",IF(F170&lt;=Settings!$B$7,"On time","Late"))))</f>
        <v/>
      </c>
      <c r="H170" s="15"/>
      <c r="I170" s="16"/>
      <c r="J170" s="16"/>
      <c r="K170" s="17" t="str">
        <f>IF(J170="","",ROUND(J170*Settings!$B$8,2))</f>
        <v/>
      </c>
      <c r="L170" s="16"/>
      <c r="M170" s="8" t="str">
        <f t="shared" si="2"/>
        <v/>
      </c>
      <c r="N170" s="9"/>
    </row>
    <row r="171" spans="1:14" ht="15.75">
      <c r="A171" s="11"/>
      <c r="B171" s="9"/>
      <c r="C171" s="12" t="str">
        <f>IF(B171="","",IFERROR(INDEX('Cashier Roster'!$C$5:$C$64,MATCH(B171,'Cashier Roster'!$B$5:$B$64,0)),"Not on roster"))</f>
        <v/>
      </c>
      <c r="D171" s="12" t="str">
        <f>IF(B171="","",IFERROR(INDEX('Cashier Roster'!$D$5:$D$64,MATCH(B171,'Cashier Roster'!$B$5:$B$64,0)),""))</f>
        <v/>
      </c>
      <c r="E171" s="13"/>
      <c r="F171" s="14"/>
      <c r="G171" s="8" t="str">
        <f>IF(OR(B171="",E171=""),"",IF(E171="No","Missed",IF(F171="","",IF(F171&lt;=Settings!$B$7,"On time","Late"))))</f>
        <v/>
      </c>
      <c r="H171" s="15"/>
      <c r="I171" s="16"/>
      <c r="J171" s="16"/>
      <c r="K171" s="17" t="str">
        <f>IF(J171="","",ROUND(J171*Settings!$B$8,2))</f>
        <v/>
      </c>
      <c r="L171" s="16"/>
      <c r="M171" s="8" t="str">
        <f t="shared" si="2"/>
        <v/>
      </c>
      <c r="N171" s="9"/>
    </row>
    <row r="172" spans="1:14" ht="15.75">
      <c r="A172" s="11"/>
      <c r="B172" s="9"/>
      <c r="C172" s="12" t="str">
        <f>IF(B172="","",IFERROR(INDEX('Cashier Roster'!$C$5:$C$64,MATCH(B172,'Cashier Roster'!$B$5:$B$64,0)),"Not on roster"))</f>
        <v/>
      </c>
      <c r="D172" s="12" t="str">
        <f>IF(B172="","",IFERROR(INDEX('Cashier Roster'!$D$5:$D$64,MATCH(B172,'Cashier Roster'!$B$5:$B$64,0)),""))</f>
        <v/>
      </c>
      <c r="E172" s="13"/>
      <c r="F172" s="14"/>
      <c r="G172" s="8" t="str">
        <f>IF(OR(B172="",E172=""),"",IF(E172="No","Missed",IF(F172="","",IF(F172&lt;=Settings!$B$7,"On time","Late"))))</f>
        <v/>
      </c>
      <c r="H172" s="15"/>
      <c r="I172" s="16"/>
      <c r="J172" s="16"/>
      <c r="K172" s="17" t="str">
        <f>IF(J172="","",ROUND(J172*Settings!$B$8,2))</f>
        <v/>
      </c>
      <c r="L172" s="16"/>
      <c r="M172" s="8" t="str">
        <f t="shared" si="2"/>
        <v/>
      </c>
      <c r="N172" s="9"/>
    </row>
    <row r="173" spans="1:14" ht="15.75">
      <c r="A173" s="11"/>
      <c r="B173" s="9"/>
      <c r="C173" s="12" t="str">
        <f>IF(B173="","",IFERROR(INDEX('Cashier Roster'!$C$5:$C$64,MATCH(B173,'Cashier Roster'!$B$5:$B$64,0)),"Not on roster"))</f>
        <v/>
      </c>
      <c r="D173" s="12" t="str">
        <f>IF(B173="","",IFERROR(INDEX('Cashier Roster'!$D$5:$D$64,MATCH(B173,'Cashier Roster'!$B$5:$B$64,0)),""))</f>
        <v/>
      </c>
      <c r="E173" s="13"/>
      <c r="F173" s="14"/>
      <c r="G173" s="8" t="str">
        <f>IF(OR(B173="",E173=""),"",IF(E173="No","Missed",IF(F173="","",IF(F173&lt;=Settings!$B$7,"On time","Late"))))</f>
        <v/>
      </c>
      <c r="H173" s="15"/>
      <c r="I173" s="16"/>
      <c r="J173" s="16"/>
      <c r="K173" s="17" t="str">
        <f>IF(J173="","",ROUND(J173*Settings!$B$8,2))</f>
        <v/>
      </c>
      <c r="L173" s="16"/>
      <c r="M173" s="8" t="str">
        <f t="shared" si="2"/>
        <v/>
      </c>
      <c r="N173" s="9"/>
    </row>
    <row r="174" spans="1:14" ht="15.75">
      <c r="A174" s="11"/>
      <c r="B174" s="9"/>
      <c r="C174" s="12" t="str">
        <f>IF(B174="","",IFERROR(INDEX('Cashier Roster'!$C$5:$C$64,MATCH(B174,'Cashier Roster'!$B$5:$B$64,0)),"Not on roster"))</f>
        <v/>
      </c>
      <c r="D174" s="12" t="str">
        <f>IF(B174="","",IFERROR(INDEX('Cashier Roster'!$D$5:$D$64,MATCH(B174,'Cashier Roster'!$B$5:$B$64,0)),""))</f>
        <v/>
      </c>
      <c r="E174" s="13"/>
      <c r="F174" s="14"/>
      <c r="G174" s="8" t="str">
        <f>IF(OR(B174="",E174=""),"",IF(E174="No","Missed",IF(F174="","",IF(F174&lt;=Settings!$B$7,"On time","Late"))))</f>
        <v/>
      </c>
      <c r="H174" s="15"/>
      <c r="I174" s="16"/>
      <c r="J174" s="16"/>
      <c r="K174" s="17" t="str">
        <f>IF(J174="","",ROUND(J174*Settings!$B$8,2))</f>
        <v/>
      </c>
      <c r="L174" s="16"/>
      <c r="M174" s="8" t="str">
        <f t="shared" si="2"/>
        <v/>
      </c>
      <c r="N174" s="9"/>
    </row>
    <row r="175" spans="1:14" ht="15.75">
      <c r="A175" s="11"/>
      <c r="B175" s="9"/>
      <c r="C175" s="12" t="str">
        <f>IF(B175="","",IFERROR(INDEX('Cashier Roster'!$C$5:$C$64,MATCH(B175,'Cashier Roster'!$B$5:$B$64,0)),"Not on roster"))</f>
        <v/>
      </c>
      <c r="D175" s="12" t="str">
        <f>IF(B175="","",IFERROR(INDEX('Cashier Roster'!$D$5:$D$64,MATCH(B175,'Cashier Roster'!$B$5:$B$64,0)),""))</f>
        <v/>
      </c>
      <c r="E175" s="13"/>
      <c r="F175" s="14"/>
      <c r="G175" s="8" t="str">
        <f>IF(OR(B175="",E175=""),"",IF(E175="No","Missed",IF(F175="","",IF(F175&lt;=Settings!$B$7,"On time","Late"))))</f>
        <v/>
      </c>
      <c r="H175" s="15"/>
      <c r="I175" s="16"/>
      <c r="J175" s="16"/>
      <c r="K175" s="17" t="str">
        <f>IF(J175="","",ROUND(J175*Settings!$B$8,2))</f>
        <v/>
      </c>
      <c r="L175" s="16"/>
      <c r="M175" s="8" t="str">
        <f t="shared" si="2"/>
        <v/>
      </c>
      <c r="N175" s="9"/>
    </row>
    <row r="176" spans="1:14" ht="15.75">
      <c r="A176" s="11"/>
      <c r="B176" s="9"/>
      <c r="C176" s="12" t="str">
        <f>IF(B176="","",IFERROR(INDEX('Cashier Roster'!$C$5:$C$64,MATCH(B176,'Cashier Roster'!$B$5:$B$64,0)),"Not on roster"))</f>
        <v/>
      </c>
      <c r="D176" s="12" t="str">
        <f>IF(B176="","",IFERROR(INDEX('Cashier Roster'!$D$5:$D$64,MATCH(B176,'Cashier Roster'!$B$5:$B$64,0)),""))</f>
        <v/>
      </c>
      <c r="E176" s="13"/>
      <c r="F176" s="14"/>
      <c r="G176" s="8" t="str">
        <f>IF(OR(B176="",E176=""),"",IF(E176="No","Missed",IF(F176="","",IF(F176&lt;=Settings!$B$7,"On time","Late"))))</f>
        <v/>
      </c>
      <c r="H176" s="15"/>
      <c r="I176" s="16"/>
      <c r="J176" s="16"/>
      <c r="K176" s="17" t="str">
        <f>IF(J176="","",ROUND(J176*Settings!$B$8,2))</f>
        <v/>
      </c>
      <c r="L176" s="16"/>
      <c r="M176" s="8" t="str">
        <f t="shared" si="2"/>
        <v/>
      </c>
      <c r="N176" s="9"/>
    </row>
    <row r="177" spans="1:14" ht="15.75">
      <c r="A177" s="11"/>
      <c r="B177" s="9"/>
      <c r="C177" s="12" t="str">
        <f>IF(B177="","",IFERROR(INDEX('Cashier Roster'!$C$5:$C$64,MATCH(B177,'Cashier Roster'!$B$5:$B$64,0)),"Not on roster"))</f>
        <v/>
      </c>
      <c r="D177" s="12" t="str">
        <f>IF(B177="","",IFERROR(INDEX('Cashier Roster'!$D$5:$D$64,MATCH(B177,'Cashier Roster'!$B$5:$B$64,0)),""))</f>
        <v/>
      </c>
      <c r="E177" s="13"/>
      <c r="F177" s="14"/>
      <c r="G177" s="8" t="str">
        <f>IF(OR(B177="",E177=""),"",IF(E177="No","Missed",IF(F177="","",IF(F177&lt;=Settings!$B$7,"On time","Late"))))</f>
        <v/>
      </c>
      <c r="H177" s="15"/>
      <c r="I177" s="16"/>
      <c r="J177" s="16"/>
      <c r="K177" s="17" t="str">
        <f>IF(J177="","",ROUND(J177*Settings!$B$8,2))</f>
        <v/>
      </c>
      <c r="L177" s="16"/>
      <c r="M177" s="8" t="str">
        <f t="shared" si="2"/>
        <v/>
      </c>
      <c r="N177" s="9"/>
    </row>
    <row r="178" spans="1:14" ht="15.75">
      <c r="A178" s="11"/>
      <c r="B178" s="9"/>
      <c r="C178" s="12" t="str">
        <f>IF(B178="","",IFERROR(INDEX('Cashier Roster'!$C$5:$C$64,MATCH(B178,'Cashier Roster'!$B$5:$B$64,0)),"Not on roster"))</f>
        <v/>
      </c>
      <c r="D178" s="12" t="str">
        <f>IF(B178="","",IFERROR(INDEX('Cashier Roster'!$D$5:$D$64,MATCH(B178,'Cashier Roster'!$B$5:$B$64,0)),""))</f>
        <v/>
      </c>
      <c r="E178" s="13"/>
      <c r="F178" s="14"/>
      <c r="G178" s="8" t="str">
        <f>IF(OR(B178="",E178=""),"",IF(E178="No","Missed",IF(F178="","",IF(F178&lt;=Settings!$B$7,"On time","Late"))))</f>
        <v/>
      </c>
      <c r="H178" s="15"/>
      <c r="I178" s="16"/>
      <c r="J178" s="16"/>
      <c r="K178" s="17" t="str">
        <f>IF(J178="","",ROUND(J178*Settings!$B$8,2))</f>
        <v/>
      </c>
      <c r="L178" s="16"/>
      <c r="M178" s="8" t="str">
        <f t="shared" si="2"/>
        <v/>
      </c>
      <c r="N178" s="9"/>
    </row>
    <row r="179" spans="1:14" ht="15.75">
      <c r="A179" s="11"/>
      <c r="B179" s="9"/>
      <c r="C179" s="12" t="str">
        <f>IF(B179="","",IFERROR(INDEX('Cashier Roster'!$C$5:$C$64,MATCH(B179,'Cashier Roster'!$B$5:$B$64,0)),"Not on roster"))</f>
        <v/>
      </c>
      <c r="D179" s="12" t="str">
        <f>IF(B179="","",IFERROR(INDEX('Cashier Roster'!$D$5:$D$64,MATCH(B179,'Cashier Roster'!$B$5:$B$64,0)),""))</f>
        <v/>
      </c>
      <c r="E179" s="13"/>
      <c r="F179" s="14"/>
      <c r="G179" s="8" t="str">
        <f>IF(OR(B179="",E179=""),"",IF(E179="No","Missed",IF(F179="","",IF(F179&lt;=Settings!$B$7,"On time","Late"))))</f>
        <v/>
      </c>
      <c r="H179" s="15"/>
      <c r="I179" s="16"/>
      <c r="J179" s="16"/>
      <c r="K179" s="17" t="str">
        <f>IF(J179="","",ROUND(J179*Settings!$B$8,2))</f>
        <v/>
      </c>
      <c r="L179" s="16"/>
      <c r="M179" s="8" t="str">
        <f t="shared" si="2"/>
        <v/>
      </c>
      <c r="N179" s="9"/>
    </row>
    <row r="180" spans="1:14" ht="15.75">
      <c r="A180" s="11"/>
      <c r="B180" s="9"/>
      <c r="C180" s="12" t="str">
        <f>IF(B180="","",IFERROR(INDEX('Cashier Roster'!$C$5:$C$64,MATCH(B180,'Cashier Roster'!$B$5:$B$64,0)),"Not on roster"))</f>
        <v/>
      </c>
      <c r="D180" s="12" t="str">
        <f>IF(B180="","",IFERROR(INDEX('Cashier Roster'!$D$5:$D$64,MATCH(B180,'Cashier Roster'!$B$5:$B$64,0)),""))</f>
        <v/>
      </c>
      <c r="E180" s="13"/>
      <c r="F180" s="14"/>
      <c r="G180" s="8" t="str">
        <f>IF(OR(B180="",E180=""),"",IF(E180="No","Missed",IF(F180="","",IF(F180&lt;=Settings!$B$7,"On time","Late"))))</f>
        <v/>
      </c>
      <c r="H180" s="15"/>
      <c r="I180" s="16"/>
      <c r="J180" s="16"/>
      <c r="K180" s="17" t="str">
        <f>IF(J180="","",ROUND(J180*Settings!$B$8,2))</f>
        <v/>
      </c>
      <c r="L180" s="16"/>
      <c r="M180" s="8" t="str">
        <f t="shared" si="2"/>
        <v/>
      </c>
      <c r="N180" s="9"/>
    </row>
    <row r="181" spans="1:14" ht="15.75">
      <c r="A181" s="11"/>
      <c r="B181" s="9"/>
      <c r="C181" s="12" t="str">
        <f>IF(B181="","",IFERROR(INDEX('Cashier Roster'!$C$5:$C$64,MATCH(B181,'Cashier Roster'!$B$5:$B$64,0)),"Not on roster"))</f>
        <v/>
      </c>
      <c r="D181" s="12" t="str">
        <f>IF(B181="","",IFERROR(INDEX('Cashier Roster'!$D$5:$D$64,MATCH(B181,'Cashier Roster'!$B$5:$B$64,0)),""))</f>
        <v/>
      </c>
      <c r="E181" s="13"/>
      <c r="F181" s="14"/>
      <c r="G181" s="8" t="str">
        <f>IF(OR(B181="",E181=""),"",IF(E181="No","Missed",IF(F181="","",IF(F181&lt;=Settings!$B$7,"On time","Late"))))</f>
        <v/>
      </c>
      <c r="H181" s="15"/>
      <c r="I181" s="16"/>
      <c r="J181" s="16"/>
      <c r="K181" s="17" t="str">
        <f>IF(J181="","",ROUND(J181*Settings!$B$8,2))</f>
        <v/>
      </c>
      <c r="L181" s="16"/>
      <c r="M181" s="8" t="str">
        <f t="shared" si="2"/>
        <v/>
      </c>
      <c r="N181" s="9"/>
    </row>
    <row r="182" spans="1:14" ht="15.75">
      <c r="A182" s="11"/>
      <c r="B182" s="9"/>
      <c r="C182" s="12" t="str">
        <f>IF(B182="","",IFERROR(INDEX('Cashier Roster'!$C$5:$C$64,MATCH(B182,'Cashier Roster'!$B$5:$B$64,0)),"Not on roster"))</f>
        <v/>
      </c>
      <c r="D182" s="12" t="str">
        <f>IF(B182="","",IFERROR(INDEX('Cashier Roster'!$D$5:$D$64,MATCH(B182,'Cashier Roster'!$B$5:$B$64,0)),""))</f>
        <v/>
      </c>
      <c r="E182" s="13"/>
      <c r="F182" s="14"/>
      <c r="G182" s="8" t="str">
        <f>IF(OR(B182="",E182=""),"",IF(E182="No","Missed",IF(F182="","",IF(F182&lt;=Settings!$B$7,"On time","Late"))))</f>
        <v/>
      </c>
      <c r="H182" s="15"/>
      <c r="I182" s="16"/>
      <c r="J182" s="16"/>
      <c r="K182" s="17" t="str">
        <f>IF(J182="","",ROUND(J182*Settings!$B$8,2))</f>
        <v/>
      </c>
      <c r="L182" s="16"/>
      <c r="M182" s="8" t="str">
        <f t="shared" si="2"/>
        <v/>
      </c>
      <c r="N182" s="9"/>
    </row>
    <row r="183" spans="1:14" ht="15.75">
      <c r="A183" s="11"/>
      <c r="B183" s="9"/>
      <c r="C183" s="12" t="str">
        <f>IF(B183="","",IFERROR(INDEX('Cashier Roster'!$C$5:$C$64,MATCH(B183,'Cashier Roster'!$B$5:$B$64,0)),"Not on roster"))</f>
        <v/>
      </c>
      <c r="D183" s="12" t="str">
        <f>IF(B183="","",IFERROR(INDEX('Cashier Roster'!$D$5:$D$64,MATCH(B183,'Cashier Roster'!$B$5:$B$64,0)),""))</f>
        <v/>
      </c>
      <c r="E183" s="13"/>
      <c r="F183" s="14"/>
      <c r="G183" s="8" t="str">
        <f>IF(OR(B183="",E183=""),"",IF(E183="No","Missed",IF(F183="","",IF(F183&lt;=Settings!$B$7,"On time","Late"))))</f>
        <v/>
      </c>
      <c r="H183" s="15"/>
      <c r="I183" s="16"/>
      <c r="J183" s="16"/>
      <c r="K183" s="17" t="str">
        <f>IF(J183="","",ROUND(J183*Settings!$B$8,2))</f>
        <v/>
      </c>
      <c r="L183" s="16"/>
      <c r="M183" s="8" t="str">
        <f t="shared" si="2"/>
        <v/>
      </c>
      <c r="N183" s="9"/>
    </row>
    <row r="184" spans="1:14" ht="15.75">
      <c r="A184" s="11"/>
      <c r="B184" s="9"/>
      <c r="C184" s="12" t="str">
        <f>IF(B184="","",IFERROR(INDEX('Cashier Roster'!$C$5:$C$64,MATCH(B184,'Cashier Roster'!$B$5:$B$64,0)),"Not on roster"))</f>
        <v/>
      </c>
      <c r="D184" s="12" t="str">
        <f>IF(B184="","",IFERROR(INDEX('Cashier Roster'!$D$5:$D$64,MATCH(B184,'Cashier Roster'!$B$5:$B$64,0)),""))</f>
        <v/>
      </c>
      <c r="E184" s="13"/>
      <c r="F184" s="14"/>
      <c r="G184" s="8" t="str">
        <f>IF(OR(B184="",E184=""),"",IF(E184="No","Missed",IF(F184="","",IF(F184&lt;=Settings!$B$7,"On time","Late"))))</f>
        <v/>
      </c>
      <c r="H184" s="15"/>
      <c r="I184" s="16"/>
      <c r="J184" s="16"/>
      <c r="K184" s="17" t="str">
        <f>IF(J184="","",ROUND(J184*Settings!$B$8,2))</f>
        <v/>
      </c>
      <c r="L184" s="16"/>
      <c r="M184" s="8" t="str">
        <f t="shared" si="2"/>
        <v/>
      </c>
      <c r="N184" s="9"/>
    </row>
    <row r="185" spans="1:14" ht="15.75">
      <c r="A185" s="11"/>
      <c r="B185" s="9"/>
      <c r="C185" s="12" t="str">
        <f>IF(B185="","",IFERROR(INDEX('Cashier Roster'!$C$5:$C$64,MATCH(B185,'Cashier Roster'!$B$5:$B$64,0)),"Not on roster"))</f>
        <v/>
      </c>
      <c r="D185" s="12" t="str">
        <f>IF(B185="","",IFERROR(INDEX('Cashier Roster'!$D$5:$D$64,MATCH(B185,'Cashier Roster'!$B$5:$B$64,0)),""))</f>
        <v/>
      </c>
      <c r="E185" s="13"/>
      <c r="F185" s="14"/>
      <c r="G185" s="8" t="str">
        <f>IF(OR(B185="",E185=""),"",IF(E185="No","Missed",IF(F185="","",IF(F185&lt;=Settings!$B$7,"On time","Late"))))</f>
        <v/>
      </c>
      <c r="H185" s="15"/>
      <c r="I185" s="16"/>
      <c r="J185" s="16"/>
      <c r="K185" s="17" t="str">
        <f>IF(J185="","",ROUND(J185*Settings!$B$8,2))</f>
        <v/>
      </c>
      <c r="L185" s="16"/>
      <c r="M185" s="8" t="str">
        <f t="shared" si="2"/>
        <v/>
      </c>
      <c r="N185" s="9"/>
    </row>
    <row r="186" spans="1:14" ht="15.75">
      <c r="A186" s="11"/>
      <c r="B186" s="9"/>
      <c r="C186" s="12" t="str">
        <f>IF(B186="","",IFERROR(INDEX('Cashier Roster'!$C$5:$C$64,MATCH(B186,'Cashier Roster'!$B$5:$B$64,0)),"Not on roster"))</f>
        <v/>
      </c>
      <c r="D186" s="12" t="str">
        <f>IF(B186="","",IFERROR(INDEX('Cashier Roster'!$D$5:$D$64,MATCH(B186,'Cashier Roster'!$B$5:$B$64,0)),""))</f>
        <v/>
      </c>
      <c r="E186" s="13"/>
      <c r="F186" s="14"/>
      <c r="G186" s="8" t="str">
        <f>IF(OR(B186="",E186=""),"",IF(E186="No","Missed",IF(F186="","",IF(F186&lt;=Settings!$B$7,"On time","Late"))))</f>
        <v/>
      </c>
      <c r="H186" s="15"/>
      <c r="I186" s="16"/>
      <c r="J186" s="16"/>
      <c r="K186" s="17" t="str">
        <f>IF(J186="","",ROUND(J186*Settings!$B$8,2))</f>
        <v/>
      </c>
      <c r="L186" s="16"/>
      <c r="M186" s="8" t="str">
        <f t="shared" si="2"/>
        <v/>
      </c>
      <c r="N186" s="9"/>
    </row>
    <row r="187" spans="1:14" ht="15.75">
      <c r="A187" s="11"/>
      <c r="B187" s="9"/>
      <c r="C187" s="12" t="str">
        <f>IF(B187="","",IFERROR(INDEX('Cashier Roster'!$C$5:$C$64,MATCH(B187,'Cashier Roster'!$B$5:$B$64,0)),"Not on roster"))</f>
        <v/>
      </c>
      <c r="D187" s="12" t="str">
        <f>IF(B187="","",IFERROR(INDEX('Cashier Roster'!$D$5:$D$64,MATCH(B187,'Cashier Roster'!$B$5:$B$64,0)),""))</f>
        <v/>
      </c>
      <c r="E187" s="13"/>
      <c r="F187" s="14"/>
      <c r="G187" s="8" t="str">
        <f>IF(OR(B187="",E187=""),"",IF(E187="No","Missed",IF(F187="","",IF(F187&lt;=Settings!$B$7,"On time","Late"))))</f>
        <v/>
      </c>
      <c r="H187" s="15"/>
      <c r="I187" s="16"/>
      <c r="J187" s="16"/>
      <c r="K187" s="17" t="str">
        <f>IF(J187="","",ROUND(J187*Settings!$B$8,2))</f>
        <v/>
      </c>
      <c r="L187" s="16"/>
      <c r="M187" s="8" t="str">
        <f t="shared" si="2"/>
        <v/>
      </c>
      <c r="N187" s="9"/>
    </row>
    <row r="188" spans="1:14" ht="15.75">
      <c r="A188" s="11"/>
      <c r="B188" s="9"/>
      <c r="C188" s="12" t="str">
        <f>IF(B188="","",IFERROR(INDEX('Cashier Roster'!$C$5:$C$64,MATCH(B188,'Cashier Roster'!$B$5:$B$64,0)),"Not on roster"))</f>
        <v/>
      </c>
      <c r="D188" s="12" t="str">
        <f>IF(B188="","",IFERROR(INDEX('Cashier Roster'!$D$5:$D$64,MATCH(B188,'Cashier Roster'!$B$5:$B$64,0)),""))</f>
        <v/>
      </c>
      <c r="E188" s="13"/>
      <c r="F188" s="14"/>
      <c r="G188" s="8" t="str">
        <f>IF(OR(B188="",E188=""),"",IF(E188="No","Missed",IF(F188="","",IF(F188&lt;=Settings!$B$7,"On time","Late"))))</f>
        <v/>
      </c>
      <c r="H188" s="15"/>
      <c r="I188" s="16"/>
      <c r="J188" s="16"/>
      <c r="K188" s="17" t="str">
        <f>IF(J188="","",ROUND(J188*Settings!$B$8,2))</f>
        <v/>
      </c>
      <c r="L188" s="16"/>
      <c r="M188" s="8" t="str">
        <f t="shared" si="2"/>
        <v/>
      </c>
      <c r="N188" s="9"/>
    </row>
    <row r="189" spans="1:14" ht="15.75">
      <c r="A189" s="11"/>
      <c r="B189" s="9"/>
      <c r="C189" s="12" t="str">
        <f>IF(B189="","",IFERROR(INDEX('Cashier Roster'!$C$5:$C$64,MATCH(B189,'Cashier Roster'!$B$5:$B$64,0)),"Not on roster"))</f>
        <v/>
      </c>
      <c r="D189" s="12" t="str">
        <f>IF(B189="","",IFERROR(INDEX('Cashier Roster'!$D$5:$D$64,MATCH(B189,'Cashier Roster'!$B$5:$B$64,0)),""))</f>
        <v/>
      </c>
      <c r="E189" s="13"/>
      <c r="F189" s="14"/>
      <c r="G189" s="8" t="str">
        <f>IF(OR(B189="",E189=""),"",IF(E189="No","Missed",IF(F189="","",IF(F189&lt;=Settings!$B$7,"On time","Late"))))</f>
        <v/>
      </c>
      <c r="H189" s="15"/>
      <c r="I189" s="16"/>
      <c r="J189" s="16"/>
      <c r="K189" s="17" t="str">
        <f>IF(J189="","",ROUND(J189*Settings!$B$8,2))</f>
        <v/>
      </c>
      <c r="L189" s="16"/>
      <c r="M189" s="8" t="str">
        <f t="shared" si="2"/>
        <v/>
      </c>
      <c r="N189" s="9"/>
    </row>
    <row r="190" spans="1:14" ht="15.75">
      <c r="A190" s="11"/>
      <c r="B190" s="9"/>
      <c r="C190" s="12" t="str">
        <f>IF(B190="","",IFERROR(INDEX('Cashier Roster'!$C$5:$C$64,MATCH(B190,'Cashier Roster'!$B$5:$B$64,0)),"Not on roster"))</f>
        <v/>
      </c>
      <c r="D190" s="12" t="str">
        <f>IF(B190="","",IFERROR(INDEX('Cashier Roster'!$D$5:$D$64,MATCH(B190,'Cashier Roster'!$B$5:$B$64,0)),""))</f>
        <v/>
      </c>
      <c r="E190" s="13"/>
      <c r="F190" s="14"/>
      <c r="G190" s="8" t="str">
        <f>IF(OR(B190="",E190=""),"",IF(E190="No","Missed",IF(F190="","",IF(F190&lt;=Settings!$B$7,"On time","Late"))))</f>
        <v/>
      </c>
      <c r="H190" s="15"/>
      <c r="I190" s="16"/>
      <c r="J190" s="16"/>
      <c r="K190" s="17" t="str">
        <f>IF(J190="","",ROUND(J190*Settings!$B$8,2))</f>
        <v/>
      </c>
      <c r="L190" s="16"/>
      <c r="M190" s="8" t="str">
        <f t="shared" si="2"/>
        <v/>
      </c>
      <c r="N190" s="9"/>
    </row>
    <row r="191" spans="1:14" ht="15.75">
      <c r="A191" s="11"/>
      <c r="B191" s="9"/>
      <c r="C191" s="12" t="str">
        <f>IF(B191="","",IFERROR(INDEX('Cashier Roster'!$C$5:$C$64,MATCH(B191,'Cashier Roster'!$B$5:$B$64,0)),"Not on roster"))</f>
        <v/>
      </c>
      <c r="D191" s="12" t="str">
        <f>IF(B191="","",IFERROR(INDEX('Cashier Roster'!$D$5:$D$64,MATCH(B191,'Cashier Roster'!$B$5:$B$64,0)),""))</f>
        <v/>
      </c>
      <c r="E191" s="13"/>
      <c r="F191" s="14"/>
      <c r="G191" s="8" t="str">
        <f>IF(OR(B191="",E191=""),"",IF(E191="No","Missed",IF(F191="","",IF(F191&lt;=Settings!$B$7,"On time","Late"))))</f>
        <v/>
      </c>
      <c r="H191" s="15"/>
      <c r="I191" s="16"/>
      <c r="J191" s="16"/>
      <c r="K191" s="17" t="str">
        <f>IF(J191="","",ROUND(J191*Settings!$B$8,2))</f>
        <v/>
      </c>
      <c r="L191" s="16"/>
      <c r="M191" s="8" t="str">
        <f t="shared" si="2"/>
        <v/>
      </c>
      <c r="N191" s="9"/>
    </row>
    <row r="192" spans="1:14" ht="15.75">
      <c r="A192" s="11"/>
      <c r="B192" s="9"/>
      <c r="C192" s="12" t="str">
        <f>IF(B192="","",IFERROR(INDEX('Cashier Roster'!$C$5:$C$64,MATCH(B192,'Cashier Roster'!$B$5:$B$64,0)),"Not on roster"))</f>
        <v/>
      </c>
      <c r="D192" s="12" t="str">
        <f>IF(B192="","",IFERROR(INDEX('Cashier Roster'!$D$5:$D$64,MATCH(B192,'Cashier Roster'!$B$5:$B$64,0)),""))</f>
        <v/>
      </c>
      <c r="E192" s="13"/>
      <c r="F192" s="14"/>
      <c r="G192" s="8" t="str">
        <f>IF(OR(B192="",E192=""),"",IF(E192="No","Missed",IF(F192="","",IF(F192&lt;=Settings!$B$7,"On time","Late"))))</f>
        <v/>
      </c>
      <c r="H192" s="15"/>
      <c r="I192" s="16"/>
      <c r="J192" s="16"/>
      <c r="K192" s="17" t="str">
        <f>IF(J192="","",ROUND(J192*Settings!$B$8,2))</f>
        <v/>
      </c>
      <c r="L192" s="16"/>
      <c r="M192" s="8" t="str">
        <f t="shared" si="2"/>
        <v/>
      </c>
      <c r="N192" s="9"/>
    </row>
    <row r="193" spans="1:14" ht="15.75">
      <c r="A193" s="11"/>
      <c r="B193" s="9"/>
      <c r="C193" s="12" t="str">
        <f>IF(B193="","",IFERROR(INDEX('Cashier Roster'!$C$5:$C$64,MATCH(B193,'Cashier Roster'!$B$5:$B$64,0)),"Not on roster"))</f>
        <v/>
      </c>
      <c r="D193" s="12" t="str">
        <f>IF(B193="","",IFERROR(INDEX('Cashier Roster'!$D$5:$D$64,MATCH(B193,'Cashier Roster'!$B$5:$B$64,0)),""))</f>
        <v/>
      </c>
      <c r="E193" s="13"/>
      <c r="F193" s="14"/>
      <c r="G193" s="8" t="str">
        <f>IF(OR(B193="",E193=""),"",IF(E193="No","Missed",IF(F193="","",IF(F193&lt;=Settings!$B$7,"On time","Late"))))</f>
        <v/>
      </c>
      <c r="H193" s="15"/>
      <c r="I193" s="16"/>
      <c r="J193" s="16"/>
      <c r="K193" s="17" t="str">
        <f>IF(J193="","",ROUND(J193*Settings!$B$8,2))</f>
        <v/>
      </c>
      <c r="L193" s="16"/>
      <c r="M193" s="8" t="str">
        <f t="shared" si="2"/>
        <v/>
      </c>
      <c r="N193" s="9"/>
    </row>
    <row r="194" spans="1:14" ht="15.75">
      <c r="A194" s="11"/>
      <c r="B194" s="9"/>
      <c r="C194" s="12" t="str">
        <f>IF(B194="","",IFERROR(INDEX('Cashier Roster'!$C$5:$C$64,MATCH(B194,'Cashier Roster'!$B$5:$B$64,0)),"Not on roster"))</f>
        <v/>
      </c>
      <c r="D194" s="12" t="str">
        <f>IF(B194="","",IFERROR(INDEX('Cashier Roster'!$D$5:$D$64,MATCH(B194,'Cashier Roster'!$B$5:$B$64,0)),""))</f>
        <v/>
      </c>
      <c r="E194" s="13"/>
      <c r="F194" s="14"/>
      <c r="G194" s="8" t="str">
        <f>IF(OR(B194="",E194=""),"",IF(E194="No","Missed",IF(F194="","",IF(F194&lt;=Settings!$B$7,"On time","Late"))))</f>
        <v/>
      </c>
      <c r="H194" s="15"/>
      <c r="I194" s="16"/>
      <c r="J194" s="16"/>
      <c r="K194" s="17" t="str">
        <f>IF(J194="","",ROUND(J194*Settings!$B$8,2))</f>
        <v/>
      </c>
      <c r="L194" s="16"/>
      <c r="M194" s="8" t="str">
        <f t="shared" si="2"/>
        <v/>
      </c>
      <c r="N194" s="9"/>
    </row>
    <row r="195" spans="1:14" ht="15.75">
      <c r="A195" s="11"/>
      <c r="B195" s="9"/>
      <c r="C195" s="12" t="str">
        <f>IF(B195="","",IFERROR(INDEX('Cashier Roster'!$C$5:$C$64,MATCH(B195,'Cashier Roster'!$B$5:$B$64,0)),"Not on roster"))</f>
        <v/>
      </c>
      <c r="D195" s="12" t="str">
        <f>IF(B195="","",IFERROR(INDEX('Cashier Roster'!$D$5:$D$64,MATCH(B195,'Cashier Roster'!$B$5:$B$64,0)),""))</f>
        <v/>
      </c>
      <c r="E195" s="13"/>
      <c r="F195" s="14"/>
      <c r="G195" s="8" t="str">
        <f>IF(OR(B195="",E195=""),"",IF(E195="No","Missed",IF(F195="","",IF(F195&lt;=Settings!$B$7,"On time","Late"))))</f>
        <v/>
      </c>
      <c r="H195" s="15"/>
      <c r="I195" s="16"/>
      <c r="J195" s="16"/>
      <c r="K195" s="17" t="str">
        <f>IF(J195="","",ROUND(J195*Settings!$B$8,2))</f>
        <v/>
      </c>
      <c r="L195" s="16"/>
      <c r="M195" s="8" t="str">
        <f t="shared" si="2"/>
        <v/>
      </c>
      <c r="N195" s="9"/>
    </row>
    <row r="196" spans="1:14" ht="15.75">
      <c r="A196" s="11"/>
      <c r="B196" s="9"/>
      <c r="C196" s="12" t="str">
        <f>IF(B196="","",IFERROR(INDEX('Cashier Roster'!$C$5:$C$64,MATCH(B196,'Cashier Roster'!$B$5:$B$64,0)),"Not on roster"))</f>
        <v/>
      </c>
      <c r="D196" s="12" t="str">
        <f>IF(B196="","",IFERROR(INDEX('Cashier Roster'!$D$5:$D$64,MATCH(B196,'Cashier Roster'!$B$5:$B$64,0)),""))</f>
        <v/>
      </c>
      <c r="E196" s="13"/>
      <c r="F196" s="14"/>
      <c r="G196" s="8" t="str">
        <f>IF(OR(B196="",E196=""),"",IF(E196="No","Missed",IF(F196="","",IF(F196&lt;=Settings!$B$7,"On time","Late"))))</f>
        <v/>
      </c>
      <c r="H196" s="15"/>
      <c r="I196" s="16"/>
      <c r="J196" s="16"/>
      <c r="K196" s="17" t="str">
        <f>IF(J196="","",ROUND(J196*Settings!$B$8,2))</f>
        <v/>
      </c>
      <c r="L196" s="16"/>
      <c r="M196" s="8" t="str">
        <f t="shared" si="2"/>
        <v/>
      </c>
      <c r="N196" s="9"/>
    </row>
    <row r="197" spans="1:14" ht="15.75">
      <c r="A197" s="11"/>
      <c r="B197" s="9"/>
      <c r="C197" s="12" t="str">
        <f>IF(B197="","",IFERROR(INDEX('Cashier Roster'!$C$5:$C$64,MATCH(B197,'Cashier Roster'!$B$5:$B$64,0)),"Not on roster"))</f>
        <v/>
      </c>
      <c r="D197" s="12" t="str">
        <f>IF(B197="","",IFERROR(INDEX('Cashier Roster'!$D$5:$D$64,MATCH(B197,'Cashier Roster'!$B$5:$B$64,0)),""))</f>
        <v/>
      </c>
      <c r="E197" s="13"/>
      <c r="F197" s="14"/>
      <c r="G197" s="8" t="str">
        <f>IF(OR(B197="",E197=""),"",IF(E197="No","Missed",IF(F197="","",IF(F197&lt;=Settings!$B$7,"On time","Late"))))</f>
        <v/>
      </c>
      <c r="H197" s="15"/>
      <c r="I197" s="16"/>
      <c r="J197" s="16"/>
      <c r="K197" s="17" t="str">
        <f>IF(J197="","",ROUND(J197*Settings!$B$8,2))</f>
        <v/>
      </c>
      <c r="L197" s="16"/>
      <c r="M197" s="8" t="str">
        <f t="shared" ref="M197:M260" si="3">IF(L197="","",IF(L197&lt;=0,"Yes","No"))</f>
        <v/>
      </c>
      <c r="N197" s="9"/>
    </row>
    <row r="198" spans="1:14" ht="15.75">
      <c r="A198" s="11"/>
      <c r="B198" s="9"/>
      <c r="C198" s="12" t="str">
        <f>IF(B198="","",IFERROR(INDEX('Cashier Roster'!$C$5:$C$64,MATCH(B198,'Cashier Roster'!$B$5:$B$64,0)),"Not on roster"))</f>
        <v/>
      </c>
      <c r="D198" s="12" t="str">
        <f>IF(B198="","",IFERROR(INDEX('Cashier Roster'!$D$5:$D$64,MATCH(B198,'Cashier Roster'!$B$5:$B$64,0)),""))</f>
        <v/>
      </c>
      <c r="E198" s="13"/>
      <c r="F198" s="14"/>
      <c r="G198" s="8" t="str">
        <f>IF(OR(B198="",E198=""),"",IF(E198="No","Missed",IF(F198="","",IF(F198&lt;=Settings!$B$7,"On time","Late"))))</f>
        <v/>
      </c>
      <c r="H198" s="15"/>
      <c r="I198" s="16"/>
      <c r="J198" s="16"/>
      <c r="K198" s="17" t="str">
        <f>IF(J198="","",ROUND(J198*Settings!$B$8,2))</f>
        <v/>
      </c>
      <c r="L198" s="16"/>
      <c r="M198" s="8" t="str">
        <f t="shared" si="3"/>
        <v/>
      </c>
      <c r="N198" s="9"/>
    </row>
    <row r="199" spans="1:14" ht="15.75">
      <c r="A199" s="11"/>
      <c r="B199" s="9"/>
      <c r="C199" s="12" t="str">
        <f>IF(B199="","",IFERROR(INDEX('Cashier Roster'!$C$5:$C$64,MATCH(B199,'Cashier Roster'!$B$5:$B$64,0)),"Not on roster"))</f>
        <v/>
      </c>
      <c r="D199" s="12" t="str">
        <f>IF(B199="","",IFERROR(INDEX('Cashier Roster'!$D$5:$D$64,MATCH(B199,'Cashier Roster'!$B$5:$B$64,0)),""))</f>
        <v/>
      </c>
      <c r="E199" s="13"/>
      <c r="F199" s="14"/>
      <c r="G199" s="8" t="str">
        <f>IF(OR(B199="",E199=""),"",IF(E199="No","Missed",IF(F199="","",IF(F199&lt;=Settings!$B$7,"On time","Late"))))</f>
        <v/>
      </c>
      <c r="H199" s="15"/>
      <c r="I199" s="16"/>
      <c r="J199" s="16"/>
      <c r="K199" s="17" t="str">
        <f>IF(J199="","",ROUND(J199*Settings!$B$8,2))</f>
        <v/>
      </c>
      <c r="L199" s="16"/>
      <c r="M199" s="8" t="str">
        <f t="shared" si="3"/>
        <v/>
      </c>
      <c r="N199" s="9"/>
    </row>
    <row r="200" spans="1:14" ht="15.75">
      <c r="A200" s="11"/>
      <c r="B200" s="9"/>
      <c r="C200" s="12" t="str">
        <f>IF(B200="","",IFERROR(INDEX('Cashier Roster'!$C$5:$C$64,MATCH(B200,'Cashier Roster'!$B$5:$B$64,0)),"Not on roster"))</f>
        <v/>
      </c>
      <c r="D200" s="12" t="str">
        <f>IF(B200="","",IFERROR(INDEX('Cashier Roster'!$D$5:$D$64,MATCH(B200,'Cashier Roster'!$B$5:$B$64,0)),""))</f>
        <v/>
      </c>
      <c r="E200" s="13"/>
      <c r="F200" s="14"/>
      <c r="G200" s="8" t="str">
        <f>IF(OR(B200="",E200=""),"",IF(E200="No","Missed",IF(F200="","",IF(F200&lt;=Settings!$B$7,"On time","Late"))))</f>
        <v/>
      </c>
      <c r="H200" s="15"/>
      <c r="I200" s="16"/>
      <c r="J200" s="16"/>
      <c r="K200" s="17" t="str">
        <f>IF(J200="","",ROUND(J200*Settings!$B$8,2))</f>
        <v/>
      </c>
      <c r="L200" s="16"/>
      <c r="M200" s="8" t="str">
        <f t="shared" si="3"/>
        <v/>
      </c>
      <c r="N200" s="9"/>
    </row>
    <row r="201" spans="1:14" ht="15.75">
      <c r="A201" s="11"/>
      <c r="B201" s="9"/>
      <c r="C201" s="12" t="str">
        <f>IF(B201="","",IFERROR(INDEX('Cashier Roster'!$C$5:$C$64,MATCH(B201,'Cashier Roster'!$B$5:$B$64,0)),"Not on roster"))</f>
        <v/>
      </c>
      <c r="D201" s="12" t="str">
        <f>IF(B201="","",IFERROR(INDEX('Cashier Roster'!$D$5:$D$64,MATCH(B201,'Cashier Roster'!$B$5:$B$64,0)),""))</f>
        <v/>
      </c>
      <c r="E201" s="13"/>
      <c r="F201" s="14"/>
      <c r="G201" s="8" t="str">
        <f>IF(OR(B201="",E201=""),"",IF(E201="No","Missed",IF(F201="","",IF(F201&lt;=Settings!$B$7,"On time","Late"))))</f>
        <v/>
      </c>
      <c r="H201" s="15"/>
      <c r="I201" s="16"/>
      <c r="J201" s="16"/>
      <c r="K201" s="17" t="str">
        <f>IF(J201="","",ROUND(J201*Settings!$B$8,2))</f>
        <v/>
      </c>
      <c r="L201" s="16"/>
      <c r="M201" s="8" t="str">
        <f t="shared" si="3"/>
        <v/>
      </c>
      <c r="N201" s="9"/>
    </row>
    <row r="202" spans="1:14" ht="15.75">
      <c r="A202" s="11"/>
      <c r="B202" s="9"/>
      <c r="C202" s="12" t="str">
        <f>IF(B202="","",IFERROR(INDEX('Cashier Roster'!$C$5:$C$64,MATCH(B202,'Cashier Roster'!$B$5:$B$64,0)),"Not on roster"))</f>
        <v/>
      </c>
      <c r="D202" s="12" t="str">
        <f>IF(B202="","",IFERROR(INDEX('Cashier Roster'!$D$5:$D$64,MATCH(B202,'Cashier Roster'!$B$5:$B$64,0)),""))</f>
        <v/>
      </c>
      <c r="E202" s="13"/>
      <c r="F202" s="14"/>
      <c r="G202" s="8" t="str">
        <f>IF(OR(B202="",E202=""),"",IF(E202="No","Missed",IF(F202="","",IF(F202&lt;=Settings!$B$7,"On time","Late"))))</f>
        <v/>
      </c>
      <c r="H202" s="15"/>
      <c r="I202" s="16"/>
      <c r="J202" s="16"/>
      <c r="K202" s="17" t="str">
        <f>IF(J202="","",ROUND(J202*Settings!$B$8,2))</f>
        <v/>
      </c>
      <c r="L202" s="16"/>
      <c r="M202" s="8" t="str">
        <f t="shared" si="3"/>
        <v/>
      </c>
      <c r="N202" s="9"/>
    </row>
    <row r="203" spans="1:14" ht="15.75">
      <c r="A203" s="11"/>
      <c r="B203" s="9"/>
      <c r="C203" s="12" t="str">
        <f>IF(B203="","",IFERROR(INDEX('Cashier Roster'!$C$5:$C$64,MATCH(B203,'Cashier Roster'!$B$5:$B$64,0)),"Not on roster"))</f>
        <v/>
      </c>
      <c r="D203" s="12" t="str">
        <f>IF(B203="","",IFERROR(INDEX('Cashier Roster'!$D$5:$D$64,MATCH(B203,'Cashier Roster'!$B$5:$B$64,0)),""))</f>
        <v/>
      </c>
      <c r="E203" s="13"/>
      <c r="F203" s="14"/>
      <c r="G203" s="8" t="str">
        <f>IF(OR(B203="",E203=""),"",IF(E203="No","Missed",IF(F203="","",IF(F203&lt;=Settings!$B$7,"On time","Late"))))</f>
        <v/>
      </c>
      <c r="H203" s="15"/>
      <c r="I203" s="16"/>
      <c r="J203" s="16"/>
      <c r="K203" s="17" t="str">
        <f>IF(J203="","",ROUND(J203*Settings!$B$8,2))</f>
        <v/>
      </c>
      <c r="L203" s="16"/>
      <c r="M203" s="8" t="str">
        <f t="shared" si="3"/>
        <v/>
      </c>
      <c r="N203" s="9"/>
    </row>
    <row r="204" spans="1:14" ht="15.75">
      <c r="A204" s="11"/>
      <c r="B204" s="9"/>
      <c r="C204" s="12" t="str">
        <f>IF(B204="","",IFERROR(INDEX('Cashier Roster'!$C$5:$C$64,MATCH(B204,'Cashier Roster'!$B$5:$B$64,0)),"Not on roster"))</f>
        <v/>
      </c>
      <c r="D204" s="12" t="str">
        <f>IF(B204="","",IFERROR(INDEX('Cashier Roster'!$D$5:$D$64,MATCH(B204,'Cashier Roster'!$B$5:$B$64,0)),""))</f>
        <v/>
      </c>
      <c r="E204" s="13"/>
      <c r="F204" s="14"/>
      <c r="G204" s="8" t="str">
        <f>IF(OR(B204="",E204=""),"",IF(E204="No","Missed",IF(F204="","",IF(F204&lt;=Settings!$B$7,"On time","Late"))))</f>
        <v/>
      </c>
      <c r="H204" s="15"/>
      <c r="I204" s="16"/>
      <c r="J204" s="16"/>
      <c r="K204" s="17" t="str">
        <f>IF(J204="","",ROUND(J204*Settings!$B$8,2))</f>
        <v/>
      </c>
      <c r="L204" s="16"/>
      <c r="M204" s="8" t="str">
        <f t="shared" si="3"/>
        <v/>
      </c>
      <c r="N204" s="9"/>
    </row>
    <row r="205" spans="1:14" ht="15.75">
      <c r="A205" s="11"/>
      <c r="B205" s="9"/>
      <c r="C205" s="12" t="str">
        <f>IF(B205="","",IFERROR(INDEX('Cashier Roster'!$C$5:$C$64,MATCH(B205,'Cashier Roster'!$B$5:$B$64,0)),"Not on roster"))</f>
        <v/>
      </c>
      <c r="D205" s="12" t="str">
        <f>IF(B205="","",IFERROR(INDEX('Cashier Roster'!$D$5:$D$64,MATCH(B205,'Cashier Roster'!$B$5:$B$64,0)),""))</f>
        <v/>
      </c>
      <c r="E205" s="13"/>
      <c r="F205" s="14"/>
      <c r="G205" s="8" t="str">
        <f>IF(OR(B205="",E205=""),"",IF(E205="No","Missed",IF(F205="","",IF(F205&lt;=Settings!$B$7,"On time","Late"))))</f>
        <v/>
      </c>
      <c r="H205" s="15"/>
      <c r="I205" s="16"/>
      <c r="J205" s="16"/>
      <c r="K205" s="17" t="str">
        <f>IF(J205="","",ROUND(J205*Settings!$B$8,2))</f>
        <v/>
      </c>
      <c r="L205" s="16"/>
      <c r="M205" s="8" t="str">
        <f t="shared" si="3"/>
        <v/>
      </c>
      <c r="N205" s="9"/>
    </row>
    <row r="206" spans="1:14" ht="15.75">
      <c r="A206" s="11"/>
      <c r="B206" s="9"/>
      <c r="C206" s="12" t="str">
        <f>IF(B206="","",IFERROR(INDEX('Cashier Roster'!$C$5:$C$64,MATCH(B206,'Cashier Roster'!$B$5:$B$64,0)),"Not on roster"))</f>
        <v/>
      </c>
      <c r="D206" s="12" t="str">
        <f>IF(B206="","",IFERROR(INDEX('Cashier Roster'!$D$5:$D$64,MATCH(B206,'Cashier Roster'!$B$5:$B$64,0)),""))</f>
        <v/>
      </c>
      <c r="E206" s="13"/>
      <c r="F206" s="14"/>
      <c r="G206" s="8" t="str">
        <f>IF(OR(B206="",E206=""),"",IF(E206="No","Missed",IF(F206="","",IF(F206&lt;=Settings!$B$7,"On time","Late"))))</f>
        <v/>
      </c>
      <c r="H206" s="15"/>
      <c r="I206" s="16"/>
      <c r="J206" s="16"/>
      <c r="K206" s="17" t="str">
        <f>IF(J206="","",ROUND(J206*Settings!$B$8,2))</f>
        <v/>
      </c>
      <c r="L206" s="16"/>
      <c r="M206" s="8" t="str">
        <f t="shared" si="3"/>
        <v/>
      </c>
      <c r="N206" s="9"/>
    </row>
    <row r="207" spans="1:14" ht="15.75">
      <c r="A207" s="11"/>
      <c r="B207" s="9"/>
      <c r="C207" s="12" t="str">
        <f>IF(B207="","",IFERROR(INDEX('Cashier Roster'!$C$5:$C$64,MATCH(B207,'Cashier Roster'!$B$5:$B$64,0)),"Not on roster"))</f>
        <v/>
      </c>
      <c r="D207" s="12" t="str">
        <f>IF(B207="","",IFERROR(INDEX('Cashier Roster'!$D$5:$D$64,MATCH(B207,'Cashier Roster'!$B$5:$B$64,0)),""))</f>
        <v/>
      </c>
      <c r="E207" s="13"/>
      <c r="F207" s="14"/>
      <c r="G207" s="8" t="str">
        <f>IF(OR(B207="",E207=""),"",IF(E207="No","Missed",IF(F207="","",IF(F207&lt;=Settings!$B$7,"On time","Late"))))</f>
        <v/>
      </c>
      <c r="H207" s="15"/>
      <c r="I207" s="16"/>
      <c r="J207" s="16"/>
      <c r="K207" s="17" t="str">
        <f>IF(J207="","",ROUND(J207*Settings!$B$8,2))</f>
        <v/>
      </c>
      <c r="L207" s="16"/>
      <c r="M207" s="8" t="str">
        <f t="shared" si="3"/>
        <v/>
      </c>
      <c r="N207" s="9"/>
    </row>
    <row r="208" spans="1:14" ht="15.75">
      <c r="A208" s="11"/>
      <c r="B208" s="9"/>
      <c r="C208" s="12" t="str">
        <f>IF(B208="","",IFERROR(INDEX('Cashier Roster'!$C$5:$C$64,MATCH(B208,'Cashier Roster'!$B$5:$B$64,0)),"Not on roster"))</f>
        <v/>
      </c>
      <c r="D208" s="12" t="str">
        <f>IF(B208="","",IFERROR(INDEX('Cashier Roster'!$D$5:$D$64,MATCH(B208,'Cashier Roster'!$B$5:$B$64,0)),""))</f>
        <v/>
      </c>
      <c r="E208" s="13"/>
      <c r="F208" s="14"/>
      <c r="G208" s="8" t="str">
        <f>IF(OR(B208="",E208=""),"",IF(E208="No","Missed",IF(F208="","",IF(F208&lt;=Settings!$B$7,"On time","Late"))))</f>
        <v/>
      </c>
      <c r="H208" s="15"/>
      <c r="I208" s="16"/>
      <c r="J208" s="16"/>
      <c r="K208" s="17" t="str">
        <f>IF(J208="","",ROUND(J208*Settings!$B$8,2))</f>
        <v/>
      </c>
      <c r="L208" s="16"/>
      <c r="M208" s="8" t="str">
        <f t="shared" si="3"/>
        <v/>
      </c>
      <c r="N208" s="9"/>
    </row>
    <row r="209" spans="1:14" ht="15.75">
      <c r="A209" s="11"/>
      <c r="B209" s="9"/>
      <c r="C209" s="12" t="str">
        <f>IF(B209="","",IFERROR(INDEX('Cashier Roster'!$C$5:$C$64,MATCH(B209,'Cashier Roster'!$B$5:$B$64,0)),"Not on roster"))</f>
        <v/>
      </c>
      <c r="D209" s="12" t="str">
        <f>IF(B209="","",IFERROR(INDEX('Cashier Roster'!$D$5:$D$64,MATCH(B209,'Cashier Roster'!$B$5:$B$64,0)),""))</f>
        <v/>
      </c>
      <c r="E209" s="13"/>
      <c r="F209" s="14"/>
      <c r="G209" s="8" t="str">
        <f>IF(OR(B209="",E209=""),"",IF(E209="No","Missed",IF(F209="","",IF(F209&lt;=Settings!$B$7,"On time","Late"))))</f>
        <v/>
      </c>
      <c r="H209" s="15"/>
      <c r="I209" s="16"/>
      <c r="J209" s="16"/>
      <c r="K209" s="17" t="str">
        <f>IF(J209="","",ROUND(J209*Settings!$B$8,2))</f>
        <v/>
      </c>
      <c r="L209" s="16"/>
      <c r="M209" s="8" t="str">
        <f t="shared" si="3"/>
        <v/>
      </c>
      <c r="N209" s="9"/>
    </row>
    <row r="210" spans="1:14" ht="15.75">
      <c r="A210" s="11"/>
      <c r="B210" s="9"/>
      <c r="C210" s="12" t="str">
        <f>IF(B210="","",IFERROR(INDEX('Cashier Roster'!$C$5:$C$64,MATCH(B210,'Cashier Roster'!$B$5:$B$64,0)),"Not on roster"))</f>
        <v/>
      </c>
      <c r="D210" s="12" t="str">
        <f>IF(B210="","",IFERROR(INDEX('Cashier Roster'!$D$5:$D$64,MATCH(B210,'Cashier Roster'!$B$5:$B$64,0)),""))</f>
        <v/>
      </c>
      <c r="E210" s="13"/>
      <c r="F210" s="14"/>
      <c r="G210" s="8" t="str">
        <f>IF(OR(B210="",E210=""),"",IF(E210="No","Missed",IF(F210="","",IF(F210&lt;=Settings!$B$7,"On time","Late"))))</f>
        <v/>
      </c>
      <c r="H210" s="15"/>
      <c r="I210" s="16"/>
      <c r="J210" s="16"/>
      <c r="K210" s="17" t="str">
        <f>IF(J210="","",ROUND(J210*Settings!$B$8,2))</f>
        <v/>
      </c>
      <c r="L210" s="16"/>
      <c r="M210" s="8" t="str">
        <f t="shared" si="3"/>
        <v/>
      </c>
      <c r="N210" s="9"/>
    </row>
    <row r="211" spans="1:14" ht="15.75">
      <c r="A211" s="11"/>
      <c r="B211" s="9"/>
      <c r="C211" s="12" t="str">
        <f>IF(B211="","",IFERROR(INDEX('Cashier Roster'!$C$5:$C$64,MATCH(B211,'Cashier Roster'!$B$5:$B$64,0)),"Not on roster"))</f>
        <v/>
      </c>
      <c r="D211" s="12" t="str">
        <f>IF(B211="","",IFERROR(INDEX('Cashier Roster'!$D$5:$D$64,MATCH(B211,'Cashier Roster'!$B$5:$B$64,0)),""))</f>
        <v/>
      </c>
      <c r="E211" s="13"/>
      <c r="F211" s="14"/>
      <c r="G211" s="8" t="str">
        <f>IF(OR(B211="",E211=""),"",IF(E211="No","Missed",IF(F211="","",IF(F211&lt;=Settings!$B$7,"On time","Late"))))</f>
        <v/>
      </c>
      <c r="H211" s="15"/>
      <c r="I211" s="16"/>
      <c r="J211" s="16"/>
      <c r="K211" s="17" t="str">
        <f>IF(J211="","",ROUND(J211*Settings!$B$8,2))</f>
        <v/>
      </c>
      <c r="L211" s="16"/>
      <c r="M211" s="8" t="str">
        <f t="shared" si="3"/>
        <v/>
      </c>
      <c r="N211" s="9"/>
    </row>
    <row r="212" spans="1:14" ht="15.75">
      <c r="A212" s="11"/>
      <c r="B212" s="9"/>
      <c r="C212" s="12" t="str">
        <f>IF(B212="","",IFERROR(INDEX('Cashier Roster'!$C$5:$C$64,MATCH(B212,'Cashier Roster'!$B$5:$B$64,0)),"Not on roster"))</f>
        <v/>
      </c>
      <c r="D212" s="12" t="str">
        <f>IF(B212="","",IFERROR(INDEX('Cashier Roster'!$D$5:$D$64,MATCH(B212,'Cashier Roster'!$B$5:$B$64,0)),""))</f>
        <v/>
      </c>
      <c r="E212" s="13"/>
      <c r="F212" s="14"/>
      <c r="G212" s="8" t="str">
        <f>IF(OR(B212="",E212=""),"",IF(E212="No","Missed",IF(F212="","",IF(F212&lt;=Settings!$B$7,"On time","Late"))))</f>
        <v/>
      </c>
      <c r="H212" s="15"/>
      <c r="I212" s="16"/>
      <c r="J212" s="16"/>
      <c r="K212" s="17" t="str">
        <f>IF(J212="","",ROUND(J212*Settings!$B$8,2))</f>
        <v/>
      </c>
      <c r="L212" s="16"/>
      <c r="M212" s="8" t="str">
        <f t="shared" si="3"/>
        <v/>
      </c>
      <c r="N212" s="9"/>
    </row>
    <row r="213" spans="1:14" ht="15.75">
      <c r="A213" s="11"/>
      <c r="B213" s="9"/>
      <c r="C213" s="12" t="str">
        <f>IF(B213="","",IFERROR(INDEX('Cashier Roster'!$C$5:$C$64,MATCH(B213,'Cashier Roster'!$B$5:$B$64,0)),"Not on roster"))</f>
        <v/>
      </c>
      <c r="D213" s="12" t="str">
        <f>IF(B213="","",IFERROR(INDEX('Cashier Roster'!$D$5:$D$64,MATCH(B213,'Cashier Roster'!$B$5:$B$64,0)),""))</f>
        <v/>
      </c>
      <c r="E213" s="13"/>
      <c r="F213" s="14"/>
      <c r="G213" s="8" t="str">
        <f>IF(OR(B213="",E213=""),"",IF(E213="No","Missed",IF(F213="","",IF(F213&lt;=Settings!$B$7,"On time","Late"))))</f>
        <v/>
      </c>
      <c r="H213" s="15"/>
      <c r="I213" s="16"/>
      <c r="J213" s="16"/>
      <c r="K213" s="17" t="str">
        <f>IF(J213="","",ROUND(J213*Settings!$B$8,2))</f>
        <v/>
      </c>
      <c r="L213" s="16"/>
      <c r="M213" s="8" t="str">
        <f t="shared" si="3"/>
        <v/>
      </c>
      <c r="N213" s="9"/>
    </row>
    <row r="214" spans="1:14" ht="15.75">
      <c r="A214" s="11"/>
      <c r="B214" s="9"/>
      <c r="C214" s="12" t="str">
        <f>IF(B214="","",IFERROR(INDEX('Cashier Roster'!$C$5:$C$64,MATCH(B214,'Cashier Roster'!$B$5:$B$64,0)),"Not on roster"))</f>
        <v/>
      </c>
      <c r="D214" s="12" t="str">
        <f>IF(B214="","",IFERROR(INDEX('Cashier Roster'!$D$5:$D$64,MATCH(B214,'Cashier Roster'!$B$5:$B$64,0)),""))</f>
        <v/>
      </c>
      <c r="E214" s="13"/>
      <c r="F214" s="14"/>
      <c r="G214" s="8" t="str">
        <f>IF(OR(B214="",E214=""),"",IF(E214="No","Missed",IF(F214="","",IF(F214&lt;=Settings!$B$7,"On time","Late"))))</f>
        <v/>
      </c>
      <c r="H214" s="15"/>
      <c r="I214" s="16"/>
      <c r="J214" s="16"/>
      <c r="K214" s="17" t="str">
        <f>IF(J214="","",ROUND(J214*Settings!$B$8,2))</f>
        <v/>
      </c>
      <c r="L214" s="16"/>
      <c r="M214" s="8" t="str">
        <f t="shared" si="3"/>
        <v/>
      </c>
      <c r="N214" s="9"/>
    </row>
    <row r="215" spans="1:14" ht="15.75">
      <c r="A215" s="11"/>
      <c r="B215" s="9"/>
      <c r="C215" s="12" t="str">
        <f>IF(B215="","",IFERROR(INDEX('Cashier Roster'!$C$5:$C$64,MATCH(B215,'Cashier Roster'!$B$5:$B$64,0)),"Not on roster"))</f>
        <v/>
      </c>
      <c r="D215" s="12" t="str">
        <f>IF(B215="","",IFERROR(INDEX('Cashier Roster'!$D$5:$D$64,MATCH(B215,'Cashier Roster'!$B$5:$B$64,0)),""))</f>
        <v/>
      </c>
      <c r="E215" s="13"/>
      <c r="F215" s="14"/>
      <c r="G215" s="8" t="str">
        <f>IF(OR(B215="",E215=""),"",IF(E215="No","Missed",IF(F215="","",IF(F215&lt;=Settings!$B$7,"On time","Late"))))</f>
        <v/>
      </c>
      <c r="H215" s="15"/>
      <c r="I215" s="16"/>
      <c r="J215" s="16"/>
      <c r="K215" s="17" t="str">
        <f>IF(J215="","",ROUND(J215*Settings!$B$8,2))</f>
        <v/>
      </c>
      <c r="L215" s="16"/>
      <c r="M215" s="8" t="str">
        <f t="shared" si="3"/>
        <v/>
      </c>
      <c r="N215" s="9"/>
    </row>
    <row r="216" spans="1:14" ht="15.75">
      <c r="A216" s="11"/>
      <c r="B216" s="9"/>
      <c r="C216" s="12" t="str">
        <f>IF(B216="","",IFERROR(INDEX('Cashier Roster'!$C$5:$C$64,MATCH(B216,'Cashier Roster'!$B$5:$B$64,0)),"Not on roster"))</f>
        <v/>
      </c>
      <c r="D216" s="12" t="str">
        <f>IF(B216="","",IFERROR(INDEX('Cashier Roster'!$D$5:$D$64,MATCH(B216,'Cashier Roster'!$B$5:$B$64,0)),""))</f>
        <v/>
      </c>
      <c r="E216" s="13"/>
      <c r="F216" s="14"/>
      <c r="G216" s="8" t="str">
        <f>IF(OR(B216="",E216=""),"",IF(E216="No","Missed",IF(F216="","",IF(F216&lt;=Settings!$B$7,"On time","Late"))))</f>
        <v/>
      </c>
      <c r="H216" s="15"/>
      <c r="I216" s="16"/>
      <c r="J216" s="16"/>
      <c r="K216" s="17" t="str">
        <f>IF(J216="","",ROUND(J216*Settings!$B$8,2))</f>
        <v/>
      </c>
      <c r="L216" s="16"/>
      <c r="M216" s="8" t="str">
        <f t="shared" si="3"/>
        <v/>
      </c>
      <c r="N216" s="9"/>
    </row>
    <row r="217" spans="1:14" ht="15.75">
      <c r="A217" s="11"/>
      <c r="B217" s="9"/>
      <c r="C217" s="12" t="str">
        <f>IF(B217="","",IFERROR(INDEX('Cashier Roster'!$C$5:$C$64,MATCH(B217,'Cashier Roster'!$B$5:$B$64,0)),"Not on roster"))</f>
        <v/>
      </c>
      <c r="D217" s="12" t="str">
        <f>IF(B217="","",IFERROR(INDEX('Cashier Roster'!$D$5:$D$64,MATCH(B217,'Cashier Roster'!$B$5:$B$64,0)),""))</f>
        <v/>
      </c>
      <c r="E217" s="13"/>
      <c r="F217" s="14"/>
      <c r="G217" s="8" t="str">
        <f>IF(OR(B217="",E217=""),"",IF(E217="No","Missed",IF(F217="","",IF(F217&lt;=Settings!$B$7,"On time","Late"))))</f>
        <v/>
      </c>
      <c r="H217" s="15"/>
      <c r="I217" s="16"/>
      <c r="J217" s="16"/>
      <c r="K217" s="17" t="str">
        <f>IF(J217="","",ROUND(J217*Settings!$B$8,2))</f>
        <v/>
      </c>
      <c r="L217" s="16"/>
      <c r="M217" s="8" t="str">
        <f t="shared" si="3"/>
        <v/>
      </c>
      <c r="N217" s="9"/>
    </row>
    <row r="218" spans="1:14" ht="15.75">
      <c r="A218" s="11"/>
      <c r="B218" s="9"/>
      <c r="C218" s="12" t="str">
        <f>IF(B218="","",IFERROR(INDEX('Cashier Roster'!$C$5:$C$64,MATCH(B218,'Cashier Roster'!$B$5:$B$64,0)),"Not on roster"))</f>
        <v/>
      </c>
      <c r="D218" s="12" t="str">
        <f>IF(B218="","",IFERROR(INDEX('Cashier Roster'!$D$5:$D$64,MATCH(B218,'Cashier Roster'!$B$5:$B$64,0)),""))</f>
        <v/>
      </c>
      <c r="E218" s="13"/>
      <c r="F218" s="14"/>
      <c r="G218" s="8" t="str">
        <f>IF(OR(B218="",E218=""),"",IF(E218="No","Missed",IF(F218="","",IF(F218&lt;=Settings!$B$7,"On time","Late"))))</f>
        <v/>
      </c>
      <c r="H218" s="15"/>
      <c r="I218" s="16"/>
      <c r="J218" s="16"/>
      <c r="K218" s="17" t="str">
        <f>IF(J218="","",ROUND(J218*Settings!$B$8,2))</f>
        <v/>
      </c>
      <c r="L218" s="16"/>
      <c r="M218" s="8" t="str">
        <f t="shared" si="3"/>
        <v/>
      </c>
      <c r="N218" s="9"/>
    </row>
    <row r="219" spans="1:14" ht="15.75">
      <c r="A219" s="11"/>
      <c r="B219" s="9"/>
      <c r="C219" s="12" t="str">
        <f>IF(B219="","",IFERROR(INDEX('Cashier Roster'!$C$5:$C$64,MATCH(B219,'Cashier Roster'!$B$5:$B$64,0)),"Not on roster"))</f>
        <v/>
      </c>
      <c r="D219" s="12" t="str">
        <f>IF(B219="","",IFERROR(INDEX('Cashier Roster'!$D$5:$D$64,MATCH(B219,'Cashier Roster'!$B$5:$B$64,0)),""))</f>
        <v/>
      </c>
      <c r="E219" s="13"/>
      <c r="F219" s="14"/>
      <c r="G219" s="8" t="str">
        <f>IF(OR(B219="",E219=""),"",IF(E219="No","Missed",IF(F219="","",IF(F219&lt;=Settings!$B$7,"On time","Late"))))</f>
        <v/>
      </c>
      <c r="H219" s="15"/>
      <c r="I219" s="16"/>
      <c r="J219" s="16"/>
      <c r="K219" s="17" t="str">
        <f>IF(J219="","",ROUND(J219*Settings!$B$8,2))</f>
        <v/>
      </c>
      <c r="L219" s="16"/>
      <c r="M219" s="8" t="str">
        <f t="shared" si="3"/>
        <v/>
      </c>
      <c r="N219" s="9"/>
    </row>
    <row r="220" spans="1:14" ht="15.75">
      <c r="A220" s="11"/>
      <c r="B220" s="9"/>
      <c r="C220" s="12" t="str">
        <f>IF(B220="","",IFERROR(INDEX('Cashier Roster'!$C$5:$C$64,MATCH(B220,'Cashier Roster'!$B$5:$B$64,0)),"Not on roster"))</f>
        <v/>
      </c>
      <c r="D220" s="12" t="str">
        <f>IF(B220="","",IFERROR(INDEX('Cashier Roster'!$D$5:$D$64,MATCH(B220,'Cashier Roster'!$B$5:$B$64,0)),""))</f>
        <v/>
      </c>
      <c r="E220" s="13"/>
      <c r="F220" s="14"/>
      <c r="G220" s="8" t="str">
        <f>IF(OR(B220="",E220=""),"",IF(E220="No","Missed",IF(F220="","",IF(F220&lt;=Settings!$B$7,"On time","Late"))))</f>
        <v/>
      </c>
      <c r="H220" s="15"/>
      <c r="I220" s="16"/>
      <c r="J220" s="16"/>
      <c r="K220" s="17" t="str">
        <f>IF(J220="","",ROUND(J220*Settings!$B$8,2))</f>
        <v/>
      </c>
      <c r="L220" s="16"/>
      <c r="M220" s="8" t="str">
        <f t="shared" si="3"/>
        <v/>
      </c>
      <c r="N220" s="9"/>
    </row>
    <row r="221" spans="1:14" ht="15.75">
      <c r="A221" s="11"/>
      <c r="B221" s="9"/>
      <c r="C221" s="12" t="str">
        <f>IF(B221="","",IFERROR(INDEX('Cashier Roster'!$C$5:$C$64,MATCH(B221,'Cashier Roster'!$B$5:$B$64,0)),"Not on roster"))</f>
        <v/>
      </c>
      <c r="D221" s="12" t="str">
        <f>IF(B221="","",IFERROR(INDEX('Cashier Roster'!$D$5:$D$64,MATCH(B221,'Cashier Roster'!$B$5:$B$64,0)),""))</f>
        <v/>
      </c>
      <c r="E221" s="13"/>
      <c r="F221" s="14"/>
      <c r="G221" s="8" t="str">
        <f>IF(OR(B221="",E221=""),"",IF(E221="No","Missed",IF(F221="","",IF(F221&lt;=Settings!$B$7,"On time","Late"))))</f>
        <v/>
      </c>
      <c r="H221" s="15"/>
      <c r="I221" s="16"/>
      <c r="J221" s="16"/>
      <c r="K221" s="17" t="str">
        <f>IF(J221="","",ROUND(J221*Settings!$B$8,2))</f>
        <v/>
      </c>
      <c r="L221" s="16"/>
      <c r="M221" s="8" t="str">
        <f t="shared" si="3"/>
        <v/>
      </c>
      <c r="N221" s="9"/>
    </row>
    <row r="222" spans="1:14" ht="15.75">
      <c r="A222" s="11"/>
      <c r="B222" s="9"/>
      <c r="C222" s="12" t="str">
        <f>IF(B222="","",IFERROR(INDEX('Cashier Roster'!$C$5:$C$64,MATCH(B222,'Cashier Roster'!$B$5:$B$64,0)),"Not on roster"))</f>
        <v/>
      </c>
      <c r="D222" s="12" t="str">
        <f>IF(B222="","",IFERROR(INDEX('Cashier Roster'!$D$5:$D$64,MATCH(B222,'Cashier Roster'!$B$5:$B$64,0)),""))</f>
        <v/>
      </c>
      <c r="E222" s="13"/>
      <c r="F222" s="14"/>
      <c r="G222" s="8" t="str">
        <f>IF(OR(B222="",E222=""),"",IF(E222="No","Missed",IF(F222="","",IF(F222&lt;=Settings!$B$7,"On time","Late"))))</f>
        <v/>
      </c>
      <c r="H222" s="15"/>
      <c r="I222" s="16"/>
      <c r="J222" s="16"/>
      <c r="K222" s="17" t="str">
        <f>IF(J222="","",ROUND(J222*Settings!$B$8,2))</f>
        <v/>
      </c>
      <c r="L222" s="16"/>
      <c r="M222" s="8" t="str">
        <f t="shared" si="3"/>
        <v/>
      </c>
      <c r="N222" s="9"/>
    </row>
    <row r="223" spans="1:14" ht="15.75">
      <c r="A223" s="11"/>
      <c r="B223" s="9"/>
      <c r="C223" s="12" t="str">
        <f>IF(B223="","",IFERROR(INDEX('Cashier Roster'!$C$5:$C$64,MATCH(B223,'Cashier Roster'!$B$5:$B$64,0)),"Not on roster"))</f>
        <v/>
      </c>
      <c r="D223" s="12" t="str">
        <f>IF(B223="","",IFERROR(INDEX('Cashier Roster'!$D$5:$D$64,MATCH(B223,'Cashier Roster'!$B$5:$B$64,0)),""))</f>
        <v/>
      </c>
      <c r="E223" s="13"/>
      <c r="F223" s="14"/>
      <c r="G223" s="8" t="str">
        <f>IF(OR(B223="",E223=""),"",IF(E223="No","Missed",IF(F223="","",IF(F223&lt;=Settings!$B$7,"On time","Late"))))</f>
        <v/>
      </c>
      <c r="H223" s="15"/>
      <c r="I223" s="16"/>
      <c r="J223" s="16"/>
      <c r="K223" s="17" t="str">
        <f>IF(J223="","",ROUND(J223*Settings!$B$8,2))</f>
        <v/>
      </c>
      <c r="L223" s="16"/>
      <c r="M223" s="8" t="str">
        <f t="shared" si="3"/>
        <v/>
      </c>
      <c r="N223" s="9"/>
    </row>
    <row r="224" spans="1:14" ht="15.75">
      <c r="A224" s="11"/>
      <c r="B224" s="9"/>
      <c r="C224" s="12" t="str">
        <f>IF(B224="","",IFERROR(INDEX('Cashier Roster'!$C$5:$C$64,MATCH(B224,'Cashier Roster'!$B$5:$B$64,0)),"Not on roster"))</f>
        <v/>
      </c>
      <c r="D224" s="12" t="str">
        <f>IF(B224="","",IFERROR(INDEX('Cashier Roster'!$D$5:$D$64,MATCH(B224,'Cashier Roster'!$B$5:$B$64,0)),""))</f>
        <v/>
      </c>
      <c r="E224" s="13"/>
      <c r="F224" s="14"/>
      <c r="G224" s="8" t="str">
        <f>IF(OR(B224="",E224=""),"",IF(E224="No","Missed",IF(F224="","",IF(F224&lt;=Settings!$B$7,"On time","Late"))))</f>
        <v/>
      </c>
      <c r="H224" s="15"/>
      <c r="I224" s="16"/>
      <c r="J224" s="16"/>
      <c r="K224" s="17" t="str">
        <f>IF(J224="","",ROUND(J224*Settings!$B$8,2))</f>
        <v/>
      </c>
      <c r="L224" s="16"/>
      <c r="M224" s="8" t="str">
        <f t="shared" si="3"/>
        <v/>
      </c>
      <c r="N224" s="9"/>
    </row>
    <row r="225" spans="1:14" ht="15.75">
      <c r="A225" s="11"/>
      <c r="B225" s="9"/>
      <c r="C225" s="12" t="str">
        <f>IF(B225="","",IFERROR(INDEX('Cashier Roster'!$C$5:$C$64,MATCH(B225,'Cashier Roster'!$B$5:$B$64,0)),"Not on roster"))</f>
        <v/>
      </c>
      <c r="D225" s="12" t="str">
        <f>IF(B225="","",IFERROR(INDEX('Cashier Roster'!$D$5:$D$64,MATCH(B225,'Cashier Roster'!$B$5:$B$64,0)),""))</f>
        <v/>
      </c>
      <c r="E225" s="13"/>
      <c r="F225" s="14"/>
      <c r="G225" s="8" t="str">
        <f>IF(OR(B225="",E225=""),"",IF(E225="No","Missed",IF(F225="","",IF(F225&lt;=Settings!$B$7,"On time","Late"))))</f>
        <v/>
      </c>
      <c r="H225" s="15"/>
      <c r="I225" s="16"/>
      <c r="J225" s="16"/>
      <c r="K225" s="17" t="str">
        <f>IF(J225="","",ROUND(J225*Settings!$B$8,2))</f>
        <v/>
      </c>
      <c r="L225" s="16"/>
      <c r="M225" s="8" t="str">
        <f t="shared" si="3"/>
        <v/>
      </c>
      <c r="N225" s="9"/>
    </row>
    <row r="226" spans="1:14" ht="15.75">
      <c r="A226" s="11"/>
      <c r="B226" s="9"/>
      <c r="C226" s="12" t="str">
        <f>IF(B226="","",IFERROR(INDEX('Cashier Roster'!$C$5:$C$64,MATCH(B226,'Cashier Roster'!$B$5:$B$64,0)),"Not on roster"))</f>
        <v/>
      </c>
      <c r="D226" s="12" t="str">
        <f>IF(B226="","",IFERROR(INDEX('Cashier Roster'!$D$5:$D$64,MATCH(B226,'Cashier Roster'!$B$5:$B$64,0)),""))</f>
        <v/>
      </c>
      <c r="E226" s="13"/>
      <c r="F226" s="14"/>
      <c r="G226" s="8" t="str">
        <f>IF(OR(B226="",E226=""),"",IF(E226="No","Missed",IF(F226="","",IF(F226&lt;=Settings!$B$7,"On time","Late"))))</f>
        <v/>
      </c>
      <c r="H226" s="15"/>
      <c r="I226" s="16"/>
      <c r="J226" s="16"/>
      <c r="K226" s="17" t="str">
        <f>IF(J226="","",ROUND(J226*Settings!$B$8,2))</f>
        <v/>
      </c>
      <c r="L226" s="16"/>
      <c r="M226" s="8" t="str">
        <f t="shared" si="3"/>
        <v/>
      </c>
      <c r="N226" s="9"/>
    </row>
    <row r="227" spans="1:14" ht="15.75">
      <c r="A227" s="11"/>
      <c r="B227" s="9"/>
      <c r="C227" s="12" t="str">
        <f>IF(B227="","",IFERROR(INDEX('Cashier Roster'!$C$5:$C$64,MATCH(B227,'Cashier Roster'!$B$5:$B$64,0)),"Not on roster"))</f>
        <v/>
      </c>
      <c r="D227" s="12" t="str">
        <f>IF(B227="","",IFERROR(INDEX('Cashier Roster'!$D$5:$D$64,MATCH(B227,'Cashier Roster'!$B$5:$B$64,0)),""))</f>
        <v/>
      </c>
      <c r="E227" s="13"/>
      <c r="F227" s="14"/>
      <c r="G227" s="8" t="str">
        <f>IF(OR(B227="",E227=""),"",IF(E227="No","Missed",IF(F227="","",IF(F227&lt;=Settings!$B$7,"On time","Late"))))</f>
        <v/>
      </c>
      <c r="H227" s="15"/>
      <c r="I227" s="16"/>
      <c r="J227" s="16"/>
      <c r="K227" s="17" t="str">
        <f>IF(J227="","",ROUND(J227*Settings!$B$8,2))</f>
        <v/>
      </c>
      <c r="L227" s="16"/>
      <c r="M227" s="8" t="str">
        <f t="shared" si="3"/>
        <v/>
      </c>
      <c r="N227" s="9"/>
    </row>
    <row r="228" spans="1:14" ht="15.75">
      <c r="A228" s="11"/>
      <c r="B228" s="9"/>
      <c r="C228" s="12" t="str">
        <f>IF(B228="","",IFERROR(INDEX('Cashier Roster'!$C$5:$C$64,MATCH(B228,'Cashier Roster'!$B$5:$B$64,0)),"Not on roster"))</f>
        <v/>
      </c>
      <c r="D228" s="12" t="str">
        <f>IF(B228="","",IFERROR(INDEX('Cashier Roster'!$D$5:$D$64,MATCH(B228,'Cashier Roster'!$B$5:$B$64,0)),""))</f>
        <v/>
      </c>
      <c r="E228" s="13"/>
      <c r="F228" s="14"/>
      <c r="G228" s="8" t="str">
        <f>IF(OR(B228="",E228=""),"",IF(E228="No","Missed",IF(F228="","",IF(F228&lt;=Settings!$B$7,"On time","Late"))))</f>
        <v/>
      </c>
      <c r="H228" s="15"/>
      <c r="I228" s="16"/>
      <c r="J228" s="16"/>
      <c r="K228" s="17" t="str">
        <f>IF(J228="","",ROUND(J228*Settings!$B$8,2))</f>
        <v/>
      </c>
      <c r="L228" s="16"/>
      <c r="M228" s="8" t="str">
        <f t="shared" si="3"/>
        <v/>
      </c>
      <c r="N228" s="9"/>
    </row>
    <row r="229" spans="1:14" ht="15.75">
      <c r="A229" s="11"/>
      <c r="B229" s="9"/>
      <c r="C229" s="12" t="str">
        <f>IF(B229="","",IFERROR(INDEX('Cashier Roster'!$C$5:$C$64,MATCH(B229,'Cashier Roster'!$B$5:$B$64,0)),"Not on roster"))</f>
        <v/>
      </c>
      <c r="D229" s="12" t="str">
        <f>IF(B229="","",IFERROR(INDEX('Cashier Roster'!$D$5:$D$64,MATCH(B229,'Cashier Roster'!$B$5:$B$64,0)),""))</f>
        <v/>
      </c>
      <c r="E229" s="13"/>
      <c r="F229" s="14"/>
      <c r="G229" s="8" t="str">
        <f>IF(OR(B229="",E229=""),"",IF(E229="No","Missed",IF(F229="","",IF(F229&lt;=Settings!$B$7,"On time","Late"))))</f>
        <v/>
      </c>
      <c r="H229" s="15"/>
      <c r="I229" s="16"/>
      <c r="J229" s="16"/>
      <c r="K229" s="17" t="str">
        <f>IF(J229="","",ROUND(J229*Settings!$B$8,2))</f>
        <v/>
      </c>
      <c r="L229" s="16"/>
      <c r="M229" s="8" t="str">
        <f t="shared" si="3"/>
        <v/>
      </c>
      <c r="N229" s="9"/>
    </row>
    <row r="230" spans="1:14" ht="15.75">
      <c r="A230" s="11"/>
      <c r="B230" s="9"/>
      <c r="C230" s="12" t="str">
        <f>IF(B230="","",IFERROR(INDEX('Cashier Roster'!$C$5:$C$64,MATCH(B230,'Cashier Roster'!$B$5:$B$64,0)),"Not on roster"))</f>
        <v/>
      </c>
      <c r="D230" s="12" t="str">
        <f>IF(B230="","",IFERROR(INDEX('Cashier Roster'!$D$5:$D$64,MATCH(B230,'Cashier Roster'!$B$5:$B$64,0)),""))</f>
        <v/>
      </c>
      <c r="E230" s="13"/>
      <c r="F230" s="14"/>
      <c r="G230" s="8" t="str">
        <f>IF(OR(B230="",E230=""),"",IF(E230="No","Missed",IF(F230="","",IF(F230&lt;=Settings!$B$7,"On time","Late"))))</f>
        <v/>
      </c>
      <c r="H230" s="15"/>
      <c r="I230" s="16"/>
      <c r="J230" s="16"/>
      <c r="K230" s="17" t="str">
        <f>IF(J230="","",ROUND(J230*Settings!$B$8,2))</f>
        <v/>
      </c>
      <c r="L230" s="16"/>
      <c r="M230" s="8" t="str">
        <f t="shared" si="3"/>
        <v/>
      </c>
      <c r="N230" s="9"/>
    </row>
    <row r="231" spans="1:14" ht="15.75">
      <c r="A231" s="11"/>
      <c r="B231" s="9"/>
      <c r="C231" s="12" t="str">
        <f>IF(B231="","",IFERROR(INDEX('Cashier Roster'!$C$5:$C$64,MATCH(B231,'Cashier Roster'!$B$5:$B$64,0)),"Not on roster"))</f>
        <v/>
      </c>
      <c r="D231" s="12" t="str">
        <f>IF(B231="","",IFERROR(INDEX('Cashier Roster'!$D$5:$D$64,MATCH(B231,'Cashier Roster'!$B$5:$B$64,0)),""))</f>
        <v/>
      </c>
      <c r="E231" s="13"/>
      <c r="F231" s="14"/>
      <c r="G231" s="8" t="str">
        <f>IF(OR(B231="",E231=""),"",IF(E231="No","Missed",IF(F231="","",IF(F231&lt;=Settings!$B$7,"On time","Late"))))</f>
        <v/>
      </c>
      <c r="H231" s="15"/>
      <c r="I231" s="16"/>
      <c r="J231" s="16"/>
      <c r="K231" s="17" t="str">
        <f>IF(J231="","",ROUND(J231*Settings!$B$8,2))</f>
        <v/>
      </c>
      <c r="L231" s="16"/>
      <c r="M231" s="8" t="str">
        <f t="shared" si="3"/>
        <v/>
      </c>
      <c r="N231" s="9"/>
    </row>
    <row r="232" spans="1:14" ht="15.75">
      <c r="A232" s="11"/>
      <c r="B232" s="9"/>
      <c r="C232" s="12" t="str">
        <f>IF(B232="","",IFERROR(INDEX('Cashier Roster'!$C$5:$C$64,MATCH(B232,'Cashier Roster'!$B$5:$B$64,0)),"Not on roster"))</f>
        <v/>
      </c>
      <c r="D232" s="12" t="str">
        <f>IF(B232="","",IFERROR(INDEX('Cashier Roster'!$D$5:$D$64,MATCH(B232,'Cashier Roster'!$B$5:$B$64,0)),""))</f>
        <v/>
      </c>
      <c r="E232" s="13"/>
      <c r="F232" s="14"/>
      <c r="G232" s="8" t="str">
        <f>IF(OR(B232="",E232=""),"",IF(E232="No","Missed",IF(F232="","",IF(F232&lt;=Settings!$B$7,"On time","Late"))))</f>
        <v/>
      </c>
      <c r="H232" s="15"/>
      <c r="I232" s="16"/>
      <c r="J232" s="16"/>
      <c r="K232" s="17" t="str">
        <f>IF(J232="","",ROUND(J232*Settings!$B$8,2))</f>
        <v/>
      </c>
      <c r="L232" s="16"/>
      <c r="M232" s="8" t="str">
        <f t="shared" si="3"/>
        <v/>
      </c>
      <c r="N232" s="9"/>
    </row>
    <row r="233" spans="1:14" ht="15.75">
      <c r="A233" s="11"/>
      <c r="B233" s="9"/>
      <c r="C233" s="12" t="str">
        <f>IF(B233="","",IFERROR(INDEX('Cashier Roster'!$C$5:$C$64,MATCH(B233,'Cashier Roster'!$B$5:$B$64,0)),"Not on roster"))</f>
        <v/>
      </c>
      <c r="D233" s="12" t="str">
        <f>IF(B233="","",IFERROR(INDEX('Cashier Roster'!$D$5:$D$64,MATCH(B233,'Cashier Roster'!$B$5:$B$64,0)),""))</f>
        <v/>
      </c>
      <c r="E233" s="13"/>
      <c r="F233" s="14"/>
      <c r="G233" s="8" t="str">
        <f>IF(OR(B233="",E233=""),"",IF(E233="No","Missed",IF(F233="","",IF(F233&lt;=Settings!$B$7,"On time","Late"))))</f>
        <v/>
      </c>
      <c r="H233" s="15"/>
      <c r="I233" s="16"/>
      <c r="J233" s="16"/>
      <c r="K233" s="17" t="str">
        <f>IF(J233="","",ROUND(J233*Settings!$B$8,2))</f>
        <v/>
      </c>
      <c r="L233" s="16"/>
      <c r="M233" s="8" t="str">
        <f t="shared" si="3"/>
        <v/>
      </c>
      <c r="N233" s="9"/>
    </row>
    <row r="234" spans="1:14" ht="15.75">
      <c r="A234" s="11"/>
      <c r="B234" s="9"/>
      <c r="C234" s="12" t="str">
        <f>IF(B234="","",IFERROR(INDEX('Cashier Roster'!$C$5:$C$64,MATCH(B234,'Cashier Roster'!$B$5:$B$64,0)),"Not on roster"))</f>
        <v/>
      </c>
      <c r="D234" s="12" t="str">
        <f>IF(B234="","",IFERROR(INDEX('Cashier Roster'!$D$5:$D$64,MATCH(B234,'Cashier Roster'!$B$5:$B$64,0)),""))</f>
        <v/>
      </c>
      <c r="E234" s="13"/>
      <c r="F234" s="14"/>
      <c r="G234" s="8" t="str">
        <f>IF(OR(B234="",E234=""),"",IF(E234="No","Missed",IF(F234="","",IF(F234&lt;=Settings!$B$7,"On time","Late"))))</f>
        <v/>
      </c>
      <c r="H234" s="15"/>
      <c r="I234" s="16"/>
      <c r="J234" s="16"/>
      <c r="K234" s="17" t="str">
        <f>IF(J234="","",ROUND(J234*Settings!$B$8,2))</f>
        <v/>
      </c>
      <c r="L234" s="16"/>
      <c r="M234" s="8" t="str">
        <f t="shared" si="3"/>
        <v/>
      </c>
      <c r="N234" s="9"/>
    </row>
    <row r="235" spans="1:14" ht="15.75">
      <c r="A235" s="11"/>
      <c r="B235" s="9"/>
      <c r="C235" s="12" t="str">
        <f>IF(B235="","",IFERROR(INDEX('Cashier Roster'!$C$5:$C$64,MATCH(B235,'Cashier Roster'!$B$5:$B$64,0)),"Not on roster"))</f>
        <v/>
      </c>
      <c r="D235" s="12" t="str">
        <f>IF(B235="","",IFERROR(INDEX('Cashier Roster'!$D$5:$D$64,MATCH(B235,'Cashier Roster'!$B$5:$B$64,0)),""))</f>
        <v/>
      </c>
      <c r="E235" s="13"/>
      <c r="F235" s="14"/>
      <c r="G235" s="8" t="str">
        <f>IF(OR(B235="",E235=""),"",IF(E235="No","Missed",IF(F235="","",IF(F235&lt;=Settings!$B$7,"On time","Late"))))</f>
        <v/>
      </c>
      <c r="H235" s="15"/>
      <c r="I235" s="16"/>
      <c r="J235" s="16"/>
      <c r="K235" s="17" t="str">
        <f>IF(J235="","",ROUND(J235*Settings!$B$8,2))</f>
        <v/>
      </c>
      <c r="L235" s="16"/>
      <c r="M235" s="8" t="str">
        <f t="shared" si="3"/>
        <v/>
      </c>
      <c r="N235" s="9"/>
    </row>
    <row r="236" spans="1:14" ht="15.75">
      <c r="A236" s="11"/>
      <c r="B236" s="9"/>
      <c r="C236" s="12" t="str">
        <f>IF(B236="","",IFERROR(INDEX('Cashier Roster'!$C$5:$C$64,MATCH(B236,'Cashier Roster'!$B$5:$B$64,0)),"Not on roster"))</f>
        <v/>
      </c>
      <c r="D236" s="12" t="str">
        <f>IF(B236="","",IFERROR(INDEX('Cashier Roster'!$D$5:$D$64,MATCH(B236,'Cashier Roster'!$B$5:$B$64,0)),""))</f>
        <v/>
      </c>
      <c r="E236" s="13"/>
      <c r="F236" s="14"/>
      <c r="G236" s="8" t="str">
        <f>IF(OR(B236="",E236=""),"",IF(E236="No","Missed",IF(F236="","",IF(F236&lt;=Settings!$B$7,"On time","Late"))))</f>
        <v/>
      </c>
      <c r="H236" s="15"/>
      <c r="I236" s="16"/>
      <c r="J236" s="16"/>
      <c r="K236" s="17" t="str">
        <f>IF(J236="","",ROUND(J236*Settings!$B$8,2))</f>
        <v/>
      </c>
      <c r="L236" s="16"/>
      <c r="M236" s="8" t="str">
        <f t="shared" si="3"/>
        <v/>
      </c>
      <c r="N236" s="9"/>
    </row>
    <row r="237" spans="1:14" ht="15.75">
      <c r="A237" s="11"/>
      <c r="B237" s="9"/>
      <c r="C237" s="12" t="str">
        <f>IF(B237="","",IFERROR(INDEX('Cashier Roster'!$C$5:$C$64,MATCH(B237,'Cashier Roster'!$B$5:$B$64,0)),"Not on roster"))</f>
        <v/>
      </c>
      <c r="D237" s="12" t="str">
        <f>IF(B237="","",IFERROR(INDEX('Cashier Roster'!$D$5:$D$64,MATCH(B237,'Cashier Roster'!$B$5:$B$64,0)),""))</f>
        <v/>
      </c>
      <c r="E237" s="13"/>
      <c r="F237" s="14"/>
      <c r="G237" s="8" t="str">
        <f>IF(OR(B237="",E237=""),"",IF(E237="No","Missed",IF(F237="","",IF(F237&lt;=Settings!$B$7,"On time","Late"))))</f>
        <v/>
      </c>
      <c r="H237" s="15"/>
      <c r="I237" s="16"/>
      <c r="J237" s="16"/>
      <c r="K237" s="17" t="str">
        <f>IF(J237="","",ROUND(J237*Settings!$B$8,2))</f>
        <v/>
      </c>
      <c r="L237" s="16"/>
      <c r="M237" s="8" t="str">
        <f t="shared" si="3"/>
        <v/>
      </c>
      <c r="N237" s="9"/>
    </row>
    <row r="238" spans="1:14" ht="15.75">
      <c r="A238" s="11"/>
      <c r="B238" s="9"/>
      <c r="C238" s="12" t="str">
        <f>IF(B238="","",IFERROR(INDEX('Cashier Roster'!$C$5:$C$64,MATCH(B238,'Cashier Roster'!$B$5:$B$64,0)),"Not on roster"))</f>
        <v/>
      </c>
      <c r="D238" s="12" t="str">
        <f>IF(B238="","",IFERROR(INDEX('Cashier Roster'!$D$5:$D$64,MATCH(B238,'Cashier Roster'!$B$5:$B$64,0)),""))</f>
        <v/>
      </c>
      <c r="E238" s="13"/>
      <c r="F238" s="14"/>
      <c r="G238" s="8" t="str">
        <f>IF(OR(B238="",E238=""),"",IF(E238="No","Missed",IF(F238="","",IF(F238&lt;=Settings!$B$7,"On time","Late"))))</f>
        <v/>
      </c>
      <c r="H238" s="15"/>
      <c r="I238" s="16"/>
      <c r="J238" s="16"/>
      <c r="K238" s="17" t="str">
        <f>IF(J238="","",ROUND(J238*Settings!$B$8,2))</f>
        <v/>
      </c>
      <c r="L238" s="16"/>
      <c r="M238" s="8" t="str">
        <f t="shared" si="3"/>
        <v/>
      </c>
      <c r="N238" s="9"/>
    </row>
    <row r="239" spans="1:14" ht="15.75">
      <c r="A239" s="11"/>
      <c r="B239" s="9"/>
      <c r="C239" s="12" t="str">
        <f>IF(B239="","",IFERROR(INDEX('Cashier Roster'!$C$5:$C$64,MATCH(B239,'Cashier Roster'!$B$5:$B$64,0)),"Not on roster"))</f>
        <v/>
      </c>
      <c r="D239" s="12" t="str">
        <f>IF(B239="","",IFERROR(INDEX('Cashier Roster'!$D$5:$D$64,MATCH(B239,'Cashier Roster'!$B$5:$B$64,0)),""))</f>
        <v/>
      </c>
      <c r="E239" s="13"/>
      <c r="F239" s="14"/>
      <c r="G239" s="8" t="str">
        <f>IF(OR(B239="",E239=""),"",IF(E239="No","Missed",IF(F239="","",IF(F239&lt;=Settings!$B$7,"On time","Late"))))</f>
        <v/>
      </c>
      <c r="H239" s="15"/>
      <c r="I239" s="16"/>
      <c r="J239" s="16"/>
      <c r="K239" s="17" t="str">
        <f>IF(J239="","",ROUND(J239*Settings!$B$8,2))</f>
        <v/>
      </c>
      <c r="L239" s="16"/>
      <c r="M239" s="8" t="str">
        <f t="shared" si="3"/>
        <v/>
      </c>
      <c r="N239" s="9"/>
    </row>
    <row r="240" spans="1:14" ht="15.75">
      <c r="A240" s="11"/>
      <c r="B240" s="9"/>
      <c r="C240" s="12" t="str">
        <f>IF(B240="","",IFERROR(INDEX('Cashier Roster'!$C$5:$C$64,MATCH(B240,'Cashier Roster'!$B$5:$B$64,0)),"Not on roster"))</f>
        <v/>
      </c>
      <c r="D240" s="12" t="str">
        <f>IF(B240="","",IFERROR(INDEX('Cashier Roster'!$D$5:$D$64,MATCH(B240,'Cashier Roster'!$B$5:$B$64,0)),""))</f>
        <v/>
      </c>
      <c r="E240" s="13"/>
      <c r="F240" s="14"/>
      <c r="G240" s="8" t="str">
        <f>IF(OR(B240="",E240=""),"",IF(E240="No","Missed",IF(F240="","",IF(F240&lt;=Settings!$B$7,"On time","Late"))))</f>
        <v/>
      </c>
      <c r="H240" s="15"/>
      <c r="I240" s="16"/>
      <c r="J240" s="16"/>
      <c r="K240" s="17" t="str">
        <f>IF(J240="","",ROUND(J240*Settings!$B$8,2))</f>
        <v/>
      </c>
      <c r="L240" s="16"/>
      <c r="M240" s="8" t="str">
        <f t="shared" si="3"/>
        <v/>
      </c>
      <c r="N240" s="9"/>
    </row>
    <row r="241" spans="1:14" ht="15.75">
      <c r="A241" s="11"/>
      <c r="B241" s="9"/>
      <c r="C241" s="12" t="str">
        <f>IF(B241="","",IFERROR(INDEX('Cashier Roster'!$C$5:$C$64,MATCH(B241,'Cashier Roster'!$B$5:$B$64,0)),"Not on roster"))</f>
        <v/>
      </c>
      <c r="D241" s="12" t="str">
        <f>IF(B241="","",IFERROR(INDEX('Cashier Roster'!$D$5:$D$64,MATCH(B241,'Cashier Roster'!$B$5:$B$64,0)),""))</f>
        <v/>
      </c>
      <c r="E241" s="13"/>
      <c r="F241" s="14"/>
      <c r="G241" s="8" t="str">
        <f>IF(OR(B241="",E241=""),"",IF(E241="No","Missed",IF(F241="","",IF(F241&lt;=Settings!$B$7,"On time","Late"))))</f>
        <v/>
      </c>
      <c r="H241" s="15"/>
      <c r="I241" s="16"/>
      <c r="J241" s="16"/>
      <c r="K241" s="17" t="str">
        <f>IF(J241="","",ROUND(J241*Settings!$B$8,2))</f>
        <v/>
      </c>
      <c r="L241" s="16"/>
      <c r="M241" s="8" t="str">
        <f t="shared" si="3"/>
        <v/>
      </c>
      <c r="N241" s="9"/>
    </row>
    <row r="242" spans="1:14" ht="15.75">
      <c r="A242" s="11"/>
      <c r="B242" s="9"/>
      <c r="C242" s="12" t="str">
        <f>IF(B242="","",IFERROR(INDEX('Cashier Roster'!$C$5:$C$64,MATCH(B242,'Cashier Roster'!$B$5:$B$64,0)),"Not on roster"))</f>
        <v/>
      </c>
      <c r="D242" s="12" t="str">
        <f>IF(B242="","",IFERROR(INDEX('Cashier Roster'!$D$5:$D$64,MATCH(B242,'Cashier Roster'!$B$5:$B$64,0)),""))</f>
        <v/>
      </c>
      <c r="E242" s="13"/>
      <c r="F242" s="14"/>
      <c r="G242" s="8" t="str">
        <f>IF(OR(B242="",E242=""),"",IF(E242="No","Missed",IF(F242="","",IF(F242&lt;=Settings!$B$7,"On time","Late"))))</f>
        <v/>
      </c>
      <c r="H242" s="15"/>
      <c r="I242" s="16"/>
      <c r="J242" s="16"/>
      <c r="K242" s="17" t="str">
        <f>IF(J242="","",ROUND(J242*Settings!$B$8,2))</f>
        <v/>
      </c>
      <c r="L242" s="16"/>
      <c r="M242" s="8" t="str">
        <f t="shared" si="3"/>
        <v/>
      </c>
      <c r="N242" s="9"/>
    </row>
    <row r="243" spans="1:14" ht="15.75">
      <c r="A243" s="11"/>
      <c r="B243" s="9"/>
      <c r="C243" s="12" t="str">
        <f>IF(B243="","",IFERROR(INDEX('Cashier Roster'!$C$5:$C$64,MATCH(B243,'Cashier Roster'!$B$5:$B$64,0)),"Not on roster"))</f>
        <v/>
      </c>
      <c r="D243" s="12" t="str">
        <f>IF(B243="","",IFERROR(INDEX('Cashier Roster'!$D$5:$D$64,MATCH(B243,'Cashier Roster'!$B$5:$B$64,0)),""))</f>
        <v/>
      </c>
      <c r="E243" s="13"/>
      <c r="F243" s="14"/>
      <c r="G243" s="8" t="str">
        <f>IF(OR(B243="",E243=""),"",IF(E243="No","Missed",IF(F243="","",IF(F243&lt;=Settings!$B$7,"On time","Late"))))</f>
        <v/>
      </c>
      <c r="H243" s="15"/>
      <c r="I243" s="16"/>
      <c r="J243" s="16"/>
      <c r="K243" s="17" t="str">
        <f>IF(J243="","",ROUND(J243*Settings!$B$8,2))</f>
        <v/>
      </c>
      <c r="L243" s="16"/>
      <c r="M243" s="8" t="str">
        <f t="shared" si="3"/>
        <v/>
      </c>
      <c r="N243" s="9"/>
    </row>
    <row r="244" spans="1:14" ht="15.75">
      <c r="A244" s="11"/>
      <c r="B244" s="9"/>
      <c r="C244" s="12" t="str">
        <f>IF(B244="","",IFERROR(INDEX('Cashier Roster'!$C$5:$C$64,MATCH(B244,'Cashier Roster'!$B$5:$B$64,0)),"Not on roster"))</f>
        <v/>
      </c>
      <c r="D244" s="12" t="str">
        <f>IF(B244="","",IFERROR(INDEX('Cashier Roster'!$D$5:$D$64,MATCH(B244,'Cashier Roster'!$B$5:$B$64,0)),""))</f>
        <v/>
      </c>
      <c r="E244" s="13"/>
      <c r="F244" s="14"/>
      <c r="G244" s="8" t="str">
        <f>IF(OR(B244="",E244=""),"",IF(E244="No","Missed",IF(F244="","",IF(F244&lt;=Settings!$B$7,"On time","Late"))))</f>
        <v/>
      </c>
      <c r="H244" s="15"/>
      <c r="I244" s="16"/>
      <c r="J244" s="16"/>
      <c r="K244" s="17" t="str">
        <f>IF(J244="","",ROUND(J244*Settings!$B$8,2))</f>
        <v/>
      </c>
      <c r="L244" s="16"/>
      <c r="M244" s="8" t="str">
        <f t="shared" si="3"/>
        <v/>
      </c>
      <c r="N244" s="9"/>
    </row>
    <row r="245" spans="1:14" ht="15.75">
      <c r="A245" s="11"/>
      <c r="B245" s="9"/>
      <c r="C245" s="12" t="str">
        <f>IF(B245="","",IFERROR(INDEX('Cashier Roster'!$C$5:$C$64,MATCH(B245,'Cashier Roster'!$B$5:$B$64,0)),"Not on roster"))</f>
        <v/>
      </c>
      <c r="D245" s="12" t="str">
        <f>IF(B245="","",IFERROR(INDEX('Cashier Roster'!$D$5:$D$64,MATCH(B245,'Cashier Roster'!$B$5:$B$64,0)),""))</f>
        <v/>
      </c>
      <c r="E245" s="13"/>
      <c r="F245" s="14"/>
      <c r="G245" s="8" t="str">
        <f>IF(OR(B245="",E245=""),"",IF(E245="No","Missed",IF(F245="","",IF(F245&lt;=Settings!$B$7,"On time","Late"))))</f>
        <v/>
      </c>
      <c r="H245" s="15"/>
      <c r="I245" s="16"/>
      <c r="J245" s="16"/>
      <c r="K245" s="17" t="str">
        <f>IF(J245="","",ROUND(J245*Settings!$B$8,2))</f>
        <v/>
      </c>
      <c r="L245" s="16"/>
      <c r="M245" s="8" t="str">
        <f t="shared" si="3"/>
        <v/>
      </c>
      <c r="N245" s="9"/>
    </row>
    <row r="246" spans="1:14" ht="15.75">
      <c r="A246" s="11"/>
      <c r="B246" s="9"/>
      <c r="C246" s="12" t="str">
        <f>IF(B246="","",IFERROR(INDEX('Cashier Roster'!$C$5:$C$64,MATCH(B246,'Cashier Roster'!$B$5:$B$64,0)),"Not on roster"))</f>
        <v/>
      </c>
      <c r="D246" s="12" t="str">
        <f>IF(B246="","",IFERROR(INDEX('Cashier Roster'!$D$5:$D$64,MATCH(B246,'Cashier Roster'!$B$5:$B$64,0)),""))</f>
        <v/>
      </c>
      <c r="E246" s="13"/>
      <c r="F246" s="14"/>
      <c r="G246" s="8" t="str">
        <f>IF(OR(B246="",E246=""),"",IF(E246="No","Missed",IF(F246="","",IF(F246&lt;=Settings!$B$7,"On time","Late"))))</f>
        <v/>
      </c>
      <c r="H246" s="15"/>
      <c r="I246" s="16"/>
      <c r="J246" s="16"/>
      <c r="K246" s="17" t="str">
        <f>IF(J246="","",ROUND(J246*Settings!$B$8,2))</f>
        <v/>
      </c>
      <c r="L246" s="16"/>
      <c r="M246" s="8" t="str">
        <f t="shared" si="3"/>
        <v/>
      </c>
      <c r="N246" s="9"/>
    </row>
    <row r="247" spans="1:14" ht="15.75">
      <c r="A247" s="11"/>
      <c r="B247" s="9"/>
      <c r="C247" s="12" t="str">
        <f>IF(B247="","",IFERROR(INDEX('Cashier Roster'!$C$5:$C$64,MATCH(B247,'Cashier Roster'!$B$5:$B$64,0)),"Not on roster"))</f>
        <v/>
      </c>
      <c r="D247" s="12" t="str">
        <f>IF(B247="","",IFERROR(INDEX('Cashier Roster'!$D$5:$D$64,MATCH(B247,'Cashier Roster'!$B$5:$B$64,0)),""))</f>
        <v/>
      </c>
      <c r="E247" s="13"/>
      <c r="F247" s="14"/>
      <c r="G247" s="8" t="str">
        <f>IF(OR(B247="",E247=""),"",IF(E247="No","Missed",IF(F247="","",IF(F247&lt;=Settings!$B$7,"On time","Late"))))</f>
        <v/>
      </c>
      <c r="H247" s="15"/>
      <c r="I247" s="16"/>
      <c r="J247" s="16"/>
      <c r="K247" s="17" t="str">
        <f>IF(J247="","",ROUND(J247*Settings!$B$8,2))</f>
        <v/>
      </c>
      <c r="L247" s="16"/>
      <c r="M247" s="8" t="str">
        <f t="shared" si="3"/>
        <v/>
      </c>
      <c r="N247" s="9"/>
    </row>
    <row r="248" spans="1:14" ht="15.75">
      <c r="A248" s="11"/>
      <c r="B248" s="9"/>
      <c r="C248" s="12" t="str">
        <f>IF(B248="","",IFERROR(INDEX('Cashier Roster'!$C$5:$C$64,MATCH(B248,'Cashier Roster'!$B$5:$B$64,0)),"Not on roster"))</f>
        <v/>
      </c>
      <c r="D248" s="12" t="str">
        <f>IF(B248="","",IFERROR(INDEX('Cashier Roster'!$D$5:$D$64,MATCH(B248,'Cashier Roster'!$B$5:$B$64,0)),""))</f>
        <v/>
      </c>
      <c r="E248" s="13"/>
      <c r="F248" s="14"/>
      <c r="G248" s="8" t="str">
        <f>IF(OR(B248="",E248=""),"",IF(E248="No","Missed",IF(F248="","",IF(F248&lt;=Settings!$B$7,"On time","Late"))))</f>
        <v/>
      </c>
      <c r="H248" s="15"/>
      <c r="I248" s="16"/>
      <c r="J248" s="16"/>
      <c r="K248" s="17" t="str">
        <f>IF(J248="","",ROUND(J248*Settings!$B$8,2))</f>
        <v/>
      </c>
      <c r="L248" s="16"/>
      <c r="M248" s="8" t="str">
        <f t="shared" si="3"/>
        <v/>
      </c>
      <c r="N248" s="9"/>
    </row>
    <row r="249" spans="1:14" ht="15.75">
      <c r="A249" s="11"/>
      <c r="B249" s="9"/>
      <c r="C249" s="12" t="str">
        <f>IF(B249="","",IFERROR(INDEX('Cashier Roster'!$C$5:$C$64,MATCH(B249,'Cashier Roster'!$B$5:$B$64,0)),"Not on roster"))</f>
        <v/>
      </c>
      <c r="D249" s="12" t="str">
        <f>IF(B249="","",IFERROR(INDEX('Cashier Roster'!$D$5:$D$64,MATCH(B249,'Cashier Roster'!$B$5:$B$64,0)),""))</f>
        <v/>
      </c>
      <c r="E249" s="13"/>
      <c r="F249" s="14"/>
      <c r="G249" s="8" t="str">
        <f>IF(OR(B249="",E249=""),"",IF(E249="No","Missed",IF(F249="","",IF(F249&lt;=Settings!$B$7,"On time","Late"))))</f>
        <v/>
      </c>
      <c r="H249" s="15"/>
      <c r="I249" s="16"/>
      <c r="J249" s="16"/>
      <c r="K249" s="17" t="str">
        <f>IF(J249="","",ROUND(J249*Settings!$B$8,2))</f>
        <v/>
      </c>
      <c r="L249" s="16"/>
      <c r="M249" s="8" t="str">
        <f t="shared" si="3"/>
        <v/>
      </c>
      <c r="N249" s="9"/>
    </row>
    <row r="250" spans="1:14" ht="15.75">
      <c r="A250" s="11"/>
      <c r="B250" s="9"/>
      <c r="C250" s="12" t="str">
        <f>IF(B250="","",IFERROR(INDEX('Cashier Roster'!$C$5:$C$64,MATCH(B250,'Cashier Roster'!$B$5:$B$64,0)),"Not on roster"))</f>
        <v/>
      </c>
      <c r="D250" s="12" t="str">
        <f>IF(B250="","",IFERROR(INDEX('Cashier Roster'!$D$5:$D$64,MATCH(B250,'Cashier Roster'!$B$5:$B$64,0)),""))</f>
        <v/>
      </c>
      <c r="E250" s="13"/>
      <c r="F250" s="14"/>
      <c r="G250" s="8" t="str">
        <f>IF(OR(B250="",E250=""),"",IF(E250="No","Missed",IF(F250="","",IF(F250&lt;=Settings!$B$7,"On time","Late"))))</f>
        <v/>
      </c>
      <c r="H250" s="15"/>
      <c r="I250" s="16"/>
      <c r="J250" s="16"/>
      <c r="K250" s="17" t="str">
        <f>IF(J250="","",ROUND(J250*Settings!$B$8,2))</f>
        <v/>
      </c>
      <c r="L250" s="16"/>
      <c r="M250" s="8" t="str">
        <f t="shared" si="3"/>
        <v/>
      </c>
      <c r="N250" s="9"/>
    </row>
    <row r="251" spans="1:14" ht="15.75">
      <c r="A251" s="11"/>
      <c r="B251" s="9"/>
      <c r="C251" s="12" t="str">
        <f>IF(B251="","",IFERROR(INDEX('Cashier Roster'!$C$5:$C$64,MATCH(B251,'Cashier Roster'!$B$5:$B$64,0)),"Not on roster"))</f>
        <v/>
      </c>
      <c r="D251" s="12" t="str">
        <f>IF(B251="","",IFERROR(INDEX('Cashier Roster'!$D$5:$D$64,MATCH(B251,'Cashier Roster'!$B$5:$B$64,0)),""))</f>
        <v/>
      </c>
      <c r="E251" s="13"/>
      <c r="F251" s="14"/>
      <c r="G251" s="8" t="str">
        <f>IF(OR(B251="",E251=""),"",IF(E251="No","Missed",IF(F251="","",IF(F251&lt;=Settings!$B$7,"On time","Late"))))</f>
        <v/>
      </c>
      <c r="H251" s="15"/>
      <c r="I251" s="16"/>
      <c r="J251" s="16"/>
      <c r="K251" s="17" t="str">
        <f>IF(J251="","",ROUND(J251*Settings!$B$8,2))</f>
        <v/>
      </c>
      <c r="L251" s="16"/>
      <c r="M251" s="8" t="str">
        <f t="shared" si="3"/>
        <v/>
      </c>
      <c r="N251" s="9"/>
    </row>
    <row r="252" spans="1:14" ht="15.75">
      <c r="A252" s="11"/>
      <c r="B252" s="9"/>
      <c r="C252" s="12" t="str">
        <f>IF(B252="","",IFERROR(INDEX('Cashier Roster'!$C$5:$C$64,MATCH(B252,'Cashier Roster'!$B$5:$B$64,0)),"Not on roster"))</f>
        <v/>
      </c>
      <c r="D252" s="12" t="str">
        <f>IF(B252="","",IFERROR(INDEX('Cashier Roster'!$D$5:$D$64,MATCH(B252,'Cashier Roster'!$B$5:$B$64,0)),""))</f>
        <v/>
      </c>
      <c r="E252" s="13"/>
      <c r="F252" s="14"/>
      <c r="G252" s="8" t="str">
        <f>IF(OR(B252="",E252=""),"",IF(E252="No","Missed",IF(F252="","",IF(F252&lt;=Settings!$B$7,"On time","Late"))))</f>
        <v/>
      </c>
      <c r="H252" s="15"/>
      <c r="I252" s="16"/>
      <c r="J252" s="16"/>
      <c r="K252" s="17" t="str">
        <f>IF(J252="","",ROUND(J252*Settings!$B$8,2))</f>
        <v/>
      </c>
      <c r="L252" s="16"/>
      <c r="M252" s="8" t="str">
        <f t="shared" si="3"/>
        <v/>
      </c>
      <c r="N252" s="9"/>
    </row>
    <row r="253" spans="1:14" ht="15.75">
      <c r="A253" s="11"/>
      <c r="B253" s="9"/>
      <c r="C253" s="12" t="str">
        <f>IF(B253="","",IFERROR(INDEX('Cashier Roster'!$C$5:$C$64,MATCH(B253,'Cashier Roster'!$B$5:$B$64,0)),"Not on roster"))</f>
        <v/>
      </c>
      <c r="D253" s="12" t="str">
        <f>IF(B253="","",IFERROR(INDEX('Cashier Roster'!$D$5:$D$64,MATCH(B253,'Cashier Roster'!$B$5:$B$64,0)),""))</f>
        <v/>
      </c>
      <c r="E253" s="13"/>
      <c r="F253" s="14"/>
      <c r="G253" s="8" t="str">
        <f>IF(OR(B253="",E253=""),"",IF(E253="No","Missed",IF(F253="","",IF(F253&lt;=Settings!$B$7,"On time","Late"))))</f>
        <v/>
      </c>
      <c r="H253" s="15"/>
      <c r="I253" s="16"/>
      <c r="J253" s="16"/>
      <c r="K253" s="17" t="str">
        <f>IF(J253="","",ROUND(J253*Settings!$B$8,2))</f>
        <v/>
      </c>
      <c r="L253" s="16"/>
      <c r="M253" s="8" t="str">
        <f t="shared" si="3"/>
        <v/>
      </c>
      <c r="N253" s="9"/>
    </row>
    <row r="254" spans="1:14" ht="15.75">
      <c r="A254" s="11"/>
      <c r="B254" s="9"/>
      <c r="C254" s="12" t="str">
        <f>IF(B254="","",IFERROR(INDEX('Cashier Roster'!$C$5:$C$64,MATCH(B254,'Cashier Roster'!$B$5:$B$64,0)),"Not on roster"))</f>
        <v/>
      </c>
      <c r="D254" s="12" t="str">
        <f>IF(B254="","",IFERROR(INDEX('Cashier Roster'!$D$5:$D$64,MATCH(B254,'Cashier Roster'!$B$5:$B$64,0)),""))</f>
        <v/>
      </c>
      <c r="E254" s="13"/>
      <c r="F254" s="14"/>
      <c r="G254" s="8" t="str">
        <f>IF(OR(B254="",E254=""),"",IF(E254="No","Missed",IF(F254="","",IF(F254&lt;=Settings!$B$7,"On time","Late"))))</f>
        <v/>
      </c>
      <c r="H254" s="15"/>
      <c r="I254" s="16"/>
      <c r="J254" s="16"/>
      <c r="K254" s="17" t="str">
        <f>IF(J254="","",ROUND(J254*Settings!$B$8,2))</f>
        <v/>
      </c>
      <c r="L254" s="16"/>
      <c r="M254" s="8" t="str">
        <f t="shared" si="3"/>
        <v/>
      </c>
      <c r="N254" s="9"/>
    </row>
    <row r="255" spans="1:14" ht="15.75">
      <c r="A255" s="11"/>
      <c r="B255" s="9"/>
      <c r="C255" s="12" t="str">
        <f>IF(B255="","",IFERROR(INDEX('Cashier Roster'!$C$5:$C$64,MATCH(B255,'Cashier Roster'!$B$5:$B$64,0)),"Not on roster"))</f>
        <v/>
      </c>
      <c r="D255" s="12" t="str">
        <f>IF(B255="","",IFERROR(INDEX('Cashier Roster'!$D$5:$D$64,MATCH(B255,'Cashier Roster'!$B$5:$B$64,0)),""))</f>
        <v/>
      </c>
      <c r="E255" s="13"/>
      <c r="F255" s="14"/>
      <c r="G255" s="8" t="str">
        <f>IF(OR(B255="",E255=""),"",IF(E255="No","Missed",IF(F255="","",IF(F255&lt;=Settings!$B$7,"On time","Late"))))</f>
        <v/>
      </c>
      <c r="H255" s="15"/>
      <c r="I255" s="16"/>
      <c r="J255" s="16"/>
      <c r="K255" s="17" t="str">
        <f>IF(J255="","",ROUND(J255*Settings!$B$8,2))</f>
        <v/>
      </c>
      <c r="L255" s="16"/>
      <c r="M255" s="8" t="str">
        <f t="shared" si="3"/>
        <v/>
      </c>
      <c r="N255" s="9"/>
    </row>
    <row r="256" spans="1:14" ht="15.75">
      <c r="A256" s="11"/>
      <c r="B256" s="9"/>
      <c r="C256" s="12" t="str">
        <f>IF(B256="","",IFERROR(INDEX('Cashier Roster'!$C$5:$C$64,MATCH(B256,'Cashier Roster'!$B$5:$B$64,0)),"Not on roster"))</f>
        <v/>
      </c>
      <c r="D256" s="12" t="str">
        <f>IF(B256="","",IFERROR(INDEX('Cashier Roster'!$D$5:$D$64,MATCH(B256,'Cashier Roster'!$B$5:$B$64,0)),""))</f>
        <v/>
      </c>
      <c r="E256" s="13"/>
      <c r="F256" s="14"/>
      <c r="G256" s="8" t="str">
        <f>IF(OR(B256="",E256=""),"",IF(E256="No","Missed",IF(F256="","",IF(F256&lt;=Settings!$B$7,"On time","Late"))))</f>
        <v/>
      </c>
      <c r="H256" s="15"/>
      <c r="I256" s="16"/>
      <c r="J256" s="16"/>
      <c r="K256" s="17" t="str">
        <f>IF(J256="","",ROUND(J256*Settings!$B$8,2))</f>
        <v/>
      </c>
      <c r="L256" s="16"/>
      <c r="M256" s="8" t="str">
        <f t="shared" si="3"/>
        <v/>
      </c>
      <c r="N256" s="9"/>
    </row>
    <row r="257" spans="1:14" ht="15.75">
      <c r="A257" s="11"/>
      <c r="B257" s="9"/>
      <c r="C257" s="12" t="str">
        <f>IF(B257="","",IFERROR(INDEX('Cashier Roster'!$C$5:$C$64,MATCH(B257,'Cashier Roster'!$B$5:$B$64,0)),"Not on roster"))</f>
        <v/>
      </c>
      <c r="D257" s="12" t="str">
        <f>IF(B257="","",IFERROR(INDEX('Cashier Roster'!$D$5:$D$64,MATCH(B257,'Cashier Roster'!$B$5:$B$64,0)),""))</f>
        <v/>
      </c>
      <c r="E257" s="13"/>
      <c r="F257" s="14"/>
      <c r="G257" s="8" t="str">
        <f>IF(OR(B257="",E257=""),"",IF(E257="No","Missed",IF(F257="","",IF(F257&lt;=Settings!$B$7,"On time","Late"))))</f>
        <v/>
      </c>
      <c r="H257" s="15"/>
      <c r="I257" s="16"/>
      <c r="J257" s="16"/>
      <c r="K257" s="17" t="str">
        <f>IF(J257="","",ROUND(J257*Settings!$B$8,2))</f>
        <v/>
      </c>
      <c r="L257" s="16"/>
      <c r="M257" s="8" t="str">
        <f t="shared" si="3"/>
        <v/>
      </c>
      <c r="N257" s="9"/>
    </row>
    <row r="258" spans="1:14" ht="15.75">
      <c r="A258" s="11"/>
      <c r="B258" s="9"/>
      <c r="C258" s="12" t="str">
        <f>IF(B258="","",IFERROR(INDEX('Cashier Roster'!$C$5:$C$64,MATCH(B258,'Cashier Roster'!$B$5:$B$64,0)),"Not on roster"))</f>
        <v/>
      </c>
      <c r="D258" s="12" t="str">
        <f>IF(B258="","",IFERROR(INDEX('Cashier Roster'!$D$5:$D$64,MATCH(B258,'Cashier Roster'!$B$5:$B$64,0)),""))</f>
        <v/>
      </c>
      <c r="E258" s="13"/>
      <c r="F258" s="14"/>
      <c r="G258" s="8" t="str">
        <f>IF(OR(B258="",E258=""),"",IF(E258="No","Missed",IF(F258="","",IF(F258&lt;=Settings!$B$7,"On time","Late"))))</f>
        <v/>
      </c>
      <c r="H258" s="15"/>
      <c r="I258" s="16"/>
      <c r="J258" s="16"/>
      <c r="K258" s="17" t="str">
        <f>IF(J258="","",ROUND(J258*Settings!$B$8,2))</f>
        <v/>
      </c>
      <c r="L258" s="16"/>
      <c r="M258" s="8" t="str">
        <f t="shared" si="3"/>
        <v/>
      </c>
      <c r="N258" s="9"/>
    </row>
    <row r="259" spans="1:14" ht="15.75">
      <c r="A259" s="11"/>
      <c r="B259" s="9"/>
      <c r="C259" s="12" t="str">
        <f>IF(B259="","",IFERROR(INDEX('Cashier Roster'!$C$5:$C$64,MATCH(B259,'Cashier Roster'!$B$5:$B$64,0)),"Not on roster"))</f>
        <v/>
      </c>
      <c r="D259" s="12" t="str">
        <f>IF(B259="","",IFERROR(INDEX('Cashier Roster'!$D$5:$D$64,MATCH(B259,'Cashier Roster'!$B$5:$B$64,0)),""))</f>
        <v/>
      </c>
      <c r="E259" s="13"/>
      <c r="F259" s="14"/>
      <c r="G259" s="8" t="str">
        <f>IF(OR(B259="",E259=""),"",IF(E259="No","Missed",IF(F259="","",IF(F259&lt;=Settings!$B$7,"On time","Late"))))</f>
        <v/>
      </c>
      <c r="H259" s="15"/>
      <c r="I259" s="16"/>
      <c r="J259" s="16"/>
      <c r="K259" s="17" t="str">
        <f>IF(J259="","",ROUND(J259*Settings!$B$8,2))</f>
        <v/>
      </c>
      <c r="L259" s="16"/>
      <c r="M259" s="8" t="str">
        <f t="shared" si="3"/>
        <v/>
      </c>
      <c r="N259" s="9"/>
    </row>
    <row r="260" spans="1:14" ht="15.75">
      <c r="A260" s="11"/>
      <c r="B260" s="9"/>
      <c r="C260" s="12" t="str">
        <f>IF(B260="","",IFERROR(INDEX('Cashier Roster'!$C$5:$C$64,MATCH(B260,'Cashier Roster'!$B$5:$B$64,0)),"Not on roster"))</f>
        <v/>
      </c>
      <c r="D260" s="12" t="str">
        <f>IF(B260="","",IFERROR(INDEX('Cashier Roster'!$D$5:$D$64,MATCH(B260,'Cashier Roster'!$B$5:$B$64,0)),""))</f>
        <v/>
      </c>
      <c r="E260" s="13"/>
      <c r="F260" s="14"/>
      <c r="G260" s="8" t="str">
        <f>IF(OR(B260="",E260=""),"",IF(E260="No","Missed",IF(F260="","",IF(F260&lt;=Settings!$B$7,"On time","Late"))))</f>
        <v/>
      </c>
      <c r="H260" s="15"/>
      <c r="I260" s="16"/>
      <c r="J260" s="16"/>
      <c r="K260" s="17" t="str">
        <f>IF(J260="","",ROUND(J260*Settings!$B$8,2))</f>
        <v/>
      </c>
      <c r="L260" s="16"/>
      <c r="M260" s="8" t="str">
        <f t="shared" si="3"/>
        <v/>
      </c>
      <c r="N260" s="9"/>
    </row>
    <row r="261" spans="1:14" ht="15.75">
      <c r="A261" s="11"/>
      <c r="B261" s="9"/>
      <c r="C261" s="12" t="str">
        <f>IF(B261="","",IFERROR(INDEX('Cashier Roster'!$C$5:$C$64,MATCH(B261,'Cashier Roster'!$B$5:$B$64,0)),"Not on roster"))</f>
        <v/>
      </c>
      <c r="D261" s="12" t="str">
        <f>IF(B261="","",IFERROR(INDEX('Cashier Roster'!$D$5:$D$64,MATCH(B261,'Cashier Roster'!$B$5:$B$64,0)),""))</f>
        <v/>
      </c>
      <c r="E261" s="13"/>
      <c r="F261" s="14"/>
      <c r="G261" s="8" t="str">
        <f>IF(OR(B261="",E261=""),"",IF(E261="No","Missed",IF(F261="","",IF(F261&lt;=Settings!$B$7,"On time","Late"))))</f>
        <v/>
      </c>
      <c r="H261" s="15"/>
      <c r="I261" s="16"/>
      <c r="J261" s="16"/>
      <c r="K261" s="17" t="str">
        <f>IF(J261="","",ROUND(J261*Settings!$B$8,2))</f>
        <v/>
      </c>
      <c r="L261" s="16"/>
      <c r="M261" s="8" t="str">
        <f t="shared" ref="M261:M324" si="4">IF(L261="","",IF(L261&lt;=0,"Yes","No"))</f>
        <v/>
      </c>
      <c r="N261" s="9"/>
    </row>
    <row r="262" spans="1:14" ht="15.75">
      <c r="A262" s="11"/>
      <c r="B262" s="9"/>
      <c r="C262" s="12" t="str">
        <f>IF(B262="","",IFERROR(INDEX('Cashier Roster'!$C$5:$C$64,MATCH(B262,'Cashier Roster'!$B$5:$B$64,0)),"Not on roster"))</f>
        <v/>
      </c>
      <c r="D262" s="12" t="str">
        <f>IF(B262="","",IFERROR(INDEX('Cashier Roster'!$D$5:$D$64,MATCH(B262,'Cashier Roster'!$B$5:$B$64,0)),""))</f>
        <v/>
      </c>
      <c r="E262" s="13"/>
      <c r="F262" s="14"/>
      <c r="G262" s="8" t="str">
        <f>IF(OR(B262="",E262=""),"",IF(E262="No","Missed",IF(F262="","",IF(F262&lt;=Settings!$B$7,"On time","Late"))))</f>
        <v/>
      </c>
      <c r="H262" s="15"/>
      <c r="I262" s="16"/>
      <c r="J262" s="16"/>
      <c r="K262" s="17" t="str">
        <f>IF(J262="","",ROUND(J262*Settings!$B$8,2))</f>
        <v/>
      </c>
      <c r="L262" s="16"/>
      <c r="M262" s="8" t="str">
        <f t="shared" si="4"/>
        <v/>
      </c>
      <c r="N262" s="9"/>
    </row>
    <row r="263" spans="1:14" ht="15.75">
      <c r="A263" s="11"/>
      <c r="B263" s="9"/>
      <c r="C263" s="12" t="str">
        <f>IF(B263="","",IFERROR(INDEX('Cashier Roster'!$C$5:$C$64,MATCH(B263,'Cashier Roster'!$B$5:$B$64,0)),"Not on roster"))</f>
        <v/>
      </c>
      <c r="D263" s="12" t="str">
        <f>IF(B263="","",IFERROR(INDEX('Cashier Roster'!$D$5:$D$64,MATCH(B263,'Cashier Roster'!$B$5:$B$64,0)),""))</f>
        <v/>
      </c>
      <c r="E263" s="13"/>
      <c r="F263" s="14"/>
      <c r="G263" s="8" t="str">
        <f>IF(OR(B263="",E263=""),"",IF(E263="No","Missed",IF(F263="","",IF(F263&lt;=Settings!$B$7,"On time","Late"))))</f>
        <v/>
      </c>
      <c r="H263" s="15"/>
      <c r="I263" s="16"/>
      <c r="J263" s="16"/>
      <c r="K263" s="17" t="str">
        <f>IF(J263="","",ROUND(J263*Settings!$B$8,2))</f>
        <v/>
      </c>
      <c r="L263" s="16"/>
      <c r="M263" s="8" t="str">
        <f t="shared" si="4"/>
        <v/>
      </c>
      <c r="N263" s="9"/>
    </row>
    <row r="264" spans="1:14" ht="15.75">
      <c r="A264" s="11"/>
      <c r="B264" s="9"/>
      <c r="C264" s="12" t="str">
        <f>IF(B264="","",IFERROR(INDEX('Cashier Roster'!$C$5:$C$64,MATCH(B264,'Cashier Roster'!$B$5:$B$64,0)),"Not on roster"))</f>
        <v/>
      </c>
      <c r="D264" s="12" t="str">
        <f>IF(B264="","",IFERROR(INDEX('Cashier Roster'!$D$5:$D$64,MATCH(B264,'Cashier Roster'!$B$5:$B$64,0)),""))</f>
        <v/>
      </c>
      <c r="E264" s="13"/>
      <c r="F264" s="14"/>
      <c r="G264" s="8" t="str">
        <f>IF(OR(B264="",E264=""),"",IF(E264="No","Missed",IF(F264="","",IF(F264&lt;=Settings!$B$7,"On time","Late"))))</f>
        <v/>
      </c>
      <c r="H264" s="15"/>
      <c r="I264" s="16"/>
      <c r="J264" s="16"/>
      <c r="K264" s="17" t="str">
        <f>IF(J264="","",ROUND(J264*Settings!$B$8,2))</f>
        <v/>
      </c>
      <c r="L264" s="16"/>
      <c r="M264" s="8" t="str">
        <f t="shared" si="4"/>
        <v/>
      </c>
      <c r="N264" s="9"/>
    </row>
    <row r="265" spans="1:14" ht="15.75">
      <c r="A265" s="11"/>
      <c r="B265" s="9"/>
      <c r="C265" s="12" t="str">
        <f>IF(B265="","",IFERROR(INDEX('Cashier Roster'!$C$5:$C$64,MATCH(B265,'Cashier Roster'!$B$5:$B$64,0)),"Not on roster"))</f>
        <v/>
      </c>
      <c r="D265" s="12" t="str">
        <f>IF(B265="","",IFERROR(INDEX('Cashier Roster'!$D$5:$D$64,MATCH(B265,'Cashier Roster'!$B$5:$B$64,0)),""))</f>
        <v/>
      </c>
      <c r="E265" s="13"/>
      <c r="F265" s="14"/>
      <c r="G265" s="8" t="str">
        <f>IF(OR(B265="",E265=""),"",IF(E265="No","Missed",IF(F265="","",IF(F265&lt;=Settings!$B$7,"On time","Late"))))</f>
        <v/>
      </c>
      <c r="H265" s="15"/>
      <c r="I265" s="16"/>
      <c r="J265" s="16"/>
      <c r="K265" s="17" t="str">
        <f>IF(J265="","",ROUND(J265*Settings!$B$8,2))</f>
        <v/>
      </c>
      <c r="L265" s="16"/>
      <c r="M265" s="8" t="str">
        <f t="shared" si="4"/>
        <v/>
      </c>
      <c r="N265" s="9"/>
    </row>
    <row r="266" spans="1:14" ht="15.75">
      <c r="A266" s="11"/>
      <c r="B266" s="9"/>
      <c r="C266" s="12" t="str">
        <f>IF(B266="","",IFERROR(INDEX('Cashier Roster'!$C$5:$C$64,MATCH(B266,'Cashier Roster'!$B$5:$B$64,0)),"Not on roster"))</f>
        <v/>
      </c>
      <c r="D266" s="12" t="str">
        <f>IF(B266="","",IFERROR(INDEX('Cashier Roster'!$D$5:$D$64,MATCH(B266,'Cashier Roster'!$B$5:$B$64,0)),""))</f>
        <v/>
      </c>
      <c r="E266" s="13"/>
      <c r="F266" s="14"/>
      <c r="G266" s="8" t="str">
        <f>IF(OR(B266="",E266=""),"",IF(E266="No","Missed",IF(F266="","",IF(F266&lt;=Settings!$B$7,"On time","Late"))))</f>
        <v/>
      </c>
      <c r="H266" s="15"/>
      <c r="I266" s="16"/>
      <c r="J266" s="16"/>
      <c r="K266" s="17" t="str">
        <f>IF(J266="","",ROUND(J266*Settings!$B$8,2))</f>
        <v/>
      </c>
      <c r="L266" s="16"/>
      <c r="M266" s="8" t="str">
        <f t="shared" si="4"/>
        <v/>
      </c>
      <c r="N266" s="9"/>
    </row>
    <row r="267" spans="1:14" ht="15.75">
      <c r="A267" s="11"/>
      <c r="B267" s="9"/>
      <c r="C267" s="12" t="str">
        <f>IF(B267="","",IFERROR(INDEX('Cashier Roster'!$C$5:$C$64,MATCH(B267,'Cashier Roster'!$B$5:$B$64,0)),"Not on roster"))</f>
        <v/>
      </c>
      <c r="D267" s="12" t="str">
        <f>IF(B267="","",IFERROR(INDEX('Cashier Roster'!$D$5:$D$64,MATCH(B267,'Cashier Roster'!$B$5:$B$64,0)),""))</f>
        <v/>
      </c>
      <c r="E267" s="13"/>
      <c r="F267" s="14"/>
      <c r="G267" s="8" t="str">
        <f>IF(OR(B267="",E267=""),"",IF(E267="No","Missed",IF(F267="","",IF(F267&lt;=Settings!$B$7,"On time","Late"))))</f>
        <v/>
      </c>
      <c r="H267" s="15"/>
      <c r="I267" s="16"/>
      <c r="J267" s="16"/>
      <c r="K267" s="17" t="str">
        <f>IF(J267="","",ROUND(J267*Settings!$B$8,2))</f>
        <v/>
      </c>
      <c r="L267" s="16"/>
      <c r="M267" s="8" t="str">
        <f t="shared" si="4"/>
        <v/>
      </c>
      <c r="N267" s="9"/>
    </row>
    <row r="268" spans="1:14" ht="15.75">
      <c r="A268" s="11"/>
      <c r="B268" s="9"/>
      <c r="C268" s="12" t="str">
        <f>IF(B268="","",IFERROR(INDEX('Cashier Roster'!$C$5:$C$64,MATCH(B268,'Cashier Roster'!$B$5:$B$64,0)),"Not on roster"))</f>
        <v/>
      </c>
      <c r="D268" s="12" t="str">
        <f>IF(B268="","",IFERROR(INDEX('Cashier Roster'!$D$5:$D$64,MATCH(B268,'Cashier Roster'!$B$5:$B$64,0)),""))</f>
        <v/>
      </c>
      <c r="E268" s="13"/>
      <c r="F268" s="14"/>
      <c r="G268" s="8" t="str">
        <f>IF(OR(B268="",E268=""),"",IF(E268="No","Missed",IF(F268="","",IF(F268&lt;=Settings!$B$7,"On time","Late"))))</f>
        <v/>
      </c>
      <c r="H268" s="15"/>
      <c r="I268" s="16"/>
      <c r="J268" s="16"/>
      <c r="K268" s="17" t="str">
        <f>IF(J268="","",ROUND(J268*Settings!$B$8,2))</f>
        <v/>
      </c>
      <c r="L268" s="16"/>
      <c r="M268" s="8" t="str">
        <f t="shared" si="4"/>
        <v/>
      </c>
      <c r="N268" s="9"/>
    </row>
    <row r="269" spans="1:14" ht="15.75">
      <c r="A269" s="11"/>
      <c r="B269" s="9"/>
      <c r="C269" s="12" t="str">
        <f>IF(B269="","",IFERROR(INDEX('Cashier Roster'!$C$5:$C$64,MATCH(B269,'Cashier Roster'!$B$5:$B$64,0)),"Not on roster"))</f>
        <v/>
      </c>
      <c r="D269" s="12" t="str">
        <f>IF(B269="","",IFERROR(INDEX('Cashier Roster'!$D$5:$D$64,MATCH(B269,'Cashier Roster'!$B$5:$B$64,0)),""))</f>
        <v/>
      </c>
      <c r="E269" s="13"/>
      <c r="F269" s="14"/>
      <c r="G269" s="8" t="str">
        <f>IF(OR(B269="",E269=""),"",IF(E269="No","Missed",IF(F269="","",IF(F269&lt;=Settings!$B$7,"On time","Late"))))</f>
        <v/>
      </c>
      <c r="H269" s="15"/>
      <c r="I269" s="16"/>
      <c r="J269" s="16"/>
      <c r="K269" s="17" t="str">
        <f>IF(J269="","",ROUND(J269*Settings!$B$8,2))</f>
        <v/>
      </c>
      <c r="L269" s="16"/>
      <c r="M269" s="8" t="str">
        <f t="shared" si="4"/>
        <v/>
      </c>
      <c r="N269" s="9"/>
    </row>
    <row r="270" spans="1:14" ht="15.75">
      <c r="A270" s="11"/>
      <c r="B270" s="9"/>
      <c r="C270" s="12" t="str">
        <f>IF(B270="","",IFERROR(INDEX('Cashier Roster'!$C$5:$C$64,MATCH(B270,'Cashier Roster'!$B$5:$B$64,0)),"Not on roster"))</f>
        <v/>
      </c>
      <c r="D270" s="12" t="str">
        <f>IF(B270="","",IFERROR(INDEX('Cashier Roster'!$D$5:$D$64,MATCH(B270,'Cashier Roster'!$B$5:$B$64,0)),""))</f>
        <v/>
      </c>
      <c r="E270" s="13"/>
      <c r="F270" s="14"/>
      <c r="G270" s="8" t="str">
        <f>IF(OR(B270="",E270=""),"",IF(E270="No","Missed",IF(F270="","",IF(F270&lt;=Settings!$B$7,"On time","Late"))))</f>
        <v/>
      </c>
      <c r="H270" s="15"/>
      <c r="I270" s="16"/>
      <c r="J270" s="16"/>
      <c r="K270" s="17" t="str">
        <f>IF(J270="","",ROUND(J270*Settings!$B$8,2))</f>
        <v/>
      </c>
      <c r="L270" s="16"/>
      <c r="M270" s="8" t="str">
        <f t="shared" si="4"/>
        <v/>
      </c>
      <c r="N270" s="9"/>
    </row>
    <row r="271" spans="1:14" ht="15.75">
      <c r="A271" s="11"/>
      <c r="B271" s="9"/>
      <c r="C271" s="12" t="str">
        <f>IF(B271="","",IFERROR(INDEX('Cashier Roster'!$C$5:$C$64,MATCH(B271,'Cashier Roster'!$B$5:$B$64,0)),"Not on roster"))</f>
        <v/>
      </c>
      <c r="D271" s="12" t="str">
        <f>IF(B271="","",IFERROR(INDEX('Cashier Roster'!$D$5:$D$64,MATCH(B271,'Cashier Roster'!$B$5:$B$64,0)),""))</f>
        <v/>
      </c>
      <c r="E271" s="13"/>
      <c r="F271" s="14"/>
      <c r="G271" s="8" t="str">
        <f>IF(OR(B271="",E271=""),"",IF(E271="No","Missed",IF(F271="","",IF(F271&lt;=Settings!$B$7,"On time","Late"))))</f>
        <v/>
      </c>
      <c r="H271" s="15"/>
      <c r="I271" s="16"/>
      <c r="J271" s="16"/>
      <c r="K271" s="17" t="str">
        <f>IF(J271="","",ROUND(J271*Settings!$B$8,2))</f>
        <v/>
      </c>
      <c r="L271" s="16"/>
      <c r="M271" s="8" t="str">
        <f t="shared" si="4"/>
        <v/>
      </c>
      <c r="N271" s="9"/>
    </row>
    <row r="272" spans="1:14" ht="15.75">
      <c r="A272" s="11"/>
      <c r="B272" s="9"/>
      <c r="C272" s="12" t="str">
        <f>IF(B272="","",IFERROR(INDEX('Cashier Roster'!$C$5:$C$64,MATCH(B272,'Cashier Roster'!$B$5:$B$64,0)),"Not on roster"))</f>
        <v/>
      </c>
      <c r="D272" s="12" t="str">
        <f>IF(B272="","",IFERROR(INDEX('Cashier Roster'!$D$5:$D$64,MATCH(B272,'Cashier Roster'!$B$5:$B$64,0)),""))</f>
        <v/>
      </c>
      <c r="E272" s="13"/>
      <c r="F272" s="14"/>
      <c r="G272" s="8" t="str">
        <f>IF(OR(B272="",E272=""),"",IF(E272="No","Missed",IF(F272="","",IF(F272&lt;=Settings!$B$7,"On time","Late"))))</f>
        <v/>
      </c>
      <c r="H272" s="15"/>
      <c r="I272" s="16"/>
      <c r="J272" s="16"/>
      <c r="K272" s="17" t="str">
        <f>IF(J272="","",ROUND(J272*Settings!$B$8,2))</f>
        <v/>
      </c>
      <c r="L272" s="16"/>
      <c r="M272" s="8" t="str">
        <f t="shared" si="4"/>
        <v/>
      </c>
      <c r="N272" s="9"/>
    </row>
    <row r="273" spans="1:14" ht="15.75">
      <c r="A273" s="11"/>
      <c r="B273" s="9"/>
      <c r="C273" s="12" t="str">
        <f>IF(B273="","",IFERROR(INDEX('Cashier Roster'!$C$5:$C$64,MATCH(B273,'Cashier Roster'!$B$5:$B$64,0)),"Not on roster"))</f>
        <v/>
      </c>
      <c r="D273" s="12" t="str">
        <f>IF(B273="","",IFERROR(INDEX('Cashier Roster'!$D$5:$D$64,MATCH(B273,'Cashier Roster'!$B$5:$B$64,0)),""))</f>
        <v/>
      </c>
      <c r="E273" s="13"/>
      <c r="F273" s="14"/>
      <c r="G273" s="8" t="str">
        <f>IF(OR(B273="",E273=""),"",IF(E273="No","Missed",IF(F273="","",IF(F273&lt;=Settings!$B$7,"On time","Late"))))</f>
        <v/>
      </c>
      <c r="H273" s="15"/>
      <c r="I273" s="16"/>
      <c r="J273" s="16"/>
      <c r="K273" s="17" t="str">
        <f>IF(J273="","",ROUND(J273*Settings!$B$8,2))</f>
        <v/>
      </c>
      <c r="L273" s="16"/>
      <c r="M273" s="8" t="str">
        <f t="shared" si="4"/>
        <v/>
      </c>
      <c r="N273" s="9"/>
    </row>
    <row r="274" spans="1:14" ht="15.75">
      <c r="A274" s="11"/>
      <c r="B274" s="9"/>
      <c r="C274" s="12" t="str">
        <f>IF(B274="","",IFERROR(INDEX('Cashier Roster'!$C$5:$C$64,MATCH(B274,'Cashier Roster'!$B$5:$B$64,0)),"Not on roster"))</f>
        <v/>
      </c>
      <c r="D274" s="12" t="str">
        <f>IF(B274="","",IFERROR(INDEX('Cashier Roster'!$D$5:$D$64,MATCH(B274,'Cashier Roster'!$B$5:$B$64,0)),""))</f>
        <v/>
      </c>
      <c r="E274" s="13"/>
      <c r="F274" s="14"/>
      <c r="G274" s="8" t="str">
        <f>IF(OR(B274="",E274=""),"",IF(E274="No","Missed",IF(F274="","",IF(F274&lt;=Settings!$B$7,"On time","Late"))))</f>
        <v/>
      </c>
      <c r="H274" s="15"/>
      <c r="I274" s="16"/>
      <c r="J274" s="16"/>
      <c r="K274" s="17" t="str">
        <f>IF(J274="","",ROUND(J274*Settings!$B$8,2))</f>
        <v/>
      </c>
      <c r="L274" s="16"/>
      <c r="M274" s="8" t="str">
        <f t="shared" si="4"/>
        <v/>
      </c>
      <c r="N274" s="9"/>
    </row>
    <row r="275" spans="1:14" ht="15.75">
      <c r="A275" s="11"/>
      <c r="B275" s="9"/>
      <c r="C275" s="12" t="str">
        <f>IF(B275="","",IFERROR(INDEX('Cashier Roster'!$C$5:$C$64,MATCH(B275,'Cashier Roster'!$B$5:$B$64,0)),"Not on roster"))</f>
        <v/>
      </c>
      <c r="D275" s="12" t="str">
        <f>IF(B275="","",IFERROR(INDEX('Cashier Roster'!$D$5:$D$64,MATCH(B275,'Cashier Roster'!$B$5:$B$64,0)),""))</f>
        <v/>
      </c>
      <c r="E275" s="13"/>
      <c r="F275" s="14"/>
      <c r="G275" s="8" t="str">
        <f>IF(OR(B275="",E275=""),"",IF(E275="No","Missed",IF(F275="","",IF(F275&lt;=Settings!$B$7,"On time","Late"))))</f>
        <v/>
      </c>
      <c r="H275" s="15"/>
      <c r="I275" s="16"/>
      <c r="J275" s="16"/>
      <c r="K275" s="17" t="str">
        <f>IF(J275="","",ROUND(J275*Settings!$B$8,2))</f>
        <v/>
      </c>
      <c r="L275" s="16"/>
      <c r="M275" s="8" t="str">
        <f t="shared" si="4"/>
        <v/>
      </c>
      <c r="N275" s="9"/>
    </row>
    <row r="276" spans="1:14" ht="15.75">
      <c r="A276" s="11"/>
      <c r="B276" s="9"/>
      <c r="C276" s="12" t="str">
        <f>IF(B276="","",IFERROR(INDEX('Cashier Roster'!$C$5:$C$64,MATCH(B276,'Cashier Roster'!$B$5:$B$64,0)),"Not on roster"))</f>
        <v/>
      </c>
      <c r="D276" s="12" t="str">
        <f>IF(B276="","",IFERROR(INDEX('Cashier Roster'!$D$5:$D$64,MATCH(B276,'Cashier Roster'!$B$5:$B$64,0)),""))</f>
        <v/>
      </c>
      <c r="E276" s="13"/>
      <c r="F276" s="14"/>
      <c r="G276" s="8" t="str">
        <f>IF(OR(B276="",E276=""),"",IF(E276="No","Missed",IF(F276="","",IF(F276&lt;=Settings!$B$7,"On time","Late"))))</f>
        <v/>
      </c>
      <c r="H276" s="15"/>
      <c r="I276" s="16"/>
      <c r="J276" s="16"/>
      <c r="K276" s="17" t="str">
        <f>IF(J276="","",ROUND(J276*Settings!$B$8,2))</f>
        <v/>
      </c>
      <c r="L276" s="16"/>
      <c r="M276" s="8" t="str">
        <f t="shared" si="4"/>
        <v/>
      </c>
      <c r="N276" s="9"/>
    </row>
    <row r="277" spans="1:14" ht="15.75">
      <c r="A277" s="11"/>
      <c r="B277" s="9"/>
      <c r="C277" s="12" t="str">
        <f>IF(B277="","",IFERROR(INDEX('Cashier Roster'!$C$5:$C$64,MATCH(B277,'Cashier Roster'!$B$5:$B$64,0)),"Not on roster"))</f>
        <v/>
      </c>
      <c r="D277" s="12" t="str">
        <f>IF(B277="","",IFERROR(INDEX('Cashier Roster'!$D$5:$D$64,MATCH(B277,'Cashier Roster'!$B$5:$B$64,0)),""))</f>
        <v/>
      </c>
      <c r="E277" s="13"/>
      <c r="F277" s="14"/>
      <c r="G277" s="8" t="str">
        <f>IF(OR(B277="",E277=""),"",IF(E277="No","Missed",IF(F277="","",IF(F277&lt;=Settings!$B$7,"On time","Late"))))</f>
        <v/>
      </c>
      <c r="H277" s="15"/>
      <c r="I277" s="16"/>
      <c r="J277" s="16"/>
      <c r="K277" s="17" t="str">
        <f>IF(J277="","",ROUND(J277*Settings!$B$8,2))</f>
        <v/>
      </c>
      <c r="L277" s="16"/>
      <c r="M277" s="8" t="str">
        <f t="shared" si="4"/>
        <v/>
      </c>
      <c r="N277" s="9"/>
    </row>
    <row r="278" spans="1:14" ht="15.75">
      <c r="A278" s="11"/>
      <c r="B278" s="9"/>
      <c r="C278" s="12" t="str">
        <f>IF(B278="","",IFERROR(INDEX('Cashier Roster'!$C$5:$C$64,MATCH(B278,'Cashier Roster'!$B$5:$B$64,0)),"Not on roster"))</f>
        <v/>
      </c>
      <c r="D278" s="12" t="str">
        <f>IF(B278="","",IFERROR(INDEX('Cashier Roster'!$D$5:$D$64,MATCH(B278,'Cashier Roster'!$B$5:$B$64,0)),""))</f>
        <v/>
      </c>
      <c r="E278" s="13"/>
      <c r="F278" s="14"/>
      <c r="G278" s="8" t="str">
        <f>IF(OR(B278="",E278=""),"",IF(E278="No","Missed",IF(F278="","",IF(F278&lt;=Settings!$B$7,"On time","Late"))))</f>
        <v/>
      </c>
      <c r="H278" s="15"/>
      <c r="I278" s="16"/>
      <c r="J278" s="16"/>
      <c r="K278" s="17" t="str">
        <f>IF(J278="","",ROUND(J278*Settings!$B$8,2))</f>
        <v/>
      </c>
      <c r="L278" s="16"/>
      <c r="M278" s="8" t="str">
        <f t="shared" si="4"/>
        <v/>
      </c>
      <c r="N278" s="9"/>
    </row>
    <row r="279" spans="1:14" ht="15.75">
      <c r="A279" s="11"/>
      <c r="B279" s="9"/>
      <c r="C279" s="12" t="str">
        <f>IF(B279="","",IFERROR(INDEX('Cashier Roster'!$C$5:$C$64,MATCH(B279,'Cashier Roster'!$B$5:$B$64,0)),"Not on roster"))</f>
        <v/>
      </c>
      <c r="D279" s="12" t="str">
        <f>IF(B279="","",IFERROR(INDEX('Cashier Roster'!$D$5:$D$64,MATCH(B279,'Cashier Roster'!$B$5:$B$64,0)),""))</f>
        <v/>
      </c>
      <c r="E279" s="13"/>
      <c r="F279" s="14"/>
      <c r="G279" s="8" t="str">
        <f>IF(OR(B279="",E279=""),"",IF(E279="No","Missed",IF(F279="","",IF(F279&lt;=Settings!$B$7,"On time","Late"))))</f>
        <v/>
      </c>
      <c r="H279" s="15"/>
      <c r="I279" s="16"/>
      <c r="J279" s="16"/>
      <c r="K279" s="17" t="str">
        <f>IF(J279="","",ROUND(J279*Settings!$B$8,2))</f>
        <v/>
      </c>
      <c r="L279" s="16"/>
      <c r="M279" s="8" t="str">
        <f t="shared" si="4"/>
        <v/>
      </c>
      <c r="N279" s="9"/>
    </row>
    <row r="280" spans="1:14" ht="15.75">
      <c r="A280" s="11"/>
      <c r="B280" s="9"/>
      <c r="C280" s="12" t="str">
        <f>IF(B280="","",IFERROR(INDEX('Cashier Roster'!$C$5:$C$64,MATCH(B280,'Cashier Roster'!$B$5:$B$64,0)),"Not on roster"))</f>
        <v/>
      </c>
      <c r="D280" s="12" t="str">
        <f>IF(B280="","",IFERROR(INDEX('Cashier Roster'!$D$5:$D$64,MATCH(B280,'Cashier Roster'!$B$5:$B$64,0)),""))</f>
        <v/>
      </c>
      <c r="E280" s="13"/>
      <c r="F280" s="14"/>
      <c r="G280" s="8" t="str">
        <f>IF(OR(B280="",E280=""),"",IF(E280="No","Missed",IF(F280="","",IF(F280&lt;=Settings!$B$7,"On time","Late"))))</f>
        <v/>
      </c>
      <c r="H280" s="15"/>
      <c r="I280" s="16"/>
      <c r="J280" s="16"/>
      <c r="K280" s="17" t="str">
        <f>IF(J280="","",ROUND(J280*Settings!$B$8,2))</f>
        <v/>
      </c>
      <c r="L280" s="16"/>
      <c r="M280" s="8" t="str">
        <f t="shared" si="4"/>
        <v/>
      </c>
      <c r="N280" s="9"/>
    </row>
    <row r="281" spans="1:14" ht="15.75">
      <c r="A281" s="11"/>
      <c r="B281" s="9"/>
      <c r="C281" s="12" t="str">
        <f>IF(B281="","",IFERROR(INDEX('Cashier Roster'!$C$5:$C$64,MATCH(B281,'Cashier Roster'!$B$5:$B$64,0)),"Not on roster"))</f>
        <v/>
      </c>
      <c r="D281" s="12" t="str">
        <f>IF(B281="","",IFERROR(INDEX('Cashier Roster'!$D$5:$D$64,MATCH(B281,'Cashier Roster'!$B$5:$B$64,0)),""))</f>
        <v/>
      </c>
      <c r="E281" s="13"/>
      <c r="F281" s="14"/>
      <c r="G281" s="8" t="str">
        <f>IF(OR(B281="",E281=""),"",IF(E281="No","Missed",IF(F281="","",IF(F281&lt;=Settings!$B$7,"On time","Late"))))</f>
        <v/>
      </c>
      <c r="H281" s="15"/>
      <c r="I281" s="16"/>
      <c r="J281" s="16"/>
      <c r="K281" s="17" t="str">
        <f>IF(J281="","",ROUND(J281*Settings!$B$8,2))</f>
        <v/>
      </c>
      <c r="L281" s="16"/>
      <c r="M281" s="8" t="str">
        <f t="shared" si="4"/>
        <v/>
      </c>
      <c r="N281" s="9"/>
    </row>
    <row r="282" spans="1:14" ht="15.75">
      <c r="A282" s="11"/>
      <c r="B282" s="9"/>
      <c r="C282" s="12" t="str">
        <f>IF(B282="","",IFERROR(INDEX('Cashier Roster'!$C$5:$C$64,MATCH(B282,'Cashier Roster'!$B$5:$B$64,0)),"Not on roster"))</f>
        <v/>
      </c>
      <c r="D282" s="12" t="str">
        <f>IF(B282="","",IFERROR(INDEX('Cashier Roster'!$D$5:$D$64,MATCH(B282,'Cashier Roster'!$B$5:$B$64,0)),""))</f>
        <v/>
      </c>
      <c r="E282" s="13"/>
      <c r="F282" s="14"/>
      <c r="G282" s="8" t="str">
        <f>IF(OR(B282="",E282=""),"",IF(E282="No","Missed",IF(F282="","",IF(F282&lt;=Settings!$B$7,"On time","Late"))))</f>
        <v/>
      </c>
      <c r="H282" s="15"/>
      <c r="I282" s="16"/>
      <c r="J282" s="16"/>
      <c r="K282" s="17" t="str">
        <f>IF(J282="","",ROUND(J282*Settings!$B$8,2))</f>
        <v/>
      </c>
      <c r="L282" s="16"/>
      <c r="M282" s="8" t="str">
        <f t="shared" si="4"/>
        <v/>
      </c>
      <c r="N282" s="9"/>
    </row>
    <row r="283" spans="1:14" ht="15.75">
      <c r="A283" s="11"/>
      <c r="B283" s="9"/>
      <c r="C283" s="12" t="str">
        <f>IF(B283="","",IFERROR(INDEX('Cashier Roster'!$C$5:$C$64,MATCH(B283,'Cashier Roster'!$B$5:$B$64,0)),"Not on roster"))</f>
        <v/>
      </c>
      <c r="D283" s="12" t="str">
        <f>IF(B283="","",IFERROR(INDEX('Cashier Roster'!$D$5:$D$64,MATCH(B283,'Cashier Roster'!$B$5:$B$64,0)),""))</f>
        <v/>
      </c>
      <c r="E283" s="13"/>
      <c r="F283" s="14"/>
      <c r="G283" s="8" t="str">
        <f>IF(OR(B283="",E283=""),"",IF(E283="No","Missed",IF(F283="","",IF(F283&lt;=Settings!$B$7,"On time","Late"))))</f>
        <v/>
      </c>
      <c r="H283" s="15"/>
      <c r="I283" s="16"/>
      <c r="J283" s="16"/>
      <c r="K283" s="17" t="str">
        <f>IF(J283="","",ROUND(J283*Settings!$B$8,2))</f>
        <v/>
      </c>
      <c r="L283" s="16"/>
      <c r="M283" s="8" t="str">
        <f t="shared" si="4"/>
        <v/>
      </c>
      <c r="N283" s="9"/>
    </row>
    <row r="284" spans="1:14" ht="15.75">
      <c r="A284" s="11"/>
      <c r="B284" s="9"/>
      <c r="C284" s="12" t="str">
        <f>IF(B284="","",IFERROR(INDEX('Cashier Roster'!$C$5:$C$64,MATCH(B284,'Cashier Roster'!$B$5:$B$64,0)),"Not on roster"))</f>
        <v/>
      </c>
      <c r="D284" s="12" t="str">
        <f>IF(B284="","",IFERROR(INDEX('Cashier Roster'!$D$5:$D$64,MATCH(B284,'Cashier Roster'!$B$5:$B$64,0)),""))</f>
        <v/>
      </c>
      <c r="E284" s="13"/>
      <c r="F284" s="14"/>
      <c r="G284" s="8" t="str">
        <f>IF(OR(B284="",E284=""),"",IF(E284="No","Missed",IF(F284="","",IF(F284&lt;=Settings!$B$7,"On time","Late"))))</f>
        <v/>
      </c>
      <c r="H284" s="15"/>
      <c r="I284" s="16"/>
      <c r="J284" s="16"/>
      <c r="K284" s="17" t="str">
        <f>IF(J284="","",ROUND(J284*Settings!$B$8,2))</f>
        <v/>
      </c>
      <c r="L284" s="16"/>
      <c r="M284" s="8" t="str">
        <f t="shared" si="4"/>
        <v/>
      </c>
      <c r="N284" s="9"/>
    </row>
    <row r="285" spans="1:14" ht="15.75">
      <c r="A285" s="11"/>
      <c r="B285" s="9"/>
      <c r="C285" s="12" t="str">
        <f>IF(B285="","",IFERROR(INDEX('Cashier Roster'!$C$5:$C$64,MATCH(B285,'Cashier Roster'!$B$5:$B$64,0)),"Not on roster"))</f>
        <v/>
      </c>
      <c r="D285" s="12" t="str">
        <f>IF(B285="","",IFERROR(INDEX('Cashier Roster'!$D$5:$D$64,MATCH(B285,'Cashier Roster'!$B$5:$B$64,0)),""))</f>
        <v/>
      </c>
      <c r="E285" s="13"/>
      <c r="F285" s="14"/>
      <c r="G285" s="8" t="str">
        <f>IF(OR(B285="",E285=""),"",IF(E285="No","Missed",IF(F285="","",IF(F285&lt;=Settings!$B$7,"On time","Late"))))</f>
        <v/>
      </c>
      <c r="H285" s="15"/>
      <c r="I285" s="16"/>
      <c r="J285" s="16"/>
      <c r="K285" s="17" t="str">
        <f>IF(J285="","",ROUND(J285*Settings!$B$8,2))</f>
        <v/>
      </c>
      <c r="L285" s="16"/>
      <c r="M285" s="8" t="str">
        <f t="shared" si="4"/>
        <v/>
      </c>
      <c r="N285" s="9"/>
    </row>
    <row r="286" spans="1:14" ht="15.75">
      <c r="A286" s="11"/>
      <c r="B286" s="9"/>
      <c r="C286" s="12" t="str">
        <f>IF(B286="","",IFERROR(INDEX('Cashier Roster'!$C$5:$C$64,MATCH(B286,'Cashier Roster'!$B$5:$B$64,0)),"Not on roster"))</f>
        <v/>
      </c>
      <c r="D286" s="12" t="str">
        <f>IF(B286="","",IFERROR(INDEX('Cashier Roster'!$D$5:$D$64,MATCH(B286,'Cashier Roster'!$B$5:$B$64,0)),""))</f>
        <v/>
      </c>
      <c r="E286" s="13"/>
      <c r="F286" s="14"/>
      <c r="G286" s="8" t="str">
        <f>IF(OR(B286="",E286=""),"",IF(E286="No","Missed",IF(F286="","",IF(F286&lt;=Settings!$B$7,"On time","Late"))))</f>
        <v/>
      </c>
      <c r="H286" s="15"/>
      <c r="I286" s="16"/>
      <c r="J286" s="16"/>
      <c r="K286" s="17" t="str">
        <f>IF(J286="","",ROUND(J286*Settings!$B$8,2))</f>
        <v/>
      </c>
      <c r="L286" s="16"/>
      <c r="M286" s="8" t="str">
        <f t="shared" si="4"/>
        <v/>
      </c>
      <c r="N286" s="9"/>
    </row>
    <row r="287" spans="1:14" ht="15.75">
      <c r="A287" s="11"/>
      <c r="B287" s="9"/>
      <c r="C287" s="12" t="str">
        <f>IF(B287="","",IFERROR(INDEX('Cashier Roster'!$C$5:$C$64,MATCH(B287,'Cashier Roster'!$B$5:$B$64,0)),"Not on roster"))</f>
        <v/>
      </c>
      <c r="D287" s="12" t="str">
        <f>IF(B287="","",IFERROR(INDEX('Cashier Roster'!$D$5:$D$64,MATCH(B287,'Cashier Roster'!$B$5:$B$64,0)),""))</f>
        <v/>
      </c>
      <c r="E287" s="13"/>
      <c r="F287" s="14"/>
      <c r="G287" s="8" t="str">
        <f>IF(OR(B287="",E287=""),"",IF(E287="No","Missed",IF(F287="","",IF(F287&lt;=Settings!$B$7,"On time","Late"))))</f>
        <v/>
      </c>
      <c r="H287" s="15"/>
      <c r="I287" s="16"/>
      <c r="J287" s="16"/>
      <c r="K287" s="17" t="str">
        <f>IF(J287="","",ROUND(J287*Settings!$B$8,2))</f>
        <v/>
      </c>
      <c r="L287" s="16"/>
      <c r="M287" s="8" t="str">
        <f t="shared" si="4"/>
        <v/>
      </c>
      <c r="N287" s="9"/>
    </row>
    <row r="288" spans="1:14" ht="15.75">
      <c r="A288" s="11"/>
      <c r="B288" s="9"/>
      <c r="C288" s="12" t="str">
        <f>IF(B288="","",IFERROR(INDEX('Cashier Roster'!$C$5:$C$64,MATCH(B288,'Cashier Roster'!$B$5:$B$64,0)),"Not on roster"))</f>
        <v/>
      </c>
      <c r="D288" s="12" t="str">
        <f>IF(B288="","",IFERROR(INDEX('Cashier Roster'!$D$5:$D$64,MATCH(B288,'Cashier Roster'!$B$5:$B$64,0)),""))</f>
        <v/>
      </c>
      <c r="E288" s="13"/>
      <c r="F288" s="14"/>
      <c r="G288" s="8" t="str">
        <f>IF(OR(B288="",E288=""),"",IF(E288="No","Missed",IF(F288="","",IF(F288&lt;=Settings!$B$7,"On time","Late"))))</f>
        <v/>
      </c>
      <c r="H288" s="15"/>
      <c r="I288" s="16"/>
      <c r="J288" s="16"/>
      <c r="K288" s="17" t="str">
        <f>IF(J288="","",ROUND(J288*Settings!$B$8,2))</f>
        <v/>
      </c>
      <c r="L288" s="16"/>
      <c r="M288" s="8" t="str">
        <f t="shared" si="4"/>
        <v/>
      </c>
      <c r="N288" s="9"/>
    </row>
    <row r="289" spans="1:14" ht="15.75">
      <c r="A289" s="11"/>
      <c r="B289" s="9"/>
      <c r="C289" s="12" t="str">
        <f>IF(B289="","",IFERROR(INDEX('Cashier Roster'!$C$5:$C$64,MATCH(B289,'Cashier Roster'!$B$5:$B$64,0)),"Not on roster"))</f>
        <v/>
      </c>
      <c r="D289" s="12" t="str">
        <f>IF(B289="","",IFERROR(INDEX('Cashier Roster'!$D$5:$D$64,MATCH(B289,'Cashier Roster'!$B$5:$B$64,0)),""))</f>
        <v/>
      </c>
      <c r="E289" s="13"/>
      <c r="F289" s="14"/>
      <c r="G289" s="8" t="str">
        <f>IF(OR(B289="",E289=""),"",IF(E289="No","Missed",IF(F289="","",IF(F289&lt;=Settings!$B$7,"On time","Late"))))</f>
        <v/>
      </c>
      <c r="H289" s="15"/>
      <c r="I289" s="16"/>
      <c r="J289" s="16"/>
      <c r="K289" s="17" t="str">
        <f>IF(J289="","",ROUND(J289*Settings!$B$8,2))</f>
        <v/>
      </c>
      <c r="L289" s="16"/>
      <c r="M289" s="8" t="str">
        <f t="shared" si="4"/>
        <v/>
      </c>
      <c r="N289" s="9"/>
    </row>
    <row r="290" spans="1:14" ht="15.75">
      <c r="A290" s="11"/>
      <c r="B290" s="9"/>
      <c r="C290" s="12" t="str">
        <f>IF(B290="","",IFERROR(INDEX('Cashier Roster'!$C$5:$C$64,MATCH(B290,'Cashier Roster'!$B$5:$B$64,0)),"Not on roster"))</f>
        <v/>
      </c>
      <c r="D290" s="12" t="str">
        <f>IF(B290="","",IFERROR(INDEX('Cashier Roster'!$D$5:$D$64,MATCH(B290,'Cashier Roster'!$B$5:$B$64,0)),""))</f>
        <v/>
      </c>
      <c r="E290" s="13"/>
      <c r="F290" s="14"/>
      <c r="G290" s="8" t="str">
        <f>IF(OR(B290="",E290=""),"",IF(E290="No","Missed",IF(F290="","",IF(F290&lt;=Settings!$B$7,"On time","Late"))))</f>
        <v/>
      </c>
      <c r="H290" s="15"/>
      <c r="I290" s="16"/>
      <c r="J290" s="16"/>
      <c r="K290" s="17" t="str">
        <f>IF(J290="","",ROUND(J290*Settings!$B$8,2))</f>
        <v/>
      </c>
      <c r="L290" s="16"/>
      <c r="M290" s="8" t="str">
        <f t="shared" si="4"/>
        <v/>
      </c>
      <c r="N290" s="9"/>
    </row>
    <row r="291" spans="1:14" ht="15.75">
      <c r="A291" s="11"/>
      <c r="B291" s="9"/>
      <c r="C291" s="12" t="str">
        <f>IF(B291="","",IFERROR(INDEX('Cashier Roster'!$C$5:$C$64,MATCH(B291,'Cashier Roster'!$B$5:$B$64,0)),"Not on roster"))</f>
        <v/>
      </c>
      <c r="D291" s="12" t="str">
        <f>IF(B291="","",IFERROR(INDEX('Cashier Roster'!$D$5:$D$64,MATCH(B291,'Cashier Roster'!$B$5:$B$64,0)),""))</f>
        <v/>
      </c>
      <c r="E291" s="13"/>
      <c r="F291" s="14"/>
      <c r="G291" s="8" t="str">
        <f>IF(OR(B291="",E291=""),"",IF(E291="No","Missed",IF(F291="","",IF(F291&lt;=Settings!$B$7,"On time","Late"))))</f>
        <v/>
      </c>
      <c r="H291" s="15"/>
      <c r="I291" s="16"/>
      <c r="J291" s="16"/>
      <c r="K291" s="17" t="str">
        <f>IF(J291="","",ROUND(J291*Settings!$B$8,2))</f>
        <v/>
      </c>
      <c r="L291" s="16"/>
      <c r="M291" s="8" t="str">
        <f t="shared" si="4"/>
        <v/>
      </c>
      <c r="N291" s="9"/>
    </row>
    <row r="292" spans="1:14" ht="15.75">
      <c r="A292" s="11"/>
      <c r="B292" s="9"/>
      <c r="C292" s="12" t="str">
        <f>IF(B292="","",IFERROR(INDEX('Cashier Roster'!$C$5:$C$64,MATCH(B292,'Cashier Roster'!$B$5:$B$64,0)),"Not on roster"))</f>
        <v/>
      </c>
      <c r="D292" s="12" t="str">
        <f>IF(B292="","",IFERROR(INDEX('Cashier Roster'!$D$5:$D$64,MATCH(B292,'Cashier Roster'!$B$5:$B$64,0)),""))</f>
        <v/>
      </c>
      <c r="E292" s="13"/>
      <c r="F292" s="14"/>
      <c r="G292" s="8" t="str">
        <f>IF(OR(B292="",E292=""),"",IF(E292="No","Missed",IF(F292="","",IF(F292&lt;=Settings!$B$7,"On time","Late"))))</f>
        <v/>
      </c>
      <c r="H292" s="15"/>
      <c r="I292" s="16"/>
      <c r="J292" s="16"/>
      <c r="K292" s="17" t="str">
        <f>IF(J292="","",ROUND(J292*Settings!$B$8,2))</f>
        <v/>
      </c>
      <c r="L292" s="16"/>
      <c r="M292" s="8" t="str">
        <f t="shared" si="4"/>
        <v/>
      </c>
      <c r="N292" s="9"/>
    </row>
    <row r="293" spans="1:14" ht="15.75">
      <c r="A293" s="11"/>
      <c r="B293" s="9"/>
      <c r="C293" s="12" t="str">
        <f>IF(B293="","",IFERROR(INDEX('Cashier Roster'!$C$5:$C$64,MATCH(B293,'Cashier Roster'!$B$5:$B$64,0)),"Not on roster"))</f>
        <v/>
      </c>
      <c r="D293" s="12" t="str">
        <f>IF(B293="","",IFERROR(INDEX('Cashier Roster'!$D$5:$D$64,MATCH(B293,'Cashier Roster'!$B$5:$B$64,0)),""))</f>
        <v/>
      </c>
      <c r="E293" s="13"/>
      <c r="F293" s="14"/>
      <c r="G293" s="8" t="str">
        <f>IF(OR(B293="",E293=""),"",IF(E293="No","Missed",IF(F293="","",IF(F293&lt;=Settings!$B$7,"On time","Late"))))</f>
        <v/>
      </c>
      <c r="H293" s="15"/>
      <c r="I293" s="16"/>
      <c r="J293" s="16"/>
      <c r="K293" s="17" t="str">
        <f>IF(J293="","",ROUND(J293*Settings!$B$8,2))</f>
        <v/>
      </c>
      <c r="L293" s="16"/>
      <c r="M293" s="8" t="str">
        <f t="shared" si="4"/>
        <v/>
      </c>
      <c r="N293" s="9"/>
    </row>
    <row r="294" spans="1:14" ht="15.75">
      <c r="A294" s="11"/>
      <c r="B294" s="9"/>
      <c r="C294" s="12" t="str">
        <f>IF(B294="","",IFERROR(INDEX('Cashier Roster'!$C$5:$C$64,MATCH(B294,'Cashier Roster'!$B$5:$B$64,0)),"Not on roster"))</f>
        <v/>
      </c>
      <c r="D294" s="12" t="str">
        <f>IF(B294="","",IFERROR(INDEX('Cashier Roster'!$D$5:$D$64,MATCH(B294,'Cashier Roster'!$B$5:$B$64,0)),""))</f>
        <v/>
      </c>
      <c r="E294" s="13"/>
      <c r="F294" s="14"/>
      <c r="G294" s="8" t="str">
        <f>IF(OR(B294="",E294=""),"",IF(E294="No","Missed",IF(F294="","",IF(F294&lt;=Settings!$B$7,"On time","Late"))))</f>
        <v/>
      </c>
      <c r="H294" s="15"/>
      <c r="I294" s="16"/>
      <c r="J294" s="16"/>
      <c r="K294" s="17" t="str">
        <f>IF(J294="","",ROUND(J294*Settings!$B$8,2))</f>
        <v/>
      </c>
      <c r="L294" s="16"/>
      <c r="M294" s="8" t="str">
        <f t="shared" si="4"/>
        <v/>
      </c>
      <c r="N294" s="9"/>
    </row>
    <row r="295" spans="1:14" ht="15.75">
      <c r="A295" s="11"/>
      <c r="B295" s="9"/>
      <c r="C295" s="12" t="str">
        <f>IF(B295="","",IFERROR(INDEX('Cashier Roster'!$C$5:$C$64,MATCH(B295,'Cashier Roster'!$B$5:$B$64,0)),"Not on roster"))</f>
        <v/>
      </c>
      <c r="D295" s="12" t="str">
        <f>IF(B295="","",IFERROR(INDEX('Cashier Roster'!$D$5:$D$64,MATCH(B295,'Cashier Roster'!$B$5:$B$64,0)),""))</f>
        <v/>
      </c>
      <c r="E295" s="13"/>
      <c r="F295" s="14"/>
      <c r="G295" s="8" t="str">
        <f>IF(OR(B295="",E295=""),"",IF(E295="No","Missed",IF(F295="","",IF(F295&lt;=Settings!$B$7,"On time","Late"))))</f>
        <v/>
      </c>
      <c r="H295" s="15"/>
      <c r="I295" s="16"/>
      <c r="J295" s="16"/>
      <c r="K295" s="17" t="str">
        <f>IF(J295="","",ROUND(J295*Settings!$B$8,2))</f>
        <v/>
      </c>
      <c r="L295" s="16"/>
      <c r="M295" s="8" t="str">
        <f t="shared" si="4"/>
        <v/>
      </c>
      <c r="N295" s="9"/>
    </row>
    <row r="296" spans="1:14" ht="15.75">
      <c r="A296" s="11"/>
      <c r="B296" s="9"/>
      <c r="C296" s="12" t="str">
        <f>IF(B296="","",IFERROR(INDEX('Cashier Roster'!$C$5:$C$64,MATCH(B296,'Cashier Roster'!$B$5:$B$64,0)),"Not on roster"))</f>
        <v/>
      </c>
      <c r="D296" s="12" t="str">
        <f>IF(B296="","",IFERROR(INDEX('Cashier Roster'!$D$5:$D$64,MATCH(B296,'Cashier Roster'!$B$5:$B$64,0)),""))</f>
        <v/>
      </c>
      <c r="E296" s="13"/>
      <c r="F296" s="14"/>
      <c r="G296" s="8" t="str">
        <f>IF(OR(B296="",E296=""),"",IF(E296="No","Missed",IF(F296="","",IF(F296&lt;=Settings!$B$7,"On time","Late"))))</f>
        <v/>
      </c>
      <c r="H296" s="15"/>
      <c r="I296" s="16"/>
      <c r="J296" s="16"/>
      <c r="K296" s="17" t="str">
        <f>IF(J296="","",ROUND(J296*Settings!$B$8,2))</f>
        <v/>
      </c>
      <c r="L296" s="16"/>
      <c r="M296" s="8" t="str">
        <f t="shared" si="4"/>
        <v/>
      </c>
      <c r="N296" s="9"/>
    </row>
    <row r="297" spans="1:14" ht="15.75">
      <c r="A297" s="11"/>
      <c r="B297" s="9"/>
      <c r="C297" s="12" t="str">
        <f>IF(B297="","",IFERROR(INDEX('Cashier Roster'!$C$5:$C$64,MATCH(B297,'Cashier Roster'!$B$5:$B$64,0)),"Not on roster"))</f>
        <v/>
      </c>
      <c r="D297" s="12" t="str">
        <f>IF(B297="","",IFERROR(INDEX('Cashier Roster'!$D$5:$D$64,MATCH(B297,'Cashier Roster'!$B$5:$B$64,0)),""))</f>
        <v/>
      </c>
      <c r="E297" s="13"/>
      <c r="F297" s="14"/>
      <c r="G297" s="8" t="str">
        <f>IF(OR(B297="",E297=""),"",IF(E297="No","Missed",IF(F297="","",IF(F297&lt;=Settings!$B$7,"On time","Late"))))</f>
        <v/>
      </c>
      <c r="H297" s="15"/>
      <c r="I297" s="16"/>
      <c r="J297" s="16"/>
      <c r="K297" s="17" t="str">
        <f>IF(J297="","",ROUND(J297*Settings!$B$8,2))</f>
        <v/>
      </c>
      <c r="L297" s="16"/>
      <c r="M297" s="8" t="str">
        <f t="shared" si="4"/>
        <v/>
      </c>
      <c r="N297" s="9"/>
    </row>
    <row r="298" spans="1:14" ht="15.75">
      <c r="A298" s="11"/>
      <c r="B298" s="9"/>
      <c r="C298" s="12" t="str">
        <f>IF(B298="","",IFERROR(INDEX('Cashier Roster'!$C$5:$C$64,MATCH(B298,'Cashier Roster'!$B$5:$B$64,0)),"Not on roster"))</f>
        <v/>
      </c>
      <c r="D298" s="12" t="str">
        <f>IF(B298="","",IFERROR(INDEX('Cashier Roster'!$D$5:$D$64,MATCH(B298,'Cashier Roster'!$B$5:$B$64,0)),""))</f>
        <v/>
      </c>
      <c r="E298" s="13"/>
      <c r="F298" s="14"/>
      <c r="G298" s="8" t="str">
        <f>IF(OR(B298="",E298=""),"",IF(E298="No","Missed",IF(F298="","",IF(F298&lt;=Settings!$B$7,"On time","Late"))))</f>
        <v/>
      </c>
      <c r="H298" s="15"/>
      <c r="I298" s="16"/>
      <c r="J298" s="16"/>
      <c r="K298" s="17" t="str">
        <f>IF(J298="","",ROUND(J298*Settings!$B$8,2))</f>
        <v/>
      </c>
      <c r="L298" s="16"/>
      <c r="M298" s="8" t="str">
        <f t="shared" si="4"/>
        <v/>
      </c>
      <c r="N298" s="9"/>
    </row>
    <row r="299" spans="1:14" ht="15.75">
      <c r="A299" s="11"/>
      <c r="B299" s="9"/>
      <c r="C299" s="12" t="str">
        <f>IF(B299="","",IFERROR(INDEX('Cashier Roster'!$C$5:$C$64,MATCH(B299,'Cashier Roster'!$B$5:$B$64,0)),"Not on roster"))</f>
        <v/>
      </c>
      <c r="D299" s="12" t="str">
        <f>IF(B299="","",IFERROR(INDEX('Cashier Roster'!$D$5:$D$64,MATCH(B299,'Cashier Roster'!$B$5:$B$64,0)),""))</f>
        <v/>
      </c>
      <c r="E299" s="13"/>
      <c r="F299" s="14"/>
      <c r="G299" s="8" t="str">
        <f>IF(OR(B299="",E299=""),"",IF(E299="No","Missed",IF(F299="","",IF(F299&lt;=Settings!$B$7,"On time","Late"))))</f>
        <v/>
      </c>
      <c r="H299" s="15"/>
      <c r="I299" s="16"/>
      <c r="J299" s="16"/>
      <c r="K299" s="17" t="str">
        <f>IF(J299="","",ROUND(J299*Settings!$B$8,2))</f>
        <v/>
      </c>
      <c r="L299" s="16"/>
      <c r="M299" s="8" t="str">
        <f t="shared" si="4"/>
        <v/>
      </c>
      <c r="N299" s="9"/>
    </row>
    <row r="300" spans="1:14" ht="15.75">
      <c r="A300" s="11"/>
      <c r="B300" s="9"/>
      <c r="C300" s="12" t="str">
        <f>IF(B300="","",IFERROR(INDEX('Cashier Roster'!$C$5:$C$64,MATCH(B300,'Cashier Roster'!$B$5:$B$64,0)),"Not on roster"))</f>
        <v/>
      </c>
      <c r="D300" s="12" t="str">
        <f>IF(B300="","",IFERROR(INDEX('Cashier Roster'!$D$5:$D$64,MATCH(B300,'Cashier Roster'!$B$5:$B$64,0)),""))</f>
        <v/>
      </c>
      <c r="E300" s="13"/>
      <c r="F300" s="14"/>
      <c r="G300" s="8" t="str">
        <f>IF(OR(B300="",E300=""),"",IF(E300="No","Missed",IF(F300="","",IF(F300&lt;=Settings!$B$7,"On time","Late"))))</f>
        <v/>
      </c>
      <c r="H300" s="15"/>
      <c r="I300" s="16"/>
      <c r="J300" s="16"/>
      <c r="K300" s="17" t="str">
        <f>IF(J300="","",ROUND(J300*Settings!$B$8,2))</f>
        <v/>
      </c>
      <c r="L300" s="16"/>
      <c r="M300" s="8" t="str">
        <f t="shared" si="4"/>
        <v/>
      </c>
      <c r="N300" s="9"/>
    </row>
    <row r="301" spans="1:14" ht="15.75">
      <c r="A301" s="11"/>
      <c r="B301" s="9"/>
      <c r="C301" s="12" t="str">
        <f>IF(B301="","",IFERROR(INDEX('Cashier Roster'!$C$5:$C$64,MATCH(B301,'Cashier Roster'!$B$5:$B$64,0)),"Not on roster"))</f>
        <v/>
      </c>
      <c r="D301" s="12" t="str">
        <f>IF(B301="","",IFERROR(INDEX('Cashier Roster'!$D$5:$D$64,MATCH(B301,'Cashier Roster'!$B$5:$B$64,0)),""))</f>
        <v/>
      </c>
      <c r="E301" s="13"/>
      <c r="F301" s="14"/>
      <c r="G301" s="8" t="str">
        <f>IF(OR(B301="",E301=""),"",IF(E301="No","Missed",IF(F301="","",IF(F301&lt;=Settings!$B$7,"On time","Late"))))</f>
        <v/>
      </c>
      <c r="H301" s="15"/>
      <c r="I301" s="16"/>
      <c r="J301" s="16"/>
      <c r="K301" s="17" t="str">
        <f>IF(J301="","",ROUND(J301*Settings!$B$8,2))</f>
        <v/>
      </c>
      <c r="L301" s="16"/>
      <c r="M301" s="8" t="str">
        <f t="shared" si="4"/>
        <v/>
      </c>
      <c r="N301" s="9"/>
    </row>
    <row r="302" spans="1:14" ht="15.75">
      <c r="A302" s="11"/>
      <c r="B302" s="9"/>
      <c r="C302" s="12" t="str">
        <f>IF(B302="","",IFERROR(INDEX('Cashier Roster'!$C$5:$C$64,MATCH(B302,'Cashier Roster'!$B$5:$B$64,0)),"Not on roster"))</f>
        <v/>
      </c>
      <c r="D302" s="12" t="str">
        <f>IF(B302="","",IFERROR(INDEX('Cashier Roster'!$D$5:$D$64,MATCH(B302,'Cashier Roster'!$B$5:$B$64,0)),""))</f>
        <v/>
      </c>
      <c r="E302" s="13"/>
      <c r="F302" s="14"/>
      <c r="G302" s="8" t="str">
        <f>IF(OR(B302="",E302=""),"",IF(E302="No","Missed",IF(F302="","",IF(F302&lt;=Settings!$B$7,"On time","Late"))))</f>
        <v/>
      </c>
      <c r="H302" s="15"/>
      <c r="I302" s="16"/>
      <c r="J302" s="16"/>
      <c r="K302" s="17" t="str">
        <f>IF(J302="","",ROUND(J302*Settings!$B$8,2))</f>
        <v/>
      </c>
      <c r="L302" s="16"/>
      <c r="M302" s="8" t="str">
        <f t="shared" si="4"/>
        <v/>
      </c>
      <c r="N302" s="9"/>
    </row>
    <row r="303" spans="1:14" ht="15.75">
      <c r="A303" s="11"/>
      <c r="B303" s="9"/>
      <c r="C303" s="12" t="str">
        <f>IF(B303="","",IFERROR(INDEX('Cashier Roster'!$C$5:$C$64,MATCH(B303,'Cashier Roster'!$B$5:$B$64,0)),"Not on roster"))</f>
        <v/>
      </c>
      <c r="D303" s="12" t="str">
        <f>IF(B303="","",IFERROR(INDEX('Cashier Roster'!$D$5:$D$64,MATCH(B303,'Cashier Roster'!$B$5:$B$64,0)),""))</f>
        <v/>
      </c>
      <c r="E303" s="13"/>
      <c r="F303" s="14"/>
      <c r="G303" s="8" t="str">
        <f>IF(OR(B303="",E303=""),"",IF(E303="No","Missed",IF(F303="","",IF(F303&lt;=Settings!$B$7,"On time","Late"))))</f>
        <v/>
      </c>
      <c r="H303" s="15"/>
      <c r="I303" s="16"/>
      <c r="J303" s="16"/>
      <c r="K303" s="17" t="str">
        <f>IF(J303="","",ROUND(J303*Settings!$B$8,2))</f>
        <v/>
      </c>
      <c r="L303" s="16"/>
      <c r="M303" s="8" t="str">
        <f t="shared" si="4"/>
        <v/>
      </c>
      <c r="N303" s="9"/>
    </row>
    <row r="304" spans="1:14" ht="15.75">
      <c r="A304" s="11"/>
      <c r="B304" s="9"/>
      <c r="C304" s="12" t="str">
        <f>IF(B304="","",IFERROR(INDEX('Cashier Roster'!$C$5:$C$64,MATCH(B304,'Cashier Roster'!$B$5:$B$64,0)),"Not on roster"))</f>
        <v/>
      </c>
      <c r="D304" s="12" t="str">
        <f>IF(B304="","",IFERROR(INDEX('Cashier Roster'!$D$5:$D$64,MATCH(B304,'Cashier Roster'!$B$5:$B$64,0)),""))</f>
        <v/>
      </c>
      <c r="E304" s="13"/>
      <c r="F304" s="14"/>
      <c r="G304" s="8" t="str">
        <f>IF(OR(B304="",E304=""),"",IF(E304="No","Missed",IF(F304="","",IF(F304&lt;=Settings!$B$7,"On time","Late"))))</f>
        <v/>
      </c>
      <c r="H304" s="15"/>
      <c r="I304" s="16"/>
      <c r="J304" s="16"/>
      <c r="K304" s="17" t="str">
        <f>IF(J304="","",ROUND(J304*Settings!$B$8,2))</f>
        <v/>
      </c>
      <c r="L304" s="16"/>
      <c r="M304" s="8" t="str">
        <f t="shared" si="4"/>
        <v/>
      </c>
      <c r="N304" s="9"/>
    </row>
    <row r="305" spans="1:14" ht="15.75">
      <c r="A305" s="11"/>
      <c r="B305" s="9"/>
      <c r="C305" s="12" t="str">
        <f>IF(B305="","",IFERROR(INDEX('Cashier Roster'!$C$5:$C$64,MATCH(B305,'Cashier Roster'!$B$5:$B$64,0)),"Not on roster"))</f>
        <v/>
      </c>
      <c r="D305" s="12" t="str">
        <f>IF(B305="","",IFERROR(INDEX('Cashier Roster'!$D$5:$D$64,MATCH(B305,'Cashier Roster'!$B$5:$B$64,0)),""))</f>
        <v/>
      </c>
      <c r="E305" s="13"/>
      <c r="F305" s="14"/>
      <c r="G305" s="8" t="str">
        <f>IF(OR(B305="",E305=""),"",IF(E305="No","Missed",IF(F305="","",IF(F305&lt;=Settings!$B$7,"On time","Late"))))</f>
        <v/>
      </c>
      <c r="H305" s="15"/>
      <c r="I305" s="16"/>
      <c r="J305" s="16"/>
      <c r="K305" s="17" t="str">
        <f>IF(J305="","",ROUND(J305*Settings!$B$8,2))</f>
        <v/>
      </c>
      <c r="L305" s="16"/>
      <c r="M305" s="8" t="str">
        <f t="shared" si="4"/>
        <v/>
      </c>
      <c r="N305" s="9"/>
    </row>
    <row r="306" spans="1:14" ht="15.75">
      <c r="A306" s="11"/>
      <c r="B306" s="9"/>
      <c r="C306" s="12" t="str">
        <f>IF(B306="","",IFERROR(INDEX('Cashier Roster'!$C$5:$C$64,MATCH(B306,'Cashier Roster'!$B$5:$B$64,0)),"Not on roster"))</f>
        <v/>
      </c>
      <c r="D306" s="12" t="str">
        <f>IF(B306="","",IFERROR(INDEX('Cashier Roster'!$D$5:$D$64,MATCH(B306,'Cashier Roster'!$B$5:$B$64,0)),""))</f>
        <v/>
      </c>
      <c r="E306" s="13"/>
      <c r="F306" s="14"/>
      <c r="G306" s="8" t="str">
        <f>IF(OR(B306="",E306=""),"",IF(E306="No","Missed",IF(F306="","",IF(F306&lt;=Settings!$B$7,"On time","Late"))))</f>
        <v/>
      </c>
      <c r="H306" s="15"/>
      <c r="I306" s="16"/>
      <c r="J306" s="16"/>
      <c r="K306" s="17" t="str">
        <f>IF(J306="","",ROUND(J306*Settings!$B$8,2))</f>
        <v/>
      </c>
      <c r="L306" s="16"/>
      <c r="M306" s="8" t="str">
        <f t="shared" si="4"/>
        <v/>
      </c>
      <c r="N306" s="9"/>
    </row>
    <row r="307" spans="1:14" ht="15.75">
      <c r="A307" s="11"/>
      <c r="B307" s="9"/>
      <c r="C307" s="12" t="str">
        <f>IF(B307="","",IFERROR(INDEX('Cashier Roster'!$C$5:$C$64,MATCH(B307,'Cashier Roster'!$B$5:$B$64,0)),"Not on roster"))</f>
        <v/>
      </c>
      <c r="D307" s="12" t="str">
        <f>IF(B307="","",IFERROR(INDEX('Cashier Roster'!$D$5:$D$64,MATCH(B307,'Cashier Roster'!$B$5:$B$64,0)),""))</f>
        <v/>
      </c>
      <c r="E307" s="13"/>
      <c r="F307" s="14"/>
      <c r="G307" s="8" t="str">
        <f>IF(OR(B307="",E307=""),"",IF(E307="No","Missed",IF(F307="","",IF(F307&lt;=Settings!$B$7,"On time","Late"))))</f>
        <v/>
      </c>
      <c r="H307" s="15"/>
      <c r="I307" s="16"/>
      <c r="J307" s="16"/>
      <c r="K307" s="17" t="str">
        <f>IF(J307="","",ROUND(J307*Settings!$B$8,2))</f>
        <v/>
      </c>
      <c r="L307" s="16"/>
      <c r="M307" s="8" t="str">
        <f t="shared" si="4"/>
        <v/>
      </c>
      <c r="N307" s="9"/>
    </row>
    <row r="308" spans="1:14" ht="15.75">
      <c r="A308" s="11"/>
      <c r="B308" s="9"/>
      <c r="C308" s="12" t="str">
        <f>IF(B308="","",IFERROR(INDEX('Cashier Roster'!$C$5:$C$64,MATCH(B308,'Cashier Roster'!$B$5:$B$64,0)),"Not on roster"))</f>
        <v/>
      </c>
      <c r="D308" s="12" t="str">
        <f>IF(B308="","",IFERROR(INDEX('Cashier Roster'!$D$5:$D$64,MATCH(B308,'Cashier Roster'!$B$5:$B$64,0)),""))</f>
        <v/>
      </c>
      <c r="E308" s="13"/>
      <c r="F308" s="14"/>
      <c r="G308" s="8" t="str">
        <f>IF(OR(B308="",E308=""),"",IF(E308="No","Missed",IF(F308="","",IF(F308&lt;=Settings!$B$7,"On time","Late"))))</f>
        <v/>
      </c>
      <c r="H308" s="15"/>
      <c r="I308" s="16"/>
      <c r="J308" s="16"/>
      <c r="K308" s="17" t="str">
        <f>IF(J308="","",ROUND(J308*Settings!$B$8,2))</f>
        <v/>
      </c>
      <c r="L308" s="16"/>
      <c r="M308" s="8" t="str">
        <f t="shared" si="4"/>
        <v/>
      </c>
      <c r="N308" s="9"/>
    </row>
    <row r="309" spans="1:14" ht="15.75">
      <c r="A309" s="11"/>
      <c r="B309" s="9"/>
      <c r="C309" s="12" t="str">
        <f>IF(B309="","",IFERROR(INDEX('Cashier Roster'!$C$5:$C$64,MATCH(B309,'Cashier Roster'!$B$5:$B$64,0)),"Not on roster"))</f>
        <v/>
      </c>
      <c r="D309" s="12" t="str">
        <f>IF(B309="","",IFERROR(INDEX('Cashier Roster'!$D$5:$D$64,MATCH(B309,'Cashier Roster'!$B$5:$B$64,0)),""))</f>
        <v/>
      </c>
      <c r="E309" s="13"/>
      <c r="F309" s="14"/>
      <c r="G309" s="8" t="str">
        <f>IF(OR(B309="",E309=""),"",IF(E309="No","Missed",IF(F309="","",IF(F309&lt;=Settings!$B$7,"On time","Late"))))</f>
        <v/>
      </c>
      <c r="H309" s="15"/>
      <c r="I309" s="16"/>
      <c r="J309" s="16"/>
      <c r="K309" s="17" t="str">
        <f>IF(J309="","",ROUND(J309*Settings!$B$8,2))</f>
        <v/>
      </c>
      <c r="L309" s="16"/>
      <c r="M309" s="8" t="str">
        <f t="shared" si="4"/>
        <v/>
      </c>
      <c r="N309" s="9"/>
    </row>
    <row r="310" spans="1:14" ht="15.75">
      <c r="A310" s="11"/>
      <c r="B310" s="9"/>
      <c r="C310" s="12" t="str">
        <f>IF(B310="","",IFERROR(INDEX('Cashier Roster'!$C$5:$C$64,MATCH(B310,'Cashier Roster'!$B$5:$B$64,0)),"Not on roster"))</f>
        <v/>
      </c>
      <c r="D310" s="12" t="str">
        <f>IF(B310="","",IFERROR(INDEX('Cashier Roster'!$D$5:$D$64,MATCH(B310,'Cashier Roster'!$B$5:$B$64,0)),""))</f>
        <v/>
      </c>
      <c r="E310" s="13"/>
      <c r="F310" s="14"/>
      <c r="G310" s="8" t="str">
        <f>IF(OR(B310="",E310=""),"",IF(E310="No","Missed",IF(F310="","",IF(F310&lt;=Settings!$B$7,"On time","Late"))))</f>
        <v/>
      </c>
      <c r="H310" s="15"/>
      <c r="I310" s="16"/>
      <c r="J310" s="16"/>
      <c r="K310" s="17" t="str">
        <f>IF(J310="","",ROUND(J310*Settings!$B$8,2))</f>
        <v/>
      </c>
      <c r="L310" s="16"/>
      <c r="M310" s="8" t="str">
        <f t="shared" si="4"/>
        <v/>
      </c>
      <c r="N310" s="9"/>
    </row>
    <row r="311" spans="1:14" ht="15.75">
      <c r="A311" s="11"/>
      <c r="B311" s="9"/>
      <c r="C311" s="12" t="str">
        <f>IF(B311="","",IFERROR(INDEX('Cashier Roster'!$C$5:$C$64,MATCH(B311,'Cashier Roster'!$B$5:$B$64,0)),"Not on roster"))</f>
        <v/>
      </c>
      <c r="D311" s="12" t="str">
        <f>IF(B311="","",IFERROR(INDEX('Cashier Roster'!$D$5:$D$64,MATCH(B311,'Cashier Roster'!$B$5:$B$64,0)),""))</f>
        <v/>
      </c>
      <c r="E311" s="13"/>
      <c r="F311" s="14"/>
      <c r="G311" s="8" t="str">
        <f>IF(OR(B311="",E311=""),"",IF(E311="No","Missed",IF(F311="","",IF(F311&lt;=Settings!$B$7,"On time","Late"))))</f>
        <v/>
      </c>
      <c r="H311" s="15"/>
      <c r="I311" s="16"/>
      <c r="J311" s="16"/>
      <c r="K311" s="17" t="str">
        <f>IF(J311="","",ROUND(J311*Settings!$B$8,2))</f>
        <v/>
      </c>
      <c r="L311" s="16"/>
      <c r="M311" s="8" t="str">
        <f t="shared" si="4"/>
        <v/>
      </c>
      <c r="N311" s="9"/>
    </row>
    <row r="312" spans="1:14" ht="15.75">
      <c r="A312" s="11"/>
      <c r="B312" s="9"/>
      <c r="C312" s="12" t="str">
        <f>IF(B312="","",IFERROR(INDEX('Cashier Roster'!$C$5:$C$64,MATCH(B312,'Cashier Roster'!$B$5:$B$64,0)),"Not on roster"))</f>
        <v/>
      </c>
      <c r="D312" s="12" t="str">
        <f>IF(B312="","",IFERROR(INDEX('Cashier Roster'!$D$5:$D$64,MATCH(B312,'Cashier Roster'!$B$5:$B$64,0)),""))</f>
        <v/>
      </c>
      <c r="E312" s="13"/>
      <c r="F312" s="14"/>
      <c r="G312" s="8" t="str">
        <f>IF(OR(B312="",E312=""),"",IF(E312="No","Missed",IF(F312="","",IF(F312&lt;=Settings!$B$7,"On time","Late"))))</f>
        <v/>
      </c>
      <c r="H312" s="15"/>
      <c r="I312" s="16"/>
      <c r="J312" s="16"/>
      <c r="K312" s="17" t="str">
        <f>IF(J312="","",ROUND(J312*Settings!$B$8,2))</f>
        <v/>
      </c>
      <c r="L312" s="16"/>
      <c r="M312" s="8" t="str">
        <f t="shared" si="4"/>
        <v/>
      </c>
      <c r="N312" s="9"/>
    </row>
    <row r="313" spans="1:14" ht="15.75">
      <c r="A313" s="11"/>
      <c r="B313" s="9"/>
      <c r="C313" s="12" t="str">
        <f>IF(B313="","",IFERROR(INDEX('Cashier Roster'!$C$5:$C$64,MATCH(B313,'Cashier Roster'!$B$5:$B$64,0)),"Not on roster"))</f>
        <v/>
      </c>
      <c r="D313" s="12" t="str">
        <f>IF(B313="","",IFERROR(INDEX('Cashier Roster'!$D$5:$D$64,MATCH(B313,'Cashier Roster'!$B$5:$B$64,0)),""))</f>
        <v/>
      </c>
      <c r="E313" s="13"/>
      <c r="F313" s="14"/>
      <c r="G313" s="8" t="str">
        <f>IF(OR(B313="",E313=""),"",IF(E313="No","Missed",IF(F313="","",IF(F313&lt;=Settings!$B$7,"On time","Late"))))</f>
        <v/>
      </c>
      <c r="H313" s="15"/>
      <c r="I313" s="16"/>
      <c r="J313" s="16"/>
      <c r="K313" s="17" t="str">
        <f>IF(J313="","",ROUND(J313*Settings!$B$8,2))</f>
        <v/>
      </c>
      <c r="L313" s="16"/>
      <c r="M313" s="8" t="str">
        <f t="shared" si="4"/>
        <v/>
      </c>
      <c r="N313" s="9"/>
    </row>
    <row r="314" spans="1:14" ht="15.75">
      <c r="A314" s="11"/>
      <c r="B314" s="9"/>
      <c r="C314" s="12" t="str">
        <f>IF(B314="","",IFERROR(INDEX('Cashier Roster'!$C$5:$C$64,MATCH(B314,'Cashier Roster'!$B$5:$B$64,0)),"Not on roster"))</f>
        <v/>
      </c>
      <c r="D314" s="12" t="str">
        <f>IF(B314="","",IFERROR(INDEX('Cashier Roster'!$D$5:$D$64,MATCH(B314,'Cashier Roster'!$B$5:$B$64,0)),""))</f>
        <v/>
      </c>
      <c r="E314" s="13"/>
      <c r="F314" s="14"/>
      <c r="G314" s="8" t="str">
        <f>IF(OR(B314="",E314=""),"",IF(E314="No","Missed",IF(F314="","",IF(F314&lt;=Settings!$B$7,"On time","Late"))))</f>
        <v/>
      </c>
      <c r="H314" s="15"/>
      <c r="I314" s="16"/>
      <c r="J314" s="16"/>
      <c r="K314" s="17" t="str">
        <f>IF(J314="","",ROUND(J314*Settings!$B$8,2))</f>
        <v/>
      </c>
      <c r="L314" s="16"/>
      <c r="M314" s="8" t="str">
        <f t="shared" si="4"/>
        <v/>
      </c>
      <c r="N314" s="9"/>
    </row>
    <row r="315" spans="1:14" ht="15.75">
      <c r="A315" s="11"/>
      <c r="B315" s="9"/>
      <c r="C315" s="12" t="str">
        <f>IF(B315="","",IFERROR(INDEX('Cashier Roster'!$C$5:$C$64,MATCH(B315,'Cashier Roster'!$B$5:$B$64,0)),"Not on roster"))</f>
        <v/>
      </c>
      <c r="D315" s="12" t="str">
        <f>IF(B315="","",IFERROR(INDEX('Cashier Roster'!$D$5:$D$64,MATCH(B315,'Cashier Roster'!$B$5:$B$64,0)),""))</f>
        <v/>
      </c>
      <c r="E315" s="13"/>
      <c r="F315" s="14"/>
      <c r="G315" s="8" t="str">
        <f>IF(OR(B315="",E315=""),"",IF(E315="No","Missed",IF(F315="","",IF(F315&lt;=Settings!$B$7,"On time","Late"))))</f>
        <v/>
      </c>
      <c r="H315" s="15"/>
      <c r="I315" s="16"/>
      <c r="J315" s="16"/>
      <c r="K315" s="17" t="str">
        <f>IF(J315="","",ROUND(J315*Settings!$B$8,2))</f>
        <v/>
      </c>
      <c r="L315" s="16"/>
      <c r="M315" s="8" t="str">
        <f t="shared" si="4"/>
        <v/>
      </c>
      <c r="N315" s="9"/>
    </row>
    <row r="316" spans="1:14" ht="15.75">
      <c r="A316" s="11"/>
      <c r="B316" s="9"/>
      <c r="C316" s="12" t="str">
        <f>IF(B316="","",IFERROR(INDEX('Cashier Roster'!$C$5:$C$64,MATCH(B316,'Cashier Roster'!$B$5:$B$64,0)),"Not on roster"))</f>
        <v/>
      </c>
      <c r="D316" s="12" t="str">
        <f>IF(B316="","",IFERROR(INDEX('Cashier Roster'!$D$5:$D$64,MATCH(B316,'Cashier Roster'!$B$5:$B$64,0)),""))</f>
        <v/>
      </c>
      <c r="E316" s="13"/>
      <c r="F316" s="14"/>
      <c r="G316" s="8" t="str">
        <f>IF(OR(B316="",E316=""),"",IF(E316="No","Missed",IF(F316="","",IF(F316&lt;=Settings!$B$7,"On time","Late"))))</f>
        <v/>
      </c>
      <c r="H316" s="15"/>
      <c r="I316" s="16"/>
      <c r="J316" s="16"/>
      <c r="K316" s="17" t="str">
        <f>IF(J316="","",ROUND(J316*Settings!$B$8,2))</f>
        <v/>
      </c>
      <c r="L316" s="16"/>
      <c r="M316" s="8" t="str">
        <f t="shared" si="4"/>
        <v/>
      </c>
      <c r="N316" s="9"/>
    </row>
    <row r="317" spans="1:14" ht="15.75">
      <c r="A317" s="11"/>
      <c r="B317" s="9"/>
      <c r="C317" s="12" t="str">
        <f>IF(B317="","",IFERROR(INDEX('Cashier Roster'!$C$5:$C$64,MATCH(B317,'Cashier Roster'!$B$5:$B$64,0)),"Not on roster"))</f>
        <v/>
      </c>
      <c r="D317" s="12" t="str">
        <f>IF(B317="","",IFERROR(INDEX('Cashier Roster'!$D$5:$D$64,MATCH(B317,'Cashier Roster'!$B$5:$B$64,0)),""))</f>
        <v/>
      </c>
      <c r="E317" s="13"/>
      <c r="F317" s="14"/>
      <c r="G317" s="8" t="str">
        <f>IF(OR(B317="",E317=""),"",IF(E317="No","Missed",IF(F317="","",IF(F317&lt;=Settings!$B$7,"On time","Late"))))</f>
        <v/>
      </c>
      <c r="H317" s="15"/>
      <c r="I317" s="16"/>
      <c r="J317" s="16"/>
      <c r="K317" s="17" t="str">
        <f>IF(J317="","",ROUND(J317*Settings!$B$8,2))</f>
        <v/>
      </c>
      <c r="L317" s="16"/>
      <c r="M317" s="8" t="str">
        <f t="shared" si="4"/>
        <v/>
      </c>
      <c r="N317" s="9"/>
    </row>
    <row r="318" spans="1:14" ht="15.75">
      <c r="A318" s="11"/>
      <c r="B318" s="9"/>
      <c r="C318" s="12" t="str">
        <f>IF(B318="","",IFERROR(INDEX('Cashier Roster'!$C$5:$C$64,MATCH(B318,'Cashier Roster'!$B$5:$B$64,0)),"Not on roster"))</f>
        <v/>
      </c>
      <c r="D318" s="12" t="str">
        <f>IF(B318="","",IFERROR(INDEX('Cashier Roster'!$D$5:$D$64,MATCH(B318,'Cashier Roster'!$B$5:$B$64,0)),""))</f>
        <v/>
      </c>
      <c r="E318" s="13"/>
      <c r="F318" s="14"/>
      <c r="G318" s="8" t="str">
        <f>IF(OR(B318="",E318=""),"",IF(E318="No","Missed",IF(F318="","",IF(F318&lt;=Settings!$B$7,"On time","Late"))))</f>
        <v/>
      </c>
      <c r="H318" s="15"/>
      <c r="I318" s="16"/>
      <c r="J318" s="16"/>
      <c r="K318" s="17" t="str">
        <f>IF(J318="","",ROUND(J318*Settings!$B$8,2))</f>
        <v/>
      </c>
      <c r="L318" s="16"/>
      <c r="M318" s="8" t="str">
        <f t="shared" si="4"/>
        <v/>
      </c>
      <c r="N318" s="9"/>
    </row>
    <row r="319" spans="1:14" ht="15.75">
      <c r="A319" s="11"/>
      <c r="B319" s="9"/>
      <c r="C319" s="12" t="str">
        <f>IF(B319="","",IFERROR(INDEX('Cashier Roster'!$C$5:$C$64,MATCH(B319,'Cashier Roster'!$B$5:$B$64,0)),"Not on roster"))</f>
        <v/>
      </c>
      <c r="D319" s="12" t="str">
        <f>IF(B319="","",IFERROR(INDEX('Cashier Roster'!$D$5:$D$64,MATCH(B319,'Cashier Roster'!$B$5:$B$64,0)),""))</f>
        <v/>
      </c>
      <c r="E319" s="13"/>
      <c r="F319" s="14"/>
      <c r="G319" s="8" t="str">
        <f>IF(OR(B319="",E319=""),"",IF(E319="No","Missed",IF(F319="","",IF(F319&lt;=Settings!$B$7,"On time","Late"))))</f>
        <v/>
      </c>
      <c r="H319" s="15"/>
      <c r="I319" s="16"/>
      <c r="J319" s="16"/>
      <c r="K319" s="17" t="str">
        <f>IF(J319="","",ROUND(J319*Settings!$B$8,2))</f>
        <v/>
      </c>
      <c r="L319" s="16"/>
      <c r="M319" s="8" t="str">
        <f t="shared" si="4"/>
        <v/>
      </c>
      <c r="N319" s="9"/>
    </row>
    <row r="320" spans="1:14" ht="15.75">
      <c r="A320" s="11"/>
      <c r="B320" s="9"/>
      <c r="C320" s="12" t="str">
        <f>IF(B320="","",IFERROR(INDEX('Cashier Roster'!$C$5:$C$64,MATCH(B320,'Cashier Roster'!$B$5:$B$64,0)),"Not on roster"))</f>
        <v/>
      </c>
      <c r="D320" s="12" t="str">
        <f>IF(B320="","",IFERROR(INDEX('Cashier Roster'!$D$5:$D$64,MATCH(B320,'Cashier Roster'!$B$5:$B$64,0)),""))</f>
        <v/>
      </c>
      <c r="E320" s="13"/>
      <c r="F320" s="14"/>
      <c r="G320" s="8" t="str">
        <f>IF(OR(B320="",E320=""),"",IF(E320="No","Missed",IF(F320="","",IF(F320&lt;=Settings!$B$7,"On time","Late"))))</f>
        <v/>
      </c>
      <c r="H320" s="15"/>
      <c r="I320" s="16"/>
      <c r="J320" s="16"/>
      <c r="K320" s="17" t="str">
        <f>IF(J320="","",ROUND(J320*Settings!$B$8,2))</f>
        <v/>
      </c>
      <c r="L320" s="16"/>
      <c r="M320" s="8" t="str">
        <f t="shared" si="4"/>
        <v/>
      </c>
      <c r="N320" s="9"/>
    </row>
    <row r="321" spans="1:14" ht="15.75">
      <c r="A321" s="11"/>
      <c r="B321" s="9"/>
      <c r="C321" s="12" t="str">
        <f>IF(B321="","",IFERROR(INDEX('Cashier Roster'!$C$5:$C$64,MATCH(B321,'Cashier Roster'!$B$5:$B$64,0)),"Not on roster"))</f>
        <v/>
      </c>
      <c r="D321" s="12" t="str">
        <f>IF(B321="","",IFERROR(INDEX('Cashier Roster'!$D$5:$D$64,MATCH(B321,'Cashier Roster'!$B$5:$B$64,0)),""))</f>
        <v/>
      </c>
      <c r="E321" s="13"/>
      <c r="F321" s="14"/>
      <c r="G321" s="8" t="str">
        <f>IF(OR(B321="",E321=""),"",IF(E321="No","Missed",IF(F321="","",IF(F321&lt;=Settings!$B$7,"On time","Late"))))</f>
        <v/>
      </c>
      <c r="H321" s="15"/>
      <c r="I321" s="16"/>
      <c r="J321" s="16"/>
      <c r="K321" s="17" t="str">
        <f>IF(J321="","",ROUND(J321*Settings!$B$8,2))</f>
        <v/>
      </c>
      <c r="L321" s="16"/>
      <c r="M321" s="8" t="str">
        <f t="shared" si="4"/>
        <v/>
      </c>
      <c r="N321" s="9"/>
    </row>
    <row r="322" spans="1:14" ht="15.75">
      <c r="A322" s="11"/>
      <c r="B322" s="9"/>
      <c r="C322" s="12" t="str">
        <f>IF(B322="","",IFERROR(INDEX('Cashier Roster'!$C$5:$C$64,MATCH(B322,'Cashier Roster'!$B$5:$B$64,0)),"Not on roster"))</f>
        <v/>
      </c>
      <c r="D322" s="12" t="str">
        <f>IF(B322="","",IFERROR(INDEX('Cashier Roster'!$D$5:$D$64,MATCH(B322,'Cashier Roster'!$B$5:$B$64,0)),""))</f>
        <v/>
      </c>
      <c r="E322" s="13"/>
      <c r="F322" s="14"/>
      <c r="G322" s="8" t="str">
        <f>IF(OR(B322="",E322=""),"",IF(E322="No","Missed",IF(F322="","",IF(F322&lt;=Settings!$B$7,"On time","Late"))))</f>
        <v/>
      </c>
      <c r="H322" s="15"/>
      <c r="I322" s="16"/>
      <c r="J322" s="16"/>
      <c r="K322" s="17" t="str">
        <f>IF(J322="","",ROUND(J322*Settings!$B$8,2))</f>
        <v/>
      </c>
      <c r="L322" s="16"/>
      <c r="M322" s="8" t="str">
        <f t="shared" si="4"/>
        <v/>
      </c>
      <c r="N322" s="9"/>
    </row>
    <row r="323" spans="1:14" ht="15.75">
      <c r="A323" s="11"/>
      <c r="B323" s="9"/>
      <c r="C323" s="12" t="str">
        <f>IF(B323="","",IFERROR(INDEX('Cashier Roster'!$C$5:$C$64,MATCH(B323,'Cashier Roster'!$B$5:$B$64,0)),"Not on roster"))</f>
        <v/>
      </c>
      <c r="D323" s="12" t="str">
        <f>IF(B323="","",IFERROR(INDEX('Cashier Roster'!$D$5:$D$64,MATCH(B323,'Cashier Roster'!$B$5:$B$64,0)),""))</f>
        <v/>
      </c>
      <c r="E323" s="13"/>
      <c r="F323" s="14"/>
      <c r="G323" s="8" t="str">
        <f>IF(OR(B323="",E323=""),"",IF(E323="No","Missed",IF(F323="","",IF(F323&lt;=Settings!$B$7,"On time","Late"))))</f>
        <v/>
      </c>
      <c r="H323" s="15"/>
      <c r="I323" s="16"/>
      <c r="J323" s="16"/>
      <c r="K323" s="17" t="str">
        <f>IF(J323="","",ROUND(J323*Settings!$B$8,2))</f>
        <v/>
      </c>
      <c r="L323" s="16"/>
      <c r="M323" s="8" t="str">
        <f t="shared" si="4"/>
        <v/>
      </c>
      <c r="N323" s="9"/>
    </row>
    <row r="324" spans="1:14" ht="15.75">
      <c r="A324" s="11"/>
      <c r="B324" s="9"/>
      <c r="C324" s="12" t="str">
        <f>IF(B324="","",IFERROR(INDEX('Cashier Roster'!$C$5:$C$64,MATCH(B324,'Cashier Roster'!$B$5:$B$64,0)),"Not on roster"))</f>
        <v/>
      </c>
      <c r="D324" s="12" t="str">
        <f>IF(B324="","",IFERROR(INDEX('Cashier Roster'!$D$5:$D$64,MATCH(B324,'Cashier Roster'!$B$5:$B$64,0)),""))</f>
        <v/>
      </c>
      <c r="E324" s="13"/>
      <c r="F324" s="14"/>
      <c r="G324" s="8" t="str">
        <f>IF(OR(B324="",E324=""),"",IF(E324="No","Missed",IF(F324="","",IF(F324&lt;=Settings!$B$7,"On time","Late"))))</f>
        <v/>
      </c>
      <c r="H324" s="15"/>
      <c r="I324" s="16"/>
      <c r="J324" s="16"/>
      <c r="K324" s="17" t="str">
        <f>IF(J324="","",ROUND(J324*Settings!$B$8,2))</f>
        <v/>
      </c>
      <c r="L324" s="16"/>
      <c r="M324" s="8" t="str">
        <f t="shared" si="4"/>
        <v/>
      </c>
      <c r="N324" s="9"/>
    </row>
    <row r="325" spans="1:14" ht="15.75">
      <c r="A325" s="11"/>
      <c r="B325" s="9"/>
      <c r="C325" s="12" t="str">
        <f>IF(B325="","",IFERROR(INDEX('Cashier Roster'!$C$5:$C$64,MATCH(B325,'Cashier Roster'!$B$5:$B$64,0)),"Not on roster"))</f>
        <v/>
      </c>
      <c r="D325" s="12" t="str">
        <f>IF(B325="","",IFERROR(INDEX('Cashier Roster'!$D$5:$D$64,MATCH(B325,'Cashier Roster'!$B$5:$B$64,0)),""))</f>
        <v/>
      </c>
      <c r="E325" s="13"/>
      <c r="F325" s="14"/>
      <c r="G325" s="8" t="str">
        <f>IF(OR(B325="",E325=""),"",IF(E325="No","Missed",IF(F325="","",IF(F325&lt;=Settings!$B$7,"On time","Late"))))</f>
        <v/>
      </c>
      <c r="H325" s="15"/>
      <c r="I325" s="16"/>
      <c r="J325" s="16"/>
      <c r="K325" s="17" t="str">
        <f>IF(J325="","",ROUND(J325*Settings!$B$8,2))</f>
        <v/>
      </c>
      <c r="L325" s="16"/>
      <c r="M325" s="8" t="str">
        <f t="shared" ref="M325:M388" si="5">IF(L325="","",IF(L325&lt;=0,"Yes","No"))</f>
        <v/>
      </c>
      <c r="N325" s="9"/>
    </row>
    <row r="326" spans="1:14" ht="15.75">
      <c r="A326" s="11"/>
      <c r="B326" s="9"/>
      <c r="C326" s="12" t="str">
        <f>IF(B326="","",IFERROR(INDEX('Cashier Roster'!$C$5:$C$64,MATCH(B326,'Cashier Roster'!$B$5:$B$64,0)),"Not on roster"))</f>
        <v/>
      </c>
      <c r="D326" s="12" t="str">
        <f>IF(B326="","",IFERROR(INDEX('Cashier Roster'!$D$5:$D$64,MATCH(B326,'Cashier Roster'!$B$5:$B$64,0)),""))</f>
        <v/>
      </c>
      <c r="E326" s="13"/>
      <c r="F326" s="14"/>
      <c r="G326" s="8" t="str">
        <f>IF(OR(B326="",E326=""),"",IF(E326="No","Missed",IF(F326="","",IF(F326&lt;=Settings!$B$7,"On time","Late"))))</f>
        <v/>
      </c>
      <c r="H326" s="15"/>
      <c r="I326" s="16"/>
      <c r="J326" s="16"/>
      <c r="K326" s="17" t="str">
        <f>IF(J326="","",ROUND(J326*Settings!$B$8,2))</f>
        <v/>
      </c>
      <c r="L326" s="16"/>
      <c r="M326" s="8" t="str">
        <f t="shared" si="5"/>
        <v/>
      </c>
      <c r="N326" s="9"/>
    </row>
    <row r="327" spans="1:14" ht="15.75">
      <c r="A327" s="11"/>
      <c r="B327" s="9"/>
      <c r="C327" s="12" t="str">
        <f>IF(B327="","",IFERROR(INDEX('Cashier Roster'!$C$5:$C$64,MATCH(B327,'Cashier Roster'!$B$5:$B$64,0)),"Not on roster"))</f>
        <v/>
      </c>
      <c r="D327" s="12" t="str">
        <f>IF(B327="","",IFERROR(INDEX('Cashier Roster'!$D$5:$D$64,MATCH(B327,'Cashier Roster'!$B$5:$B$64,0)),""))</f>
        <v/>
      </c>
      <c r="E327" s="13"/>
      <c r="F327" s="14"/>
      <c r="G327" s="8" t="str">
        <f>IF(OR(B327="",E327=""),"",IF(E327="No","Missed",IF(F327="","",IF(F327&lt;=Settings!$B$7,"On time","Late"))))</f>
        <v/>
      </c>
      <c r="H327" s="15"/>
      <c r="I327" s="16"/>
      <c r="J327" s="16"/>
      <c r="K327" s="17" t="str">
        <f>IF(J327="","",ROUND(J327*Settings!$B$8,2))</f>
        <v/>
      </c>
      <c r="L327" s="16"/>
      <c r="M327" s="8" t="str">
        <f t="shared" si="5"/>
        <v/>
      </c>
      <c r="N327" s="9"/>
    </row>
    <row r="328" spans="1:14" ht="15.75">
      <c r="A328" s="11"/>
      <c r="B328" s="9"/>
      <c r="C328" s="12" t="str">
        <f>IF(B328="","",IFERROR(INDEX('Cashier Roster'!$C$5:$C$64,MATCH(B328,'Cashier Roster'!$B$5:$B$64,0)),"Not on roster"))</f>
        <v/>
      </c>
      <c r="D328" s="12" t="str">
        <f>IF(B328="","",IFERROR(INDEX('Cashier Roster'!$D$5:$D$64,MATCH(B328,'Cashier Roster'!$B$5:$B$64,0)),""))</f>
        <v/>
      </c>
      <c r="E328" s="13"/>
      <c r="F328" s="14"/>
      <c r="G328" s="8" t="str">
        <f>IF(OR(B328="",E328=""),"",IF(E328="No","Missed",IF(F328="","",IF(F328&lt;=Settings!$B$7,"On time","Late"))))</f>
        <v/>
      </c>
      <c r="H328" s="15"/>
      <c r="I328" s="16"/>
      <c r="J328" s="16"/>
      <c r="K328" s="17" t="str">
        <f>IF(J328="","",ROUND(J328*Settings!$B$8,2))</f>
        <v/>
      </c>
      <c r="L328" s="16"/>
      <c r="M328" s="8" t="str">
        <f t="shared" si="5"/>
        <v/>
      </c>
      <c r="N328" s="9"/>
    </row>
    <row r="329" spans="1:14" ht="15.75">
      <c r="A329" s="11"/>
      <c r="B329" s="9"/>
      <c r="C329" s="12" t="str">
        <f>IF(B329="","",IFERROR(INDEX('Cashier Roster'!$C$5:$C$64,MATCH(B329,'Cashier Roster'!$B$5:$B$64,0)),"Not on roster"))</f>
        <v/>
      </c>
      <c r="D329" s="12" t="str">
        <f>IF(B329="","",IFERROR(INDEX('Cashier Roster'!$D$5:$D$64,MATCH(B329,'Cashier Roster'!$B$5:$B$64,0)),""))</f>
        <v/>
      </c>
      <c r="E329" s="13"/>
      <c r="F329" s="14"/>
      <c r="G329" s="8" t="str">
        <f>IF(OR(B329="",E329=""),"",IF(E329="No","Missed",IF(F329="","",IF(F329&lt;=Settings!$B$7,"On time","Late"))))</f>
        <v/>
      </c>
      <c r="H329" s="15"/>
      <c r="I329" s="16"/>
      <c r="J329" s="16"/>
      <c r="K329" s="17" t="str">
        <f>IF(J329="","",ROUND(J329*Settings!$B$8,2))</f>
        <v/>
      </c>
      <c r="L329" s="16"/>
      <c r="M329" s="8" t="str">
        <f t="shared" si="5"/>
        <v/>
      </c>
      <c r="N329" s="9"/>
    </row>
    <row r="330" spans="1:14" ht="15.75">
      <c r="A330" s="11"/>
      <c r="B330" s="9"/>
      <c r="C330" s="12" t="str">
        <f>IF(B330="","",IFERROR(INDEX('Cashier Roster'!$C$5:$C$64,MATCH(B330,'Cashier Roster'!$B$5:$B$64,0)),"Not on roster"))</f>
        <v/>
      </c>
      <c r="D330" s="12" t="str">
        <f>IF(B330="","",IFERROR(INDEX('Cashier Roster'!$D$5:$D$64,MATCH(B330,'Cashier Roster'!$B$5:$B$64,0)),""))</f>
        <v/>
      </c>
      <c r="E330" s="13"/>
      <c r="F330" s="14"/>
      <c r="G330" s="8" t="str">
        <f>IF(OR(B330="",E330=""),"",IF(E330="No","Missed",IF(F330="","",IF(F330&lt;=Settings!$B$7,"On time","Late"))))</f>
        <v/>
      </c>
      <c r="H330" s="15"/>
      <c r="I330" s="16"/>
      <c r="J330" s="16"/>
      <c r="K330" s="17" t="str">
        <f>IF(J330="","",ROUND(J330*Settings!$B$8,2))</f>
        <v/>
      </c>
      <c r="L330" s="16"/>
      <c r="M330" s="8" t="str">
        <f t="shared" si="5"/>
        <v/>
      </c>
      <c r="N330" s="9"/>
    </row>
    <row r="331" spans="1:14" ht="15.75">
      <c r="A331" s="11"/>
      <c r="B331" s="9"/>
      <c r="C331" s="12" t="str">
        <f>IF(B331="","",IFERROR(INDEX('Cashier Roster'!$C$5:$C$64,MATCH(B331,'Cashier Roster'!$B$5:$B$64,0)),"Not on roster"))</f>
        <v/>
      </c>
      <c r="D331" s="12" t="str">
        <f>IF(B331="","",IFERROR(INDEX('Cashier Roster'!$D$5:$D$64,MATCH(B331,'Cashier Roster'!$B$5:$B$64,0)),""))</f>
        <v/>
      </c>
      <c r="E331" s="13"/>
      <c r="F331" s="14"/>
      <c r="G331" s="8" t="str">
        <f>IF(OR(B331="",E331=""),"",IF(E331="No","Missed",IF(F331="","",IF(F331&lt;=Settings!$B$7,"On time","Late"))))</f>
        <v/>
      </c>
      <c r="H331" s="15"/>
      <c r="I331" s="16"/>
      <c r="J331" s="16"/>
      <c r="K331" s="17" t="str">
        <f>IF(J331="","",ROUND(J331*Settings!$B$8,2))</f>
        <v/>
      </c>
      <c r="L331" s="16"/>
      <c r="M331" s="8" t="str">
        <f t="shared" si="5"/>
        <v/>
      </c>
      <c r="N331" s="9"/>
    </row>
    <row r="332" spans="1:14" ht="15.75">
      <c r="A332" s="11"/>
      <c r="B332" s="9"/>
      <c r="C332" s="12" t="str">
        <f>IF(B332="","",IFERROR(INDEX('Cashier Roster'!$C$5:$C$64,MATCH(B332,'Cashier Roster'!$B$5:$B$64,0)),"Not on roster"))</f>
        <v/>
      </c>
      <c r="D332" s="12" t="str">
        <f>IF(B332="","",IFERROR(INDEX('Cashier Roster'!$D$5:$D$64,MATCH(B332,'Cashier Roster'!$B$5:$B$64,0)),""))</f>
        <v/>
      </c>
      <c r="E332" s="13"/>
      <c r="F332" s="14"/>
      <c r="G332" s="8" t="str">
        <f>IF(OR(B332="",E332=""),"",IF(E332="No","Missed",IF(F332="","",IF(F332&lt;=Settings!$B$7,"On time","Late"))))</f>
        <v/>
      </c>
      <c r="H332" s="15"/>
      <c r="I332" s="16"/>
      <c r="J332" s="16"/>
      <c r="K332" s="17" t="str">
        <f>IF(J332="","",ROUND(J332*Settings!$B$8,2))</f>
        <v/>
      </c>
      <c r="L332" s="16"/>
      <c r="M332" s="8" t="str">
        <f t="shared" si="5"/>
        <v/>
      </c>
      <c r="N332" s="9"/>
    </row>
    <row r="333" spans="1:14" ht="15.75">
      <c r="A333" s="11"/>
      <c r="B333" s="9"/>
      <c r="C333" s="12" t="str">
        <f>IF(B333="","",IFERROR(INDEX('Cashier Roster'!$C$5:$C$64,MATCH(B333,'Cashier Roster'!$B$5:$B$64,0)),"Not on roster"))</f>
        <v/>
      </c>
      <c r="D333" s="12" t="str">
        <f>IF(B333="","",IFERROR(INDEX('Cashier Roster'!$D$5:$D$64,MATCH(B333,'Cashier Roster'!$B$5:$B$64,0)),""))</f>
        <v/>
      </c>
      <c r="E333" s="13"/>
      <c r="F333" s="14"/>
      <c r="G333" s="8" t="str">
        <f>IF(OR(B333="",E333=""),"",IF(E333="No","Missed",IF(F333="","",IF(F333&lt;=Settings!$B$7,"On time","Late"))))</f>
        <v/>
      </c>
      <c r="H333" s="15"/>
      <c r="I333" s="16"/>
      <c r="J333" s="16"/>
      <c r="K333" s="17" t="str">
        <f>IF(J333="","",ROUND(J333*Settings!$B$8,2))</f>
        <v/>
      </c>
      <c r="L333" s="16"/>
      <c r="M333" s="8" t="str">
        <f t="shared" si="5"/>
        <v/>
      </c>
      <c r="N333" s="9"/>
    </row>
    <row r="334" spans="1:14" ht="15.75">
      <c r="A334" s="11"/>
      <c r="B334" s="9"/>
      <c r="C334" s="12" t="str">
        <f>IF(B334="","",IFERROR(INDEX('Cashier Roster'!$C$5:$C$64,MATCH(B334,'Cashier Roster'!$B$5:$B$64,0)),"Not on roster"))</f>
        <v/>
      </c>
      <c r="D334" s="12" t="str">
        <f>IF(B334="","",IFERROR(INDEX('Cashier Roster'!$D$5:$D$64,MATCH(B334,'Cashier Roster'!$B$5:$B$64,0)),""))</f>
        <v/>
      </c>
      <c r="E334" s="13"/>
      <c r="F334" s="14"/>
      <c r="G334" s="8" t="str">
        <f>IF(OR(B334="",E334=""),"",IF(E334="No","Missed",IF(F334="","",IF(F334&lt;=Settings!$B$7,"On time","Late"))))</f>
        <v/>
      </c>
      <c r="H334" s="15"/>
      <c r="I334" s="16"/>
      <c r="J334" s="16"/>
      <c r="K334" s="17" t="str">
        <f>IF(J334="","",ROUND(J334*Settings!$B$8,2))</f>
        <v/>
      </c>
      <c r="L334" s="16"/>
      <c r="M334" s="8" t="str">
        <f t="shared" si="5"/>
        <v/>
      </c>
      <c r="N334" s="9"/>
    </row>
    <row r="335" spans="1:14" ht="15.75">
      <c r="A335" s="11"/>
      <c r="B335" s="9"/>
      <c r="C335" s="12" t="str">
        <f>IF(B335="","",IFERROR(INDEX('Cashier Roster'!$C$5:$C$64,MATCH(B335,'Cashier Roster'!$B$5:$B$64,0)),"Not on roster"))</f>
        <v/>
      </c>
      <c r="D335" s="12" t="str">
        <f>IF(B335="","",IFERROR(INDEX('Cashier Roster'!$D$5:$D$64,MATCH(B335,'Cashier Roster'!$B$5:$B$64,0)),""))</f>
        <v/>
      </c>
      <c r="E335" s="13"/>
      <c r="F335" s="14"/>
      <c r="G335" s="8" t="str">
        <f>IF(OR(B335="",E335=""),"",IF(E335="No","Missed",IF(F335="","",IF(F335&lt;=Settings!$B$7,"On time","Late"))))</f>
        <v/>
      </c>
      <c r="H335" s="15"/>
      <c r="I335" s="16"/>
      <c r="J335" s="16"/>
      <c r="K335" s="17" t="str">
        <f>IF(J335="","",ROUND(J335*Settings!$B$8,2))</f>
        <v/>
      </c>
      <c r="L335" s="16"/>
      <c r="M335" s="8" t="str">
        <f t="shared" si="5"/>
        <v/>
      </c>
      <c r="N335" s="9"/>
    </row>
    <row r="336" spans="1:14" ht="15.75">
      <c r="A336" s="11"/>
      <c r="B336" s="9"/>
      <c r="C336" s="12" t="str">
        <f>IF(B336="","",IFERROR(INDEX('Cashier Roster'!$C$5:$C$64,MATCH(B336,'Cashier Roster'!$B$5:$B$64,0)),"Not on roster"))</f>
        <v/>
      </c>
      <c r="D336" s="12" t="str">
        <f>IF(B336="","",IFERROR(INDEX('Cashier Roster'!$D$5:$D$64,MATCH(B336,'Cashier Roster'!$B$5:$B$64,0)),""))</f>
        <v/>
      </c>
      <c r="E336" s="13"/>
      <c r="F336" s="14"/>
      <c r="G336" s="8" t="str">
        <f>IF(OR(B336="",E336=""),"",IF(E336="No","Missed",IF(F336="","",IF(F336&lt;=Settings!$B$7,"On time","Late"))))</f>
        <v/>
      </c>
      <c r="H336" s="15"/>
      <c r="I336" s="16"/>
      <c r="J336" s="16"/>
      <c r="K336" s="17" t="str">
        <f>IF(J336="","",ROUND(J336*Settings!$B$8,2))</f>
        <v/>
      </c>
      <c r="L336" s="16"/>
      <c r="M336" s="8" t="str">
        <f t="shared" si="5"/>
        <v/>
      </c>
      <c r="N336" s="9"/>
    </row>
    <row r="337" spans="1:14" ht="15.75">
      <c r="A337" s="11"/>
      <c r="B337" s="9"/>
      <c r="C337" s="12" t="str">
        <f>IF(B337="","",IFERROR(INDEX('Cashier Roster'!$C$5:$C$64,MATCH(B337,'Cashier Roster'!$B$5:$B$64,0)),"Not on roster"))</f>
        <v/>
      </c>
      <c r="D337" s="12" t="str">
        <f>IF(B337="","",IFERROR(INDEX('Cashier Roster'!$D$5:$D$64,MATCH(B337,'Cashier Roster'!$B$5:$B$64,0)),""))</f>
        <v/>
      </c>
      <c r="E337" s="13"/>
      <c r="F337" s="14"/>
      <c r="G337" s="8" t="str">
        <f>IF(OR(B337="",E337=""),"",IF(E337="No","Missed",IF(F337="","",IF(F337&lt;=Settings!$B$7,"On time","Late"))))</f>
        <v/>
      </c>
      <c r="H337" s="15"/>
      <c r="I337" s="16"/>
      <c r="J337" s="16"/>
      <c r="K337" s="17" t="str">
        <f>IF(J337="","",ROUND(J337*Settings!$B$8,2))</f>
        <v/>
      </c>
      <c r="L337" s="16"/>
      <c r="M337" s="8" t="str">
        <f t="shared" si="5"/>
        <v/>
      </c>
      <c r="N337" s="9"/>
    </row>
    <row r="338" spans="1:14" ht="15.75">
      <c r="A338" s="11"/>
      <c r="B338" s="9"/>
      <c r="C338" s="12" t="str">
        <f>IF(B338="","",IFERROR(INDEX('Cashier Roster'!$C$5:$C$64,MATCH(B338,'Cashier Roster'!$B$5:$B$64,0)),"Not on roster"))</f>
        <v/>
      </c>
      <c r="D338" s="12" t="str">
        <f>IF(B338="","",IFERROR(INDEX('Cashier Roster'!$D$5:$D$64,MATCH(B338,'Cashier Roster'!$B$5:$B$64,0)),""))</f>
        <v/>
      </c>
      <c r="E338" s="13"/>
      <c r="F338" s="14"/>
      <c r="G338" s="8" t="str">
        <f>IF(OR(B338="",E338=""),"",IF(E338="No","Missed",IF(F338="","",IF(F338&lt;=Settings!$B$7,"On time","Late"))))</f>
        <v/>
      </c>
      <c r="H338" s="15"/>
      <c r="I338" s="16"/>
      <c r="J338" s="16"/>
      <c r="K338" s="17" t="str">
        <f>IF(J338="","",ROUND(J338*Settings!$B$8,2))</f>
        <v/>
      </c>
      <c r="L338" s="16"/>
      <c r="M338" s="8" t="str">
        <f t="shared" si="5"/>
        <v/>
      </c>
      <c r="N338" s="9"/>
    </row>
    <row r="339" spans="1:14" ht="15.75">
      <c r="A339" s="11"/>
      <c r="B339" s="9"/>
      <c r="C339" s="12" t="str">
        <f>IF(B339="","",IFERROR(INDEX('Cashier Roster'!$C$5:$C$64,MATCH(B339,'Cashier Roster'!$B$5:$B$64,0)),"Not on roster"))</f>
        <v/>
      </c>
      <c r="D339" s="12" t="str">
        <f>IF(B339="","",IFERROR(INDEX('Cashier Roster'!$D$5:$D$64,MATCH(B339,'Cashier Roster'!$B$5:$B$64,0)),""))</f>
        <v/>
      </c>
      <c r="E339" s="13"/>
      <c r="F339" s="14"/>
      <c r="G339" s="8" t="str">
        <f>IF(OR(B339="",E339=""),"",IF(E339="No","Missed",IF(F339="","",IF(F339&lt;=Settings!$B$7,"On time","Late"))))</f>
        <v/>
      </c>
      <c r="H339" s="15"/>
      <c r="I339" s="16"/>
      <c r="J339" s="16"/>
      <c r="K339" s="17" t="str">
        <f>IF(J339="","",ROUND(J339*Settings!$B$8,2))</f>
        <v/>
      </c>
      <c r="L339" s="16"/>
      <c r="M339" s="8" t="str">
        <f t="shared" si="5"/>
        <v/>
      </c>
      <c r="N339" s="9"/>
    </row>
    <row r="340" spans="1:14" ht="15.75">
      <c r="A340" s="11"/>
      <c r="B340" s="9"/>
      <c r="C340" s="12" t="str">
        <f>IF(B340="","",IFERROR(INDEX('Cashier Roster'!$C$5:$C$64,MATCH(B340,'Cashier Roster'!$B$5:$B$64,0)),"Not on roster"))</f>
        <v/>
      </c>
      <c r="D340" s="12" t="str">
        <f>IF(B340="","",IFERROR(INDEX('Cashier Roster'!$D$5:$D$64,MATCH(B340,'Cashier Roster'!$B$5:$B$64,0)),""))</f>
        <v/>
      </c>
      <c r="E340" s="13"/>
      <c r="F340" s="14"/>
      <c r="G340" s="8" t="str">
        <f>IF(OR(B340="",E340=""),"",IF(E340="No","Missed",IF(F340="","",IF(F340&lt;=Settings!$B$7,"On time","Late"))))</f>
        <v/>
      </c>
      <c r="H340" s="15"/>
      <c r="I340" s="16"/>
      <c r="J340" s="16"/>
      <c r="K340" s="17" t="str">
        <f>IF(J340="","",ROUND(J340*Settings!$B$8,2))</f>
        <v/>
      </c>
      <c r="L340" s="16"/>
      <c r="M340" s="8" t="str">
        <f t="shared" si="5"/>
        <v/>
      </c>
      <c r="N340" s="9"/>
    </row>
    <row r="341" spans="1:14" ht="15.75">
      <c r="A341" s="11"/>
      <c r="B341" s="9"/>
      <c r="C341" s="12" t="str">
        <f>IF(B341="","",IFERROR(INDEX('Cashier Roster'!$C$5:$C$64,MATCH(B341,'Cashier Roster'!$B$5:$B$64,0)),"Not on roster"))</f>
        <v/>
      </c>
      <c r="D341" s="12" t="str">
        <f>IF(B341="","",IFERROR(INDEX('Cashier Roster'!$D$5:$D$64,MATCH(B341,'Cashier Roster'!$B$5:$B$64,0)),""))</f>
        <v/>
      </c>
      <c r="E341" s="13"/>
      <c r="F341" s="14"/>
      <c r="G341" s="8" t="str">
        <f>IF(OR(B341="",E341=""),"",IF(E341="No","Missed",IF(F341="","",IF(F341&lt;=Settings!$B$7,"On time","Late"))))</f>
        <v/>
      </c>
      <c r="H341" s="15"/>
      <c r="I341" s="16"/>
      <c r="J341" s="16"/>
      <c r="K341" s="17" t="str">
        <f>IF(J341="","",ROUND(J341*Settings!$B$8,2))</f>
        <v/>
      </c>
      <c r="L341" s="16"/>
      <c r="M341" s="8" t="str">
        <f t="shared" si="5"/>
        <v/>
      </c>
      <c r="N341" s="9"/>
    </row>
    <row r="342" spans="1:14" ht="15.75">
      <c r="A342" s="11"/>
      <c r="B342" s="9"/>
      <c r="C342" s="12" t="str">
        <f>IF(B342="","",IFERROR(INDEX('Cashier Roster'!$C$5:$C$64,MATCH(B342,'Cashier Roster'!$B$5:$B$64,0)),"Not on roster"))</f>
        <v/>
      </c>
      <c r="D342" s="12" t="str">
        <f>IF(B342="","",IFERROR(INDEX('Cashier Roster'!$D$5:$D$64,MATCH(B342,'Cashier Roster'!$B$5:$B$64,0)),""))</f>
        <v/>
      </c>
      <c r="E342" s="13"/>
      <c r="F342" s="14"/>
      <c r="G342" s="8" t="str">
        <f>IF(OR(B342="",E342=""),"",IF(E342="No","Missed",IF(F342="","",IF(F342&lt;=Settings!$B$7,"On time","Late"))))</f>
        <v/>
      </c>
      <c r="H342" s="15"/>
      <c r="I342" s="16"/>
      <c r="J342" s="16"/>
      <c r="K342" s="17" t="str">
        <f>IF(J342="","",ROUND(J342*Settings!$B$8,2))</f>
        <v/>
      </c>
      <c r="L342" s="16"/>
      <c r="M342" s="8" t="str">
        <f t="shared" si="5"/>
        <v/>
      </c>
      <c r="N342" s="9"/>
    </row>
    <row r="343" spans="1:14" ht="15.75">
      <c r="A343" s="11"/>
      <c r="B343" s="9"/>
      <c r="C343" s="12" t="str">
        <f>IF(B343="","",IFERROR(INDEX('Cashier Roster'!$C$5:$C$64,MATCH(B343,'Cashier Roster'!$B$5:$B$64,0)),"Not on roster"))</f>
        <v/>
      </c>
      <c r="D343" s="12" t="str">
        <f>IF(B343="","",IFERROR(INDEX('Cashier Roster'!$D$5:$D$64,MATCH(B343,'Cashier Roster'!$B$5:$B$64,0)),""))</f>
        <v/>
      </c>
      <c r="E343" s="13"/>
      <c r="F343" s="14"/>
      <c r="G343" s="8" t="str">
        <f>IF(OR(B343="",E343=""),"",IF(E343="No","Missed",IF(F343="","",IF(F343&lt;=Settings!$B$7,"On time","Late"))))</f>
        <v/>
      </c>
      <c r="H343" s="15"/>
      <c r="I343" s="16"/>
      <c r="J343" s="16"/>
      <c r="K343" s="17" t="str">
        <f>IF(J343="","",ROUND(J343*Settings!$B$8,2))</f>
        <v/>
      </c>
      <c r="L343" s="16"/>
      <c r="M343" s="8" t="str">
        <f t="shared" si="5"/>
        <v/>
      </c>
      <c r="N343" s="9"/>
    </row>
    <row r="344" spans="1:14" ht="15.75">
      <c r="A344" s="11"/>
      <c r="B344" s="9"/>
      <c r="C344" s="12" t="str">
        <f>IF(B344="","",IFERROR(INDEX('Cashier Roster'!$C$5:$C$64,MATCH(B344,'Cashier Roster'!$B$5:$B$64,0)),"Not on roster"))</f>
        <v/>
      </c>
      <c r="D344" s="12" t="str">
        <f>IF(B344="","",IFERROR(INDEX('Cashier Roster'!$D$5:$D$64,MATCH(B344,'Cashier Roster'!$B$5:$B$64,0)),""))</f>
        <v/>
      </c>
      <c r="E344" s="13"/>
      <c r="F344" s="14"/>
      <c r="G344" s="8" t="str">
        <f>IF(OR(B344="",E344=""),"",IF(E344="No","Missed",IF(F344="","",IF(F344&lt;=Settings!$B$7,"On time","Late"))))</f>
        <v/>
      </c>
      <c r="H344" s="15"/>
      <c r="I344" s="16"/>
      <c r="J344" s="16"/>
      <c r="K344" s="17" t="str">
        <f>IF(J344="","",ROUND(J344*Settings!$B$8,2))</f>
        <v/>
      </c>
      <c r="L344" s="16"/>
      <c r="M344" s="8" t="str">
        <f t="shared" si="5"/>
        <v/>
      </c>
      <c r="N344" s="9"/>
    </row>
    <row r="345" spans="1:14" ht="15.75">
      <c r="A345" s="11"/>
      <c r="B345" s="9"/>
      <c r="C345" s="12" t="str">
        <f>IF(B345="","",IFERROR(INDEX('Cashier Roster'!$C$5:$C$64,MATCH(B345,'Cashier Roster'!$B$5:$B$64,0)),"Not on roster"))</f>
        <v/>
      </c>
      <c r="D345" s="12" t="str">
        <f>IF(B345="","",IFERROR(INDEX('Cashier Roster'!$D$5:$D$64,MATCH(B345,'Cashier Roster'!$B$5:$B$64,0)),""))</f>
        <v/>
      </c>
      <c r="E345" s="13"/>
      <c r="F345" s="14"/>
      <c r="G345" s="8" t="str">
        <f>IF(OR(B345="",E345=""),"",IF(E345="No","Missed",IF(F345="","",IF(F345&lt;=Settings!$B$7,"On time","Late"))))</f>
        <v/>
      </c>
      <c r="H345" s="15"/>
      <c r="I345" s="16"/>
      <c r="J345" s="16"/>
      <c r="K345" s="17" t="str">
        <f>IF(J345="","",ROUND(J345*Settings!$B$8,2))</f>
        <v/>
      </c>
      <c r="L345" s="16"/>
      <c r="M345" s="8" t="str">
        <f t="shared" si="5"/>
        <v/>
      </c>
      <c r="N345" s="9"/>
    </row>
    <row r="346" spans="1:14" ht="15.75">
      <c r="A346" s="11"/>
      <c r="B346" s="9"/>
      <c r="C346" s="12" t="str">
        <f>IF(B346="","",IFERROR(INDEX('Cashier Roster'!$C$5:$C$64,MATCH(B346,'Cashier Roster'!$B$5:$B$64,0)),"Not on roster"))</f>
        <v/>
      </c>
      <c r="D346" s="12" t="str">
        <f>IF(B346="","",IFERROR(INDEX('Cashier Roster'!$D$5:$D$64,MATCH(B346,'Cashier Roster'!$B$5:$B$64,0)),""))</f>
        <v/>
      </c>
      <c r="E346" s="13"/>
      <c r="F346" s="14"/>
      <c r="G346" s="8" t="str">
        <f>IF(OR(B346="",E346=""),"",IF(E346="No","Missed",IF(F346="","",IF(F346&lt;=Settings!$B$7,"On time","Late"))))</f>
        <v/>
      </c>
      <c r="H346" s="15"/>
      <c r="I346" s="16"/>
      <c r="J346" s="16"/>
      <c r="K346" s="17" t="str">
        <f>IF(J346="","",ROUND(J346*Settings!$B$8,2))</f>
        <v/>
      </c>
      <c r="L346" s="16"/>
      <c r="M346" s="8" t="str">
        <f t="shared" si="5"/>
        <v/>
      </c>
      <c r="N346" s="9"/>
    </row>
    <row r="347" spans="1:14" ht="15.75">
      <c r="A347" s="11"/>
      <c r="B347" s="9"/>
      <c r="C347" s="12" t="str">
        <f>IF(B347="","",IFERROR(INDEX('Cashier Roster'!$C$5:$C$64,MATCH(B347,'Cashier Roster'!$B$5:$B$64,0)),"Not on roster"))</f>
        <v/>
      </c>
      <c r="D347" s="12" t="str">
        <f>IF(B347="","",IFERROR(INDEX('Cashier Roster'!$D$5:$D$64,MATCH(B347,'Cashier Roster'!$B$5:$B$64,0)),""))</f>
        <v/>
      </c>
      <c r="E347" s="13"/>
      <c r="F347" s="14"/>
      <c r="G347" s="8" t="str">
        <f>IF(OR(B347="",E347=""),"",IF(E347="No","Missed",IF(F347="","",IF(F347&lt;=Settings!$B$7,"On time","Late"))))</f>
        <v/>
      </c>
      <c r="H347" s="15"/>
      <c r="I347" s="16"/>
      <c r="J347" s="16"/>
      <c r="K347" s="17" t="str">
        <f>IF(J347="","",ROUND(J347*Settings!$B$8,2))</f>
        <v/>
      </c>
      <c r="L347" s="16"/>
      <c r="M347" s="8" t="str">
        <f t="shared" si="5"/>
        <v/>
      </c>
      <c r="N347" s="9"/>
    </row>
    <row r="348" spans="1:14" ht="15.75">
      <c r="A348" s="11"/>
      <c r="B348" s="9"/>
      <c r="C348" s="12" t="str">
        <f>IF(B348="","",IFERROR(INDEX('Cashier Roster'!$C$5:$C$64,MATCH(B348,'Cashier Roster'!$B$5:$B$64,0)),"Not on roster"))</f>
        <v/>
      </c>
      <c r="D348" s="12" t="str">
        <f>IF(B348="","",IFERROR(INDEX('Cashier Roster'!$D$5:$D$64,MATCH(B348,'Cashier Roster'!$B$5:$B$64,0)),""))</f>
        <v/>
      </c>
      <c r="E348" s="13"/>
      <c r="F348" s="14"/>
      <c r="G348" s="8" t="str">
        <f>IF(OR(B348="",E348=""),"",IF(E348="No","Missed",IF(F348="","",IF(F348&lt;=Settings!$B$7,"On time","Late"))))</f>
        <v/>
      </c>
      <c r="H348" s="15"/>
      <c r="I348" s="16"/>
      <c r="J348" s="16"/>
      <c r="K348" s="17" t="str">
        <f>IF(J348="","",ROUND(J348*Settings!$B$8,2))</f>
        <v/>
      </c>
      <c r="L348" s="16"/>
      <c r="M348" s="8" t="str">
        <f t="shared" si="5"/>
        <v/>
      </c>
      <c r="N348" s="9"/>
    </row>
    <row r="349" spans="1:14" ht="15.75">
      <c r="A349" s="11"/>
      <c r="B349" s="9"/>
      <c r="C349" s="12" t="str">
        <f>IF(B349="","",IFERROR(INDEX('Cashier Roster'!$C$5:$C$64,MATCH(B349,'Cashier Roster'!$B$5:$B$64,0)),"Not on roster"))</f>
        <v/>
      </c>
      <c r="D349" s="12" t="str">
        <f>IF(B349="","",IFERROR(INDEX('Cashier Roster'!$D$5:$D$64,MATCH(B349,'Cashier Roster'!$B$5:$B$64,0)),""))</f>
        <v/>
      </c>
      <c r="E349" s="13"/>
      <c r="F349" s="14"/>
      <c r="G349" s="8" t="str">
        <f>IF(OR(B349="",E349=""),"",IF(E349="No","Missed",IF(F349="","",IF(F349&lt;=Settings!$B$7,"On time","Late"))))</f>
        <v/>
      </c>
      <c r="H349" s="15"/>
      <c r="I349" s="16"/>
      <c r="J349" s="16"/>
      <c r="K349" s="17" t="str">
        <f>IF(J349="","",ROUND(J349*Settings!$B$8,2))</f>
        <v/>
      </c>
      <c r="L349" s="16"/>
      <c r="M349" s="8" t="str">
        <f t="shared" si="5"/>
        <v/>
      </c>
      <c r="N349" s="9"/>
    </row>
    <row r="350" spans="1:14" ht="15.75">
      <c r="A350" s="11"/>
      <c r="B350" s="9"/>
      <c r="C350" s="12" t="str">
        <f>IF(B350="","",IFERROR(INDEX('Cashier Roster'!$C$5:$C$64,MATCH(B350,'Cashier Roster'!$B$5:$B$64,0)),"Not on roster"))</f>
        <v/>
      </c>
      <c r="D350" s="12" t="str">
        <f>IF(B350="","",IFERROR(INDEX('Cashier Roster'!$D$5:$D$64,MATCH(B350,'Cashier Roster'!$B$5:$B$64,0)),""))</f>
        <v/>
      </c>
      <c r="E350" s="13"/>
      <c r="F350" s="14"/>
      <c r="G350" s="8" t="str">
        <f>IF(OR(B350="",E350=""),"",IF(E350="No","Missed",IF(F350="","",IF(F350&lt;=Settings!$B$7,"On time","Late"))))</f>
        <v/>
      </c>
      <c r="H350" s="15"/>
      <c r="I350" s="16"/>
      <c r="J350" s="16"/>
      <c r="K350" s="17" t="str">
        <f>IF(J350="","",ROUND(J350*Settings!$B$8,2))</f>
        <v/>
      </c>
      <c r="L350" s="16"/>
      <c r="M350" s="8" t="str">
        <f t="shared" si="5"/>
        <v/>
      </c>
      <c r="N350" s="9"/>
    </row>
    <row r="351" spans="1:14" ht="15.75">
      <c r="A351" s="11"/>
      <c r="B351" s="9"/>
      <c r="C351" s="12" t="str">
        <f>IF(B351="","",IFERROR(INDEX('Cashier Roster'!$C$5:$C$64,MATCH(B351,'Cashier Roster'!$B$5:$B$64,0)),"Not on roster"))</f>
        <v/>
      </c>
      <c r="D351" s="12" t="str">
        <f>IF(B351="","",IFERROR(INDEX('Cashier Roster'!$D$5:$D$64,MATCH(B351,'Cashier Roster'!$B$5:$B$64,0)),""))</f>
        <v/>
      </c>
      <c r="E351" s="13"/>
      <c r="F351" s="14"/>
      <c r="G351" s="8" t="str">
        <f>IF(OR(B351="",E351=""),"",IF(E351="No","Missed",IF(F351="","",IF(F351&lt;=Settings!$B$7,"On time","Late"))))</f>
        <v/>
      </c>
      <c r="H351" s="15"/>
      <c r="I351" s="16"/>
      <c r="J351" s="16"/>
      <c r="K351" s="17" t="str">
        <f>IF(J351="","",ROUND(J351*Settings!$B$8,2))</f>
        <v/>
      </c>
      <c r="L351" s="16"/>
      <c r="M351" s="8" t="str">
        <f t="shared" si="5"/>
        <v/>
      </c>
      <c r="N351" s="9"/>
    </row>
    <row r="352" spans="1:14" ht="15.75">
      <c r="A352" s="11"/>
      <c r="B352" s="9"/>
      <c r="C352" s="12" t="str">
        <f>IF(B352="","",IFERROR(INDEX('Cashier Roster'!$C$5:$C$64,MATCH(B352,'Cashier Roster'!$B$5:$B$64,0)),"Not on roster"))</f>
        <v/>
      </c>
      <c r="D352" s="12" t="str">
        <f>IF(B352="","",IFERROR(INDEX('Cashier Roster'!$D$5:$D$64,MATCH(B352,'Cashier Roster'!$B$5:$B$64,0)),""))</f>
        <v/>
      </c>
      <c r="E352" s="13"/>
      <c r="F352" s="14"/>
      <c r="G352" s="8" t="str">
        <f>IF(OR(B352="",E352=""),"",IF(E352="No","Missed",IF(F352="","",IF(F352&lt;=Settings!$B$7,"On time","Late"))))</f>
        <v/>
      </c>
      <c r="H352" s="15"/>
      <c r="I352" s="16"/>
      <c r="J352" s="16"/>
      <c r="K352" s="17" t="str">
        <f>IF(J352="","",ROUND(J352*Settings!$B$8,2))</f>
        <v/>
      </c>
      <c r="L352" s="16"/>
      <c r="M352" s="8" t="str">
        <f t="shared" si="5"/>
        <v/>
      </c>
      <c r="N352" s="9"/>
    </row>
    <row r="353" spans="1:14" ht="15.75">
      <c r="A353" s="11"/>
      <c r="B353" s="9"/>
      <c r="C353" s="12" t="str">
        <f>IF(B353="","",IFERROR(INDEX('Cashier Roster'!$C$5:$C$64,MATCH(B353,'Cashier Roster'!$B$5:$B$64,0)),"Not on roster"))</f>
        <v/>
      </c>
      <c r="D353" s="12" t="str">
        <f>IF(B353="","",IFERROR(INDEX('Cashier Roster'!$D$5:$D$64,MATCH(B353,'Cashier Roster'!$B$5:$B$64,0)),""))</f>
        <v/>
      </c>
      <c r="E353" s="13"/>
      <c r="F353" s="14"/>
      <c r="G353" s="8" t="str">
        <f>IF(OR(B353="",E353=""),"",IF(E353="No","Missed",IF(F353="","",IF(F353&lt;=Settings!$B$7,"On time","Late"))))</f>
        <v/>
      </c>
      <c r="H353" s="15"/>
      <c r="I353" s="16"/>
      <c r="J353" s="16"/>
      <c r="K353" s="17" t="str">
        <f>IF(J353="","",ROUND(J353*Settings!$B$8,2))</f>
        <v/>
      </c>
      <c r="L353" s="16"/>
      <c r="M353" s="8" t="str">
        <f t="shared" si="5"/>
        <v/>
      </c>
      <c r="N353" s="9"/>
    </row>
    <row r="354" spans="1:14" ht="15.75">
      <c r="A354" s="11"/>
      <c r="B354" s="9"/>
      <c r="C354" s="12" t="str">
        <f>IF(B354="","",IFERROR(INDEX('Cashier Roster'!$C$5:$C$64,MATCH(B354,'Cashier Roster'!$B$5:$B$64,0)),"Not on roster"))</f>
        <v/>
      </c>
      <c r="D354" s="12" t="str">
        <f>IF(B354="","",IFERROR(INDEX('Cashier Roster'!$D$5:$D$64,MATCH(B354,'Cashier Roster'!$B$5:$B$64,0)),""))</f>
        <v/>
      </c>
      <c r="E354" s="13"/>
      <c r="F354" s="14"/>
      <c r="G354" s="8" t="str">
        <f>IF(OR(B354="",E354=""),"",IF(E354="No","Missed",IF(F354="","",IF(F354&lt;=Settings!$B$7,"On time","Late"))))</f>
        <v/>
      </c>
      <c r="H354" s="15"/>
      <c r="I354" s="16"/>
      <c r="J354" s="16"/>
      <c r="K354" s="17" t="str">
        <f>IF(J354="","",ROUND(J354*Settings!$B$8,2))</f>
        <v/>
      </c>
      <c r="L354" s="16"/>
      <c r="M354" s="8" t="str">
        <f t="shared" si="5"/>
        <v/>
      </c>
      <c r="N354" s="9"/>
    </row>
    <row r="355" spans="1:14" ht="15.75">
      <c r="A355" s="11"/>
      <c r="B355" s="9"/>
      <c r="C355" s="12" t="str">
        <f>IF(B355="","",IFERROR(INDEX('Cashier Roster'!$C$5:$C$64,MATCH(B355,'Cashier Roster'!$B$5:$B$64,0)),"Not on roster"))</f>
        <v/>
      </c>
      <c r="D355" s="12" t="str">
        <f>IF(B355="","",IFERROR(INDEX('Cashier Roster'!$D$5:$D$64,MATCH(B355,'Cashier Roster'!$B$5:$B$64,0)),""))</f>
        <v/>
      </c>
      <c r="E355" s="13"/>
      <c r="F355" s="14"/>
      <c r="G355" s="8" t="str">
        <f>IF(OR(B355="",E355=""),"",IF(E355="No","Missed",IF(F355="","",IF(F355&lt;=Settings!$B$7,"On time","Late"))))</f>
        <v/>
      </c>
      <c r="H355" s="15"/>
      <c r="I355" s="16"/>
      <c r="J355" s="16"/>
      <c r="K355" s="17" t="str">
        <f>IF(J355="","",ROUND(J355*Settings!$B$8,2))</f>
        <v/>
      </c>
      <c r="L355" s="16"/>
      <c r="M355" s="8" t="str">
        <f t="shared" si="5"/>
        <v/>
      </c>
      <c r="N355" s="9"/>
    </row>
    <row r="356" spans="1:14" ht="15.75">
      <c r="A356" s="11"/>
      <c r="B356" s="9"/>
      <c r="C356" s="12" t="str">
        <f>IF(B356="","",IFERROR(INDEX('Cashier Roster'!$C$5:$C$64,MATCH(B356,'Cashier Roster'!$B$5:$B$64,0)),"Not on roster"))</f>
        <v/>
      </c>
      <c r="D356" s="12" t="str">
        <f>IF(B356="","",IFERROR(INDEX('Cashier Roster'!$D$5:$D$64,MATCH(B356,'Cashier Roster'!$B$5:$B$64,0)),""))</f>
        <v/>
      </c>
      <c r="E356" s="13"/>
      <c r="F356" s="14"/>
      <c r="G356" s="8" t="str">
        <f>IF(OR(B356="",E356=""),"",IF(E356="No","Missed",IF(F356="","",IF(F356&lt;=Settings!$B$7,"On time","Late"))))</f>
        <v/>
      </c>
      <c r="H356" s="15"/>
      <c r="I356" s="16"/>
      <c r="J356" s="16"/>
      <c r="K356" s="17" t="str">
        <f>IF(J356="","",ROUND(J356*Settings!$B$8,2))</f>
        <v/>
      </c>
      <c r="L356" s="16"/>
      <c r="M356" s="8" t="str">
        <f t="shared" si="5"/>
        <v/>
      </c>
      <c r="N356" s="9"/>
    </row>
    <row r="357" spans="1:14" ht="15.75">
      <c r="A357" s="11"/>
      <c r="B357" s="9"/>
      <c r="C357" s="12" t="str">
        <f>IF(B357="","",IFERROR(INDEX('Cashier Roster'!$C$5:$C$64,MATCH(B357,'Cashier Roster'!$B$5:$B$64,0)),"Not on roster"))</f>
        <v/>
      </c>
      <c r="D357" s="12" t="str">
        <f>IF(B357="","",IFERROR(INDEX('Cashier Roster'!$D$5:$D$64,MATCH(B357,'Cashier Roster'!$B$5:$B$64,0)),""))</f>
        <v/>
      </c>
      <c r="E357" s="13"/>
      <c r="F357" s="14"/>
      <c r="G357" s="8" t="str">
        <f>IF(OR(B357="",E357=""),"",IF(E357="No","Missed",IF(F357="","",IF(F357&lt;=Settings!$B$7,"On time","Late"))))</f>
        <v/>
      </c>
      <c r="H357" s="15"/>
      <c r="I357" s="16"/>
      <c r="J357" s="16"/>
      <c r="K357" s="17" t="str">
        <f>IF(J357="","",ROUND(J357*Settings!$B$8,2))</f>
        <v/>
      </c>
      <c r="L357" s="16"/>
      <c r="M357" s="8" t="str">
        <f t="shared" si="5"/>
        <v/>
      </c>
      <c r="N357" s="9"/>
    </row>
    <row r="358" spans="1:14" ht="15.75">
      <c r="A358" s="11"/>
      <c r="B358" s="9"/>
      <c r="C358" s="12" t="str">
        <f>IF(B358="","",IFERROR(INDEX('Cashier Roster'!$C$5:$C$64,MATCH(B358,'Cashier Roster'!$B$5:$B$64,0)),"Not on roster"))</f>
        <v/>
      </c>
      <c r="D358" s="12" t="str">
        <f>IF(B358="","",IFERROR(INDEX('Cashier Roster'!$D$5:$D$64,MATCH(B358,'Cashier Roster'!$B$5:$B$64,0)),""))</f>
        <v/>
      </c>
      <c r="E358" s="13"/>
      <c r="F358" s="14"/>
      <c r="G358" s="8" t="str">
        <f>IF(OR(B358="",E358=""),"",IF(E358="No","Missed",IF(F358="","",IF(F358&lt;=Settings!$B$7,"On time","Late"))))</f>
        <v/>
      </c>
      <c r="H358" s="15"/>
      <c r="I358" s="16"/>
      <c r="J358" s="16"/>
      <c r="K358" s="17" t="str">
        <f>IF(J358="","",ROUND(J358*Settings!$B$8,2))</f>
        <v/>
      </c>
      <c r="L358" s="16"/>
      <c r="M358" s="8" t="str">
        <f t="shared" si="5"/>
        <v/>
      </c>
      <c r="N358" s="9"/>
    </row>
    <row r="359" spans="1:14" ht="15.75">
      <c r="A359" s="11"/>
      <c r="B359" s="9"/>
      <c r="C359" s="12" t="str">
        <f>IF(B359="","",IFERROR(INDEX('Cashier Roster'!$C$5:$C$64,MATCH(B359,'Cashier Roster'!$B$5:$B$64,0)),"Not on roster"))</f>
        <v/>
      </c>
      <c r="D359" s="12" t="str">
        <f>IF(B359="","",IFERROR(INDEX('Cashier Roster'!$D$5:$D$64,MATCH(B359,'Cashier Roster'!$B$5:$B$64,0)),""))</f>
        <v/>
      </c>
      <c r="E359" s="13"/>
      <c r="F359" s="14"/>
      <c r="G359" s="8" t="str">
        <f>IF(OR(B359="",E359=""),"",IF(E359="No","Missed",IF(F359="","",IF(F359&lt;=Settings!$B$7,"On time","Late"))))</f>
        <v/>
      </c>
      <c r="H359" s="15"/>
      <c r="I359" s="16"/>
      <c r="J359" s="16"/>
      <c r="K359" s="17" t="str">
        <f>IF(J359="","",ROUND(J359*Settings!$B$8,2))</f>
        <v/>
      </c>
      <c r="L359" s="16"/>
      <c r="M359" s="8" t="str">
        <f t="shared" si="5"/>
        <v/>
      </c>
      <c r="N359" s="9"/>
    </row>
    <row r="360" spans="1:14" ht="15.75">
      <c r="A360" s="11"/>
      <c r="B360" s="9"/>
      <c r="C360" s="12" t="str">
        <f>IF(B360="","",IFERROR(INDEX('Cashier Roster'!$C$5:$C$64,MATCH(B360,'Cashier Roster'!$B$5:$B$64,0)),"Not on roster"))</f>
        <v/>
      </c>
      <c r="D360" s="12" t="str">
        <f>IF(B360="","",IFERROR(INDEX('Cashier Roster'!$D$5:$D$64,MATCH(B360,'Cashier Roster'!$B$5:$B$64,0)),""))</f>
        <v/>
      </c>
      <c r="E360" s="13"/>
      <c r="F360" s="14"/>
      <c r="G360" s="8" t="str">
        <f>IF(OR(B360="",E360=""),"",IF(E360="No","Missed",IF(F360="","",IF(F360&lt;=Settings!$B$7,"On time","Late"))))</f>
        <v/>
      </c>
      <c r="H360" s="15"/>
      <c r="I360" s="16"/>
      <c r="J360" s="16"/>
      <c r="K360" s="17" t="str">
        <f>IF(J360="","",ROUND(J360*Settings!$B$8,2))</f>
        <v/>
      </c>
      <c r="L360" s="16"/>
      <c r="M360" s="8" t="str">
        <f t="shared" si="5"/>
        <v/>
      </c>
      <c r="N360" s="9"/>
    </row>
    <row r="361" spans="1:14" ht="15.75">
      <c r="A361" s="11"/>
      <c r="B361" s="9"/>
      <c r="C361" s="12" t="str">
        <f>IF(B361="","",IFERROR(INDEX('Cashier Roster'!$C$5:$C$64,MATCH(B361,'Cashier Roster'!$B$5:$B$64,0)),"Not on roster"))</f>
        <v/>
      </c>
      <c r="D361" s="12" t="str">
        <f>IF(B361="","",IFERROR(INDEX('Cashier Roster'!$D$5:$D$64,MATCH(B361,'Cashier Roster'!$B$5:$B$64,0)),""))</f>
        <v/>
      </c>
      <c r="E361" s="13"/>
      <c r="F361" s="14"/>
      <c r="G361" s="8" t="str">
        <f>IF(OR(B361="",E361=""),"",IF(E361="No","Missed",IF(F361="","",IF(F361&lt;=Settings!$B$7,"On time","Late"))))</f>
        <v/>
      </c>
      <c r="H361" s="15"/>
      <c r="I361" s="16"/>
      <c r="J361" s="16"/>
      <c r="K361" s="17" t="str">
        <f>IF(J361="","",ROUND(J361*Settings!$B$8,2))</f>
        <v/>
      </c>
      <c r="L361" s="16"/>
      <c r="M361" s="8" t="str">
        <f t="shared" si="5"/>
        <v/>
      </c>
      <c r="N361" s="9"/>
    </row>
    <row r="362" spans="1:14" ht="15.75">
      <c r="A362" s="11"/>
      <c r="B362" s="9"/>
      <c r="C362" s="12" t="str">
        <f>IF(B362="","",IFERROR(INDEX('Cashier Roster'!$C$5:$C$64,MATCH(B362,'Cashier Roster'!$B$5:$B$64,0)),"Not on roster"))</f>
        <v/>
      </c>
      <c r="D362" s="12" t="str">
        <f>IF(B362="","",IFERROR(INDEX('Cashier Roster'!$D$5:$D$64,MATCH(B362,'Cashier Roster'!$B$5:$B$64,0)),""))</f>
        <v/>
      </c>
      <c r="E362" s="13"/>
      <c r="F362" s="14"/>
      <c r="G362" s="8" t="str">
        <f>IF(OR(B362="",E362=""),"",IF(E362="No","Missed",IF(F362="","",IF(F362&lt;=Settings!$B$7,"On time","Late"))))</f>
        <v/>
      </c>
      <c r="H362" s="15"/>
      <c r="I362" s="16"/>
      <c r="J362" s="16"/>
      <c r="K362" s="17" t="str">
        <f>IF(J362="","",ROUND(J362*Settings!$B$8,2))</f>
        <v/>
      </c>
      <c r="L362" s="16"/>
      <c r="M362" s="8" t="str">
        <f t="shared" si="5"/>
        <v/>
      </c>
      <c r="N362" s="9"/>
    </row>
    <row r="363" spans="1:14" ht="15.75">
      <c r="A363" s="11"/>
      <c r="B363" s="9"/>
      <c r="C363" s="12" t="str">
        <f>IF(B363="","",IFERROR(INDEX('Cashier Roster'!$C$5:$C$64,MATCH(B363,'Cashier Roster'!$B$5:$B$64,0)),"Not on roster"))</f>
        <v/>
      </c>
      <c r="D363" s="12" t="str">
        <f>IF(B363="","",IFERROR(INDEX('Cashier Roster'!$D$5:$D$64,MATCH(B363,'Cashier Roster'!$B$5:$B$64,0)),""))</f>
        <v/>
      </c>
      <c r="E363" s="13"/>
      <c r="F363" s="14"/>
      <c r="G363" s="8" t="str">
        <f>IF(OR(B363="",E363=""),"",IF(E363="No","Missed",IF(F363="","",IF(F363&lt;=Settings!$B$7,"On time","Late"))))</f>
        <v/>
      </c>
      <c r="H363" s="15"/>
      <c r="I363" s="16"/>
      <c r="J363" s="16"/>
      <c r="K363" s="17" t="str">
        <f>IF(J363="","",ROUND(J363*Settings!$B$8,2))</f>
        <v/>
      </c>
      <c r="L363" s="16"/>
      <c r="M363" s="8" t="str">
        <f t="shared" si="5"/>
        <v/>
      </c>
      <c r="N363" s="9"/>
    </row>
    <row r="364" spans="1:14" ht="15.75">
      <c r="A364" s="11"/>
      <c r="B364" s="9"/>
      <c r="C364" s="12" t="str">
        <f>IF(B364="","",IFERROR(INDEX('Cashier Roster'!$C$5:$C$64,MATCH(B364,'Cashier Roster'!$B$5:$B$64,0)),"Not on roster"))</f>
        <v/>
      </c>
      <c r="D364" s="12" t="str">
        <f>IF(B364="","",IFERROR(INDEX('Cashier Roster'!$D$5:$D$64,MATCH(B364,'Cashier Roster'!$B$5:$B$64,0)),""))</f>
        <v/>
      </c>
      <c r="E364" s="13"/>
      <c r="F364" s="14"/>
      <c r="G364" s="8" t="str">
        <f>IF(OR(B364="",E364=""),"",IF(E364="No","Missed",IF(F364="","",IF(F364&lt;=Settings!$B$7,"On time","Late"))))</f>
        <v/>
      </c>
      <c r="H364" s="15"/>
      <c r="I364" s="16"/>
      <c r="J364" s="16"/>
      <c r="K364" s="17" t="str">
        <f>IF(J364="","",ROUND(J364*Settings!$B$8,2))</f>
        <v/>
      </c>
      <c r="L364" s="16"/>
      <c r="M364" s="8" t="str">
        <f t="shared" si="5"/>
        <v/>
      </c>
      <c r="N364" s="9"/>
    </row>
    <row r="365" spans="1:14" ht="15.75">
      <c r="A365" s="11"/>
      <c r="B365" s="9"/>
      <c r="C365" s="12" t="str">
        <f>IF(B365="","",IFERROR(INDEX('Cashier Roster'!$C$5:$C$64,MATCH(B365,'Cashier Roster'!$B$5:$B$64,0)),"Not on roster"))</f>
        <v/>
      </c>
      <c r="D365" s="12" t="str">
        <f>IF(B365="","",IFERROR(INDEX('Cashier Roster'!$D$5:$D$64,MATCH(B365,'Cashier Roster'!$B$5:$B$64,0)),""))</f>
        <v/>
      </c>
      <c r="E365" s="13"/>
      <c r="F365" s="14"/>
      <c r="G365" s="8" t="str">
        <f>IF(OR(B365="",E365=""),"",IF(E365="No","Missed",IF(F365="","",IF(F365&lt;=Settings!$B$7,"On time","Late"))))</f>
        <v/>
      </c>
      <c r="H365" s="15"/>
      <c r="I365" s="16"/>
      <c r="J365" s="16"/>
      <c r="K365" s="17" t="str">
        <f>IF(J365="","",ROUND(J365*Settings!$B$8,2))</f>
        <v/>
      </c>
      <c r="L365" s="16"/>
      <c r="M365" s="8" t="str">
        <f t="shared" si="5"/>
        <v/>
      </c>
      <c r="N365" s="9"/>
    </row>
    <row r="366" spans="1:14" ht="15.75">
      <c r="A366" s="11"/>
      <c r="B366" s="9"/>
      <c r="C366" s="12" t="str">
        <f>IF(B366="","",IFERROR(INDEX('Cashier Roster'!$C$5:$C$64,MATCH(B366,'Cashier Roster'!$B$5:$B$64,0)),"Not on roster"))</f>
        <v/>
      </c>
      <c r="D366" s="12" t="str">
        <f>IF(B366="","",IFERROR(INDEX('Cashier Roster'!$D$5:$D$64,MATCH(B366,'Cashier Roster'!$B$5:$B$64,0)),""))</f>
        <v/>
      </c>
      <c r="E366" s="13"/>
      <c r="F366" s="14"/>
      <c r="G366" s="8" t="str">
        <f>IF(OR(B366="",E366=""),"",IF(E366="No","Missed",IF(F366="","",IF(F366&lt;=Settings!$B$7,"On time","Late"))))</f>
        <v/>
      </c>
      <c r="H366" s="15"/>
      <c r="I366" s="16"/>
      <c r="J366" s="16"/>
      <c r="K366" s="17" t="str">
        <f>IF(J366="","",ROUND(J366*Settings!$B$8,2))</f>
        <v/>
      </c>
      <c r="L366" s="16"/>
      <c r="M366" s="8" t="str">
        <f t="shared" si="5"/>
        <v/>
      </c>
      <c r="N366" s="9"/>
    </row>
    <row r="367" spans="1:14" ht="15.75">
      <c r="A367" s="11"/>
      <c r="B367" s="9"/>
      <c r="C367" s="12" t="str">
        <f>IF(B367="","",IFERROR(INDEX('Cashier Roster'!$C$5:$C$64,MATCH(B367,'Cashier Roster'!$B$5:$B$64,0)),"Not on roster"))</f>
        <v/>
      </c>
      <c r="D367" s="12" t="str">
        <f>IF(B367="","",IFERROR(INDEX('Cashier Roster'!$D$5:$D$64,MATCH(B367,'Cashier Roster'!$B$5:$B$64,0)),""))</f>
        <v/>
      </c>
      <c r="E367" s="13"/>
      <c r="F367" s="14"/>
      <c r="G367" s="8" t="str">
        <f>IF(OR(B367="",E367=""),"",IF(E367="No","Missed",IF(F367="","",IF(F367&lt;=Settings!$B$7,"On time","Late"))))</f>
        <v/>
      </c>
      <c r="H367" s="15"/>
      <c r="I367" s="16"/>
      <c r="J367" s="16"/>
      <c r="K367" s="17" t="str">
        <f>IF(J367="","",ROUND(J367*Settings!$B$8,2))</f>
        <v/>
      </c>
      <c r="L367" s="16"/>
      <c r="M367" s="8" t="str">
        <f t="shared" si="5"/>
        <v/>
      </c>
      <c r="N367" s="9"/>
    </row>
    <row r="368" spans="1:14" ht="15.75">
      <c r="A368" s="11"/>
      <c r="B368" s="9"/>
      <c r="C368" s="12" t="str">
        <f>IF(B368="","",IFERROR(INDEX('Cashier Roster'!$C$5:$C$64,MATCH(B368,'Cashier Roster'!$B$5:$B$64,0)),"Not on roster"))</f>
        <v/>
      </c>
      <c r="D368" s="12" t="str">
        <f>IF(B368="","",IFERROR(INDEX('Cashier Roster'!$D$5:$D$64,MATCH(B368,'Cashier Roster'!$B$5:$B$64,0)),""))</f>
        <v/>
      </c>
      <c r="E368" s="13"/>
      <c r="F368" s="14"/>
      <c r="G368" s="8" t="str">
        <f>IF(OR(B368="",E368=""),"",IF(E368="No","Missed",IF(F368="","",IF(F368&lt;=Settings!$B$7,"On time","Late"))))</f>
        <v/>
      </c>
      <c r="H368" s="15"/>
      <c r="I368" s="16"/>
      <c r="J368" s="16"/>
      <c r="K368" s="17" t="str">
        <f>IF(J368="","",ROUND(J368*Settings!$B$8,2))</f>
        <v/>
      </c>
      <c r="L368" s="16"/>
      <c r="M368" s="8" t="str">
        <f t="shared" si="5"/>
        <v/>
      </c>
      <c r="N368" s="9"/>
    </row>
    <row r="369" spans="1:14" ht="15.75">
      <c r="A369" s="11"/>
      <c r="B369" s="9"/>
      <c r="C369" s="12" t="str">
        <f>IF(B369="","",IFERROR(INDEX('Cashier Roster'!$C$5:$C$64,MATCH(B369,'Cashier Roster'!$B$5:$B$64,0)),"Not on roster"))</f>
        <v/>
      </c>
      <c r="D369" s="12" t="str">
        <f>IF(B369="","",IFERROR(INDEX('Cashier Roster'!$D$5:$D$64,MATCH(B369,'Cashier Roster'!$B$5:$B$64,0)),""))</f>
        <v/>
      </c>
      <c r="E369" s="13"/>
      <c r="F369" s="14"/>
      <c r="G369" s="8" t="str">
        <f>IF(OR(B369="",E369=""),"",IF(E369="No","Missed",IF(F369="","",IF(F369&lt;=Settings!$B$7,"On time","Late"))))</f>
        <v/>
      </c>
      <c r="H369" s="15"/>
      <c r="I369" s="16"/>
      <c r="J369" s="16"/>
      <c r="K369" s="17" t="str">
        <f>IF(J369="","",ROUND(J369*Settings!$B$8,2))</f>
        <v/>
      </c>
      <c r="L369" s="16"/>
      <c r="M369" s="8" t="str">
        <f t="shared" si="5"/>
        <v/>
      </c>
      <c r="N369" s="9"/>
    </row>
    <row r="370" spans="1:14" ht="15.75">
      <c r="A370" s="11"/>
      <c r="B370" s="9"/>
      <c r="C370" s="12" t="str">
        <f>IF(B370="","",IFERROR(INDEX('Cashier Roster'!$C$5:$C$64,MATCH(B370,'Cashier Roster'!$B$5:$B$64,0)),"Not on roster"))</f>
        <v/>
      </c>
      <c r="D370" s="12" t="str">
        <f>IF(B370="","",IFERROR(INDEX('Cashier Roster'!$D$5:$D$64,MATCH(B370,'Cashier Roster'!$B$5:$B$64,0)),""))</f>
        <v/>
      </c>
      <c r="E370" s="13"/>
      <c r="F370" s="14"/>
      <c r="G370" s="8" t="str">
        <f>IF(OR(B370="",E370=""),"",IF(E370="No","Missed",IF(F370="","",IF(F370&lt;=Settings!$B$7,"On time","Late"))))</f>
        <v/>
      </c>
      <c r="H370" s="15"/>
      <c r="I370" s="16"/>
      <c r="J370" s="16"/>
      <c r="K370" s="17" t="str">
        <f>IF(J370="","",ROUND(J370*Settings!$B$8,2))</f>
        <v/>
      </c>
      <c r="L370" s="16"/>
      <c r="M370" s="8" t="str">
        <f t="shared" si="5"/>
        <v/>
      </c>
      <c r="N370" s="9"/>
    </row>
    <row r="371" spans="1:14" ht="15.75">
      <c r="A371" s="11"/>
      <c r="B371" s="9"/>
      <c r="C371" s="12" t="str">
        <f>IF(B371="","",IFERROR(INDEX('Cashier Roster'!$C$5:$C$64,MATCH(B371,'Cashier Roster'!$B$5:$B$64,0)),"Not on roster"))</f>
        <v/>
      </c>
      <c r="D371" s="12" t="str">
        <f>IF(B371="","",IFERROR(INDEX('Cashier Roster'!$D$5:$D$64,MATCH(B371,'Cashier Roster'!$B$5:$B$64,0)),""))</f>
        <v/>
      </c>
      <c r="E371" s="13"/>
      <c r="F371" s="14"/>
      <c r="G371" s="8" t="str">
        <f>IF(OR(B371="",E371=""),"",IF(E371="No","Missed",IF(F371="","",IF(F371&lt;=Settings!$B$7,"On time","Late"))))</f>
        <v/>
      </c>
      <c r="H371" s="15"/>
      <c r="I371" s="16"/>
      <c r="J371" s="16"/>
      <c r="K371" s="17" t="str">
        <f>IF(J371="","",ROUND(J371*Settings!$B$8,2))</f>
        <v/>
      </c>
      <c r="L371" s="16"/>
      <c r="M371" s="8" t="str">
        <f t="shared" si="5"/>
        <v/>
      </c>
      <c r="N371" s="9"/>
    </row>
    <row r="372" spans="1:14" ht="15.75">
      <c r="A372" s="11"/>
      <c r="B372" s="9"/>
      <c r="C372" s="12" t="str">
        <f>IF(B372="","",IFERROR(INDEX('Cashier Roster'!$C$5:$C$64,MATCH(B372,'Cashier Roster'!$B$5:$B$64,0)),"Not on roster"))</f>
        <v/>
      </c>
      <c r="D372" s="12" t="str">
        <f>IF(B372="","",IFERROR(INDEX('Cashier Roster'!$D$5:$D$64,MATCH(B372,'Cashier Roster'!$B$5:$B$64,0)),""))</f>
        <v/>
      </c>
      <c r="E372" s="13"/>
      <c r="F372" s="14"/>
      <c r="G372" s="8" t="str">
        <f>IF(OR(B372="",E372=""),"",IF(E372="No","Missed",IF(F372="","",IF(F372&lt;=Settings!$B$7,"On time","Late"))))</f>
        <v/>
      </c>
      <c r="H372" s="15"/>
      <c r="I372" s="16"/>
      <c r="J372" s="16"/>
      <c r="K372" s="17" t="str">
        <f>IF(J372="","",ROUND(J372*Settings!$B$8,2))</f>
        <v/>
      </c>
      <c r="L372" s="16"/>
      <c r="M372" s="8" t="str">
        <f t="shared" si="5"/>
        <v/>
      </c>
      <c r="N372" s="9"/>
    </row>
    <row r="373" spans="1:14" ht="15.75">
      <c r="A373" s="11"/>
      <c r="B373" s="9"/>
      <c r="C373" s="12" t="str">
        <f>IF(B373="","",IFERROR(INDEX('Cashier Roster'!$C$5:$C$64,MATCH(B373,'Cashier Roster'!$B$5:$B$64,0)),"Not on roster"))</f>
        <v/>
      </c>
      <c r="D373" s="12" t="str">
        <f>IF(B373="","",IFERROR(INDEX('Cashier Roster'!$D$5:$D$64,MATCH(B373,'Cashier Roster'!$B$5:$B$64,0)),""))</f>
        <v/>
      </c>
      <c r="E373" s="13"/>
      <c r="F373" s="14"/>
      <c r="G373" s="8" t="str">
        <f>IF(OR(B373="",E373=""),"",IF(E373="No","Missed",IF(F373="","",IF(F373&lt;=Settings!$B$7,"On time","Late"))))</f>
        <v/>
      </c>
      <c r="H373" s="15"/>
      <c r="I373" s="16"/>
      <c r="J373" s="16"/>
      <c r="K373" s="17" t="str">
        <f>IF(J373="","",ROUND(J373*Settings!$B$8,2))</f>
        <v/>
      </c>
      <c r="L373" s="16"/>
      <c r="M373" s="8" t="str">
        <f t="shared" si="5"/>
        <v/>
      </c>
      <c r="N373" s="9"/>
    </row>
    <row r="374" spans="1:14" ht="15.75">
      <c r="A374" s="11"/>
      <c r="B374" s="9"/>
      <c r="C374" s="12" t="str">
        <f>IF(B374="","",IFERROR(INDEX('Cashier Roster'!$C$5:$C$64,MATCH(B374,'Cashier Roster'!$B$5:$B$64,0)),"Not on roster"))</f>
        <v/>
      </c>
      <c r="D374" s="12" t="str">
        <f>IF(B374="","",IFERROR(INDEX('Cashier Roster'!$D$5:$D$64,MATCH(B374,'Cashier Roster'!$B$5:$B$64,0)),""))</f>
        <v/>
      </c>
      <c r="E374" s="13"/>
      <c r="F374" s="14"/>
      <c r="G374" s="8" t="str">
        <f>IF(OR(B374="",E374=""),"",IF(E374="No","Missed",IF(F374="","",IF(F374&lt;=Settings!$B$7,"On time","Late"))))</f>
        <v/>
      </c>
      <c r="H374" s="15"/>
      <c r="I374" s="16"/>
      <c r="J374" s="16"/>
      <c r="K374" s="17" t="str">
        <f>IF(J374="","",ROUND(J374*Settings!$B$8,2))</f>
        <v/>
      </c>
      <c r="L374" s="16"/>
      <c r="M374" s="8" t="str">
        <f t="shared" si="5"/>
        <v/>
      </c>
      <c r="N374" s="9"/>
    </row>
    <row r="375" spans="1:14" ht="15.75">
      <c r="A375" s="11"/>
      <c r="B375" s="9"/>
      <c r="C375" s="12" t="str">
        <f>IF(B375="","",IFERROR(INDEX('Cashier Roster'!$C$5:$C$64,MATCH(B375,'Cashier Roster'!$B$5:$B$64,0)),"Not on roster"))</f>
        <v/>
      </c>
      <c r="D375" s="12" t="str">
        <f>IF(B375="","",IFERROR(INDEX('Cashier Roster'!$D$5:$D$64,MATCH(B375,'Cashier Roster'!$B$5:$B$64,0)),""))</f>
        <v/>
      </c>
      <c r="E375" s="13"/>
      <c r="F375" s="14"/>
      <c r="G375" s="8" t="str">
        <f>IF(OR(B375="",E375=""),"",IF(E375="No","Missed",IF(F375="","",IF(F375&lt;=Settings!$B$7,"On time","Late"))))</f>
        <v/>
      </c>
      <c r="H375" s="15"/>
      <c r="I375" s="16"/>
      <c r="J375" s="16"/>
      <c r="K375" s="17" t="str">
        <f>IF(J375="","",ROUND(J375*Settings!$B$8,2))</f>
        <v/>
      </c>
      <c r="L375" s="16"/>
      <c r="M375" s="8" t="str">
        <f t="shared" si="5"/>
        <v/>
      </c>
      <c r="N375" s="9"/>
    </row>
    <row r="376" spans="1:14" ht="15.75">
      <c r="A376" s="11"/>
      <c r="B376" s="9"/>
      <c r="C376" s="12" t="str">
        <f>IF(B376="","",IFERROR(INDEX('Cashier Roster'!$C$5:$C$64,MATCH(B376,'Cashier Roster'!$B$5:$B$64,0)),"Not on roster"))</f>
        <v/>
      </c>
      <c r="D376" s="12" t="str">
        <f>IF(B376="","",IFERROR(INDEX('Cashier Roster'!$D$5:$D$64,MATCH(B376,'Cashier Roster'!$B$5:$B$64,0)),""))</f>
        <v/>
      </c>
      <c r="E376" s="13"/>
      <c r="F376" s="14"/>
      <c r="G376" s="8" t="str">
        <f>IF(OR(B376="",E376=""),"",IF(E376="No","Missed",IF(F376="","",IF(F376&lt;=Settings!$B$7,"On time","Late"))))</f>
        <v/>
      </c>
      <c r="H376" s="15"/>
      <c r="I376" s="16"/>
      <c r="J376" s="16"/>
      <c r="K376" s="17" t="str">
        <f>IF(J376="","",ROUND(J376*Settings!$B$8,2))</f>
        <v/>
      </c>
      <c r="L376" s="16"/>
      <c r="M376" s="8" t="str">
        <f t="shared" si="5"/>
        <v/>
      </c>
      <c r="N376" s="9"/>
    </row>
    <row r="377" spans="1:14" ht="15.75">
      <c r="A377" s="11"/>
      <c r="B377" s="9"/>
      <c r="C377" s="12" t="str">
        <f>IF(B377="","",IFERROR(INDEX('Cashier Roster'!$C$5:$C$64,MATCH(B377,'Cashier Roster'!$B$5:$B$64,0)),"Not on roster"))</f>
        <v/>
      </c>
      <c r="D377" s="12" t="str">
        <f>IF(B377="","",IFERROR(INDEX('Cashier Roster'!$D$5:$D$64,MATCH(B377,'Cashier Roster'!$B$5:$B$64,0)),""))</f>
        <v/>
      </c>
      <c r="E377" s="13"/>
      <c r="F377" s="14"/>
      <c r="G377" s="8" t="str">
        <f>IF(OR(B377="",E377=""),"",IF(E377="No","Missed",IF(F377="","",IF(F377&lt;=Settings!$B$7,"On time","Late"))))</f>
        <v/>
      </c>
      <c r="H377" s="15"/>
      <c r="I377" s="16"/>
      <c r="J377" s="16"/>
      <c r="K377" s="17" t="str">
        <f>IF(J377="","",ROUND(J377*Settings!$B$8,2))</f>
        <v/>
      </c>
      <c r="L377" s="16"/>
      <c r="M377" s="8" t="str">
        <f t="shared" si="5"/>
        <v/>
      </c>
      <c r="N377" s="9"/>
    </row>
    <row r="378" spans="1:14" ht="15.75">
      <c r="A378" s="11"/>
      <c r="B378" s="9"/>
      <c r="C378" s="12" t="str">
        <f>IF(B378="","",IFERROR(INDEX('Cashier Roster'!$C$5:$C$64,MATCH(B378,'Cashier Roster'!$B$5:$B$64,0)),"Not on roster"))</f>
        <v/>
      </c>
      <c r="D378" s="12" t="str">
        <f>IF(B378="","",IFERROR(INDEX('Cashier Roster'!$D$5:$D$64,MATCH(B378,'Cashier Roster'!$B$5:$B$64,0)),""))</f>
        <v/>
      </c>
      <c r="E378" s="13"/>
      <c r="F378" s="14"/>
      <c r="G378" s="8" t="str">
        <f>IF(OR(B378="",E378=""),"",IF(E378="No","Missed",IF(F378="","",IF(F378&lt;=Settings!$B$7,"On time","Late"))))</f>
        <v/>
      </c>
      <c r="H378" s="15"/>
      <c r="I378" s="16"/>
      <c r="J378" s="16"/>
      <c r="K378" s="17" t="str">
        <f>IF(J378="","",ROUND(J378*Settings!$B$8,2))</f>
        <v/>
      </c>
      <c r="L378" s="16"/>
      <c r="M378" s="8" t="str">
        <f t="shared" si="5"/>
        <v/>
      </c>
      <c r="N378" s="9"/>
    </row>
    <row r="379" spans="1:14" ht="15.75">
      <c r="A379" s="11"/>
      <c r="B379" s="9"/>
      <c r="C379" s="12" t="str">
        <f>IF(B379="","",IFERROR(INDEX('Cashier Roster'!$C$5:$C$64,MATCH(B379,'Cashier Roster'!$B$5:$B$64,0)),"Not on roster"))</f>
        <v/>
      </c>
      <c r="D379" s="12" t="str">
        <f>IF(B379="","",IFERROR(INDEX('Cashier Roster'!$D$5:$D$64,MATCH(B379,'Cashier Roster'!$B$5:$B$64,0)),""))</f>
        <v/>
      </c>
      <c r="E379" s="13"/>
      <c r="F379" s="14"/>
      <c r="G379" s="8" t="str">
        <f>IF(OR(B379="",E379=""),"",IF(E379="No","Missed",IF(F379="","",IF(F379&lt;=Settings!$B$7,"On time","Late"))))</f>
        <v/>
      </c>
      <c r="H379" s="15"/>
      <c r="I379" s="16"/>
      <c r="J379" s="16"/>
      <c r="K379" s="17" t="str">
        <f>IF(J379="","",ROUND(J379*Settings!$B$8,2))</f>
        <v/>
      </c>
      <c r="L379" s="16"/>
      <c r="M379" s="8" t="str">
        <f t="shared" si="5"/>
        <v/>
      </c>
      <c r="N379" s="9"/>
    </row>
    <row r="380" spans="1:14" ht="15.75">
      <c r="A380" s="11"/>
      <c r="B380" s="9"/>
      <c r="C380" s="12" t="str">
        <f>IF(B380="","",IFERROR(INDEX('Cashier Roster'!$C$5:$C$64,MATCH(B380,'Cashier Roster'!$B$5:$B$64,0)),"Not on roster"))</f>
        <v/>
      </c>
      <c r="D380" s="12" t="str">
        <f>IF(B380="","",IFERROR(INDEX('Cashier Roster'!$D$5:$D$64,MATCH(B380,'Cashier Roster'!$B$5:$B$64,0)),""))</f>
        <v/>
      </c>
      <c r="E380" s="13"/>
      <c r="F380" s="14"/>
      <c r="G380" s="8" t="str">
        <f>IF(OR(B380="",E380=""),"",IF(E380="No","Missed",IF(F380="","",IF(F380&lt;=Settings!$B$7,"On time","Late"))))</f>
        <v/>
      </c>
      <c r="H380" s="15"/>
      <c r="I380" s="16"/>
      <c r="J380" s="16"/>
      <c r="K380" s="17" t="str">
        <f>IF(J380="","",ROUND(J380*Settings!$B$8,2))</f>
        <v/>
      </c>
      <c r="L380" s="16"/>
      <c r="M380" s="8" t="str">
        <f t="shared" si="5"/>
        <v/>
      </c>
      <c r="N380" s="9"/>
    </row>
    <row r="381" spans="1:14" ht="15.75">
      <c r="A381" s="11"/>
      <c r="B381" s="9"/>
      <c r="C381" s="12" t="str">
        <f>IF(B381="","",IFERROR(INDEX('Cashier Roster'!$C$5:$C$64,MATCH(B381,'Cashier Roster'!$B$5:$B$64,0)),"Not on roster"))</f>
        <v/>
      </c>
      <c r="D381" s="12" t="str">
        <f>IF(B381="","",IFERROR(INDEX('Cashier Roster'!$D$5:$D$64,MATCH(B381,'Cashier Roster'!$B$5:$B$64,0)),""))</f>
        <v/>
      </c>
      <c r="E381" s="13"/>
      <c r="F381" s="14"/>
      <c r="G381" s="8" t="str">
        <f>IF(OR(B381="",E381=""),"",IF(E381="No","Missed",IF(F381="","",IF(F381&lt;=Settings!$B$7,"On time","Late"))))</f>
        <v/>
      </c>
      <c r="H381" s="15"/>
      <c r="I381" s="16"/>
      <c r="J381" s="16"/>
      <c r="K381" s="17" t="str">
        <f>IF(J381="","",ROUND(J381*Settings!$B$8,2))</f>
        <v/>
      </c>
      <c r="L381" s="16"/>
      <c r="M381" s="8" t="str">
        <f t="shared" si="5"/>
        <v/>
      </c>
      <c r="N381" s="9"/>
    </row>
    <row r="382" spans="1:14" ht="15.75">
      <c r="A382" s="11"/>
      <c r="B382" s="9"/>
      <c r="C382" s="12" t="str">
        <f>IF(B382="","",IFERROR(INDEX('Cashier Roster'!$C$5:$C$64,MATCH(B382,'Cashier Roster'!$B$5:$B$64,0)),"Not on roster"))</f>
        <v/>
      </c>
      <c r="D382" s="12" t="str">
        <f>IF(B382="","",IFERROR(INDEX('Cashier Roster'!$D$5:$D$64,MATCH(B382,'Cashier Roster'!$B$5:$B$64,0)),""))</f>
        <v/>
      </c>
      <c r="E382" s="13"/>
      <c r="F382" s="14"/>
      <c r="G382" s="8" t="str">
        <f>IF(OR(B382="",E382=""),"",IF(E382="No","Missed",IF(F382="","",IF(F382&lt;=Settings!$B$7,"On time","Late"))))</f>
        <v/>
      </c>
      <c r="H382" s="15"/>
      <c r="I382" s="16"/>
      <c r="J382" s="16"/>
      <c r="K382" s="17" t="str">
        <f>IF(J382="","",ROUND(J382*Settings!$B$8,2))</f>
        <v/>
      </c>
      <c r="L382" s="16"/>
      <c r="M382" s="8" t="str">
        <f t="shared" si="5"/>
        <v/>
      </c>
      <c r="N382" s="9"/>
    </row>
    <row r="383" spans="1:14" ht="15.75">
      <c r="A383" s="11"/>
      <c r="B383" s="9"/>
      <c r="C383" s="12" t="str">
        <f>IF(B383="","",IFERROR(INDEX('Cashier Roster'!$C$5:$C$64,MATCH(B383,'Cashier Roster'!$B$5:$B$64,0)),"Not on roster"))</f>
        <v/>
      </c>
      <c r="D383" s="12" t="str">
        <f>IF(B383="","",IFERROR(INDEX('Cashier Roster'!$D$5:$D$64,MATCH(B383,'Cashier Roster'!$B$5:$B$64,0)),""))</f>
        <v/>
      </c>
      <c r="E383" s="13"/>
      <c r="F383" s="14"/>
      <c r="G383" s="8" t="str">
        <f>IF(OR(B383="",E383=""),"",IF(E383="No","Missed",IF(F383="","",IF(F383&lt;=Settings!$B$7,"On time","Late"))))</f>
        <v/>
      </c>
      <c r="H383" s="15"/>
      <c r="I383" s="16"/>
      <c r="J383" s="16"/>
      <c r="K383" s="17" t="str">
        <f>IF(J383="","",ROUND(J383*Settings!$B$8,2))</f>
        <v/>
      </c>
      <c r="L383" s="16"/>
      <c r="M383" s="8" t="str">
        <f t="shared" si="5"/>
        <v/>
      </c>
      <c r="N383" s="9"/>
    </row>
    <row r="384" spans="1:14" ht="15.75">
      <c r="A384" s="11"/>
      <c r="B384" s="9"/>
      <c r="C384" s="12" t="str">
        <f>IF(B384="","",IFERROR(INDEX('Cashier Roster'!$C$5:$C$64,MATCH(B384,'Cashier Roster'!$B$5:$B$64,0)),"Not on roster"))</f>
        <v/>
      </c>
      <c r="D384" s="12" t="str">
        <f>IF(B384="","",IFERROR(INDEX('Cashier Roster'!$D$5:$D$64,MATCH(B384,'Cashier Roster'!$B$5:$B$64,0)),""))</f>
        <v/>
      </c>
      <c r="E384" s="13"/>
      <c r="F384" s="14"/>
      <c r="G384" s="8" t="str">
        <f>IF(OR(B384="",E384=""),"",IF(E384="No","Missed",IF(F384="","",IF(F384&lt;=Settings!$B$7,"On time","Late"))))</f>
        <v/>
      </c>
      <c r="H384" s="15"/>
      <c r="I384" s="16"/>
      <c r="J384" s="16"/>
      <c r="K384" s="17" t="str">
        <f>IF(J384="","",ROUND(J384*Settings!$B$8,2))</f>
        <v/>
      </c>
      <c r="L384" s="16"/>
      <c r="M384" s="8" t="str">
        <f t="shared" si="5"/>
        <v/>
      </c>
      <c r="N384" s="9"/>
    </row>
    <row r="385" spans="1:14" ht="15.75">
      <c r="A385" s="11"/>
      <c r="B385" s="9"/>
      <c r="C385" s="12" t="str">
        <f>IF(B385="","",IFERROR(INDEX('Cashier Roster'!$C$5:$C$64,MATCH(B385,'Cashier Roster'!$B$5:$B$64,0)),"Not on roster"))</f>
        <v/>
      </c>
      <c r="D385" s="12" t="str">
        <f>IF(B385="","",IFERROR(INDEX('Cashier Roster'!$D$5:$D$64,MATCH(B385,'Cashier Roster'!$B$5:$B$64,0)),""))</f>
        <v/>
      </c>
      <c r="E385" s="13"/>
      <c r="F385" s="14"/>
      <c r="G385" s="8" t="str">
        <f>IF(OR(B385="",E385=""),"",IF(E385="No","Missed",IF(F385="","",IF(F385&lt;=Settings!$B$7,"On time","Late"))))</f>
        <v/>
      </c>
      <c r="H385" s="15"/>
      <c r="I385" s="16"/>
      <c r="J385" s="16"/>
      <c r="K385" s="17" t="str">
        <f>IF(J385="","",ROUND(J385*Settings!$B$8,2))</f>
        <v/>
      </c>
      <c r="L385" s="16"/>
      <c r="M385" s="8" t="str">
        <f t="shared" si="5"/>
        <v/>
      </c>
      <c r="N385" s="9"/>
    </row>
    <row r="386" spans="1:14" ht="15.75">
      <c r="A386" s="11"/>
      <c r="B386" s="9"/>
      <c r="C386" s="12" t="str">
        <f>IF(B386="","",IFERROR(INDEX('Cashier Roster'!$C$5:$C$64,MATCH(B386,'Cashier Roster'!$B$5:$B$64,0)),"Not on roster"))</f>
        <v/>
      </c>
      <c r="D386" s="12" t="str">
        <f>IF(B386="","",IFERROR(INDEX('Cashier Roster'!$D$5:$D$64,MATCH(B386,'Cashier Roster'!$B$5:$B$64,0)),""))</f>
        <v/>
      </c>
      <c r="E386" s="13"/>
      <c r="F386" s="14"/>
      <c r="G386" s="8" t="str">
        <f>IF(OR(B386="",E386=""),"",IF(E386="No","Missed",IF(F386="","",IF(F386&lt;=Settings!$B$7,"On time","Late"))))</f>
        <v/>
      </c>
      <c r="H386" s="15"/>
      <c r="I386" s="16"/>
      <c r="J386" s="16"/>
      <c r="K386" s="17" t="str">
        <f>IF(J386="","",ROUND(J386*Settings!$B$8,2))</f>
        <v/>
      </c>
      <c r="L386" s="16"/>
      <c r="M386" s="8" t="str">
        <f t="shared" si="5"/>
        <v/>
      </c>
      <c r="N386" s="9"/>
    </row>
    <row r="387" spans="1:14" ht="15.75">
      <c r="A387" s="11"/>
      <c r="B387" s="9"/>
      <c r="C387" s="12" t="str">
        <f>IF(B387="","",IFERROR(INDEX('Cashier Roster'!$C$5:$C$64,MATCH(B387,'Cashier Roster'!$B$5:$B$64,0)),"Not on roster"))</f>
        <v/>
      </c>
      <c r="D387" s="12" t="str">
        <f>IF(B387="","",IFERROR(INDEX('Cashier Roster'!$D$5:$D$64,MATCH(B387,'Cashier Roster'!$B$5:$B$64,0)),""))</f>
        <v/>
      </c>
      <c r="E387" s="13"/>
      <c r="F387" s="14"/>
      <c r="G387" s="8" t="str">
        <f>IF(OR(B387="",E387=""),"",IF(E387="No","Missed",IF(F387="","",IF(F387&lt;=Settings!$B$7,"On time","Late"))))</f>
        <v/>
      </c>
      <c r="H387" s="15"/>
      <c r="I387" s="16"/>
      <c r="J387" s="16"/>
      <c r="K387" s="17" t="str">
        <f>IF(J387="","",ROUND(J387*Settings!$B$8,2))</f>
        <v/>
      </c>
      <c r="L387" s="16"/>
      <c r="M387" s="8" t="str">
        <f t="shared" si="5"/>
        <v/>
      </c>
      <c r="N387" s="9"/>
    </row>
    <row r="388" spans="1:14" ht="15.75">
      <c r="A388" s="11"/>
      <c r="B388" s="9"/>
      <c r="C388" s="12" t="str">
        <f>IF(B388="","",IFERROR(INDEX('Cashier Roster'!$C$5:$C$64,MATCH(B388,'Cashier Roster'!$B$5:$B$64,0)),"Not on roster"))</f>
        <v/>
      </c>
      <c r="D388" s="12" t="str">
        <f>IF(B388="","",IFERROR(INDEX('Cashier Roster'!$D$5:$D$64,MATCH(B388,'Cashier Roster'!$B$5:$B$64,0)),""))</f>
        <v/>
      </c>
      <c r="E388" s="13"/>
      <c r="F388" s="14"/>
      <c r="G388" s="8" t="str">
        <f>IF(OR(B388="",E388=""),"",IF(E388="No","Missed",IF(F388="","",IF(F388&lt;=Settings!$B$7,"On time","Late"))))</f>
        <v/>
      </c>
      <c r="H388" s="15"/>
      <c r="I388" s="16"/>
      <c r="J388" s="16"/>
      <c r="K388" s="17" t="str">
        <f>IF(J388="","",ROUND(J388*Settings!$B$8,2))</f>
        <v/>
      </c>
      <c r="L388" s="16"/>
      <c r="M388" s="8" t="str">
        <f t="shared" si="5"/>
        <v/>
      </c>
      <c r="N388" s="9"/>
    </row>
    <row r="389" spans="1:14" ht="15.75">
      <c r="A389" s="11"/>
      <c r="B389" s="9"/>
      <c r="C389" s="12" t="str">
        <f>IF(B389="","",IFERROR(INDEX('Cashier Roster'!$C$5:$C$64,MATCH(B389,'Cashier Roster'!$B$5:$B$64,0)),"Not on roster"))</f>
        <v/>
      </c>
      <c r="D389" s="12" t="str">
        <f>IF(B389="","",IFERROR(INDEX('Cashier Roster'!$D$5:$D$64,MATCH(B389,'Cashier Roster'!$B$5:$B$64,0)),""))</f>
        <v/>
      </c>
      <c r="E389" s="13"/>
      <c r="F389" s="14"/>
      <c r="G389" s="8" t="str">
        <f>IF(OR(B389="",E389=""),"",IF(E389="No","Missed",IF(F389="","",IF(F389&lt;=Settings!$B$7,"On time","Late"))))</f>
        <v/>
      </c>
      <c r="H389" s="15"/>
      <c r="I389" s="16"/>
      <c r="J389" s="16"/>
      <c r="K389" s="17" t="str">
        <f>IF(J389="","",ROUND(J389*Settings!$B$8,2))</f>
        <v/>
      </c>
      <c r="L389" s="16"/>
      <c r="M389" s="8" t="str">
        <f t="shared" ref="M389:M452" si="6">IF(L389="","",IF(L389&lt;=0,"Yes","No"))</f>
        <v/>
      </c>
      <c r="N389" s="9"/>
    </row>
    <row r="390" spans="1:14" ht="15.75">
      <c r="A390" s="11"/>
      <c r="B390" s="9"/>
      <c r="C390" s="12" t="str">
        <f>IF(B390="","",IFERROR(INDEX('Cashier Roster'!$C$5:$C$64,MATCH(B390,'Cashier Roster'!$B$5:$B$64,0)),"Not on roster"))</f>
        <v/>
      </c>
      <c r="D390" s="12" t="str">
        <f>IF(B390="","",IFERROR(INDEX('Cashier Roster'!$D$5:$D$64,MATCH(B390,'Cashier Roster'!$B$5:$B$64,0)),""))</f>
        <v/>
      </c>
      <c r="E390" s="13"/>
      <c r="F390" s="14"/>
      <c r="G390" s="8" t="str">
        <f>IF(OR(B390="",E390=""),"",IF(E390="No","Missed",IF(F390="","",IF(F390&lt;=Settings!$B$7,"On time","Late"))))</f>
        <v/>
      </c>
      <c r="H390" s="15"/>
      <c r="I390" s="16"/>
      <c r="J390" s="16"/>
      <c r="K390" s="17" t="str">
        <f>IF(J390="","",ROUND(J390*Settings!$B$8,2))</f>
        <v/>
      </c>
      <c r="L390" s="16"/>
      <c r="M390" s="8" t="str">
        <f t="shared" si="6"/>
        <v/>
      </c>
      <c r="N390" s="9"/>
    </row>
    <row r="391" spans="1:14" ht="15.75">
      <c r="A391" s="11"/>
      <c r="B391" s="9"/>
      <c r="C391" s="12" t="str">
        <f>IF(B391="","",IFERROR(INDEX('Cashier Roster'!$C$5:$C$64,MATCH(B391,'Cashier Roster'!$B$5:$B$64,0)),"Not on roster"))</f>
        <v/>
      </c>
      <c r="D391" s="12" t="str">
        <f>IF(B391="","",IFERROR(INDEX('Cashier Roster'!$D$5:$D$64,MATCH(B391,'Cashier Roster'!$B$5:$B$64,0)),""))</f>
        <v/>
      </c>
      <c r="E391" s="13"/>
      <c r="F391" s="14"/>
      <c r="G391" s="8" t="str">
        <f>IF(OR(B391="",E391=""),"",IF(E391="No","Missed",IF(F391="","",IF(F391&lt;=Settings!$B$7,"On time","Late"))))</f>
        <v/>
      </c>
      <c r="H391" s="15"/>
      <c r="I391" s="16"/>
      <c r="J391" s="16"/>
      <c r="K391" s="17" t="str">
        <f>IF(J391="","",ROUND(J391*Settings!$B$8,2))</f>
        <v/>
      </c>
      <c r="L391" s="16"/>
      <c r="M391" s="8" t="str">
        <f t="shared" si="6"/>
        <v/>
      </c>
      <c r="N391" s="9"/>
    </row>
    <row r="392" spans="1:14" ht="15.75">
      <c r="A392" s="11"/>
      <c r="B392" s="9"/>
      <c r="C392" s="12" t="str">
        <f>IF(B392="","",IFERROR(INDEX('Cashier Roster'!$C$5:$C$64,MATCH(B392,'Cashier Roster'!$B$5:$B$64,0)),"Not on roster"))</f>
        <v/>
      </c>
      <c r="D392" s="12" t="str">
        <f>IF(B392="","",IFERROR(INDEX('Cashier Roster'!$D$5:$D$64,MATCH(B392,'Cashier Roster'!$B$5:$B$64,0)),""))</f>
        <v/>
      </c>
      <c r="E392" s="13"/>
      <c r="F392" s="14"/>
      <c r="G392" s="8" t="str">
        <f>IF(OR(B392="",E392=""),"",IF(E392="No","Missed",IF(F392="","",IF(F392&lt;=Settings!$B$7,"On time","Late"))))</f>
        <v/>
      </c>
      <c r="H392" s="15"/>
      <c r="I392" s="16"/>
      <c r="J392" s="16"/>
      <c r="K392" s="17" t="str">
        <f>IF(J392="","",ROUND(J392*Settings!$B$8,2))</f>
        <v/>
      </c>
      <c r="L392" s="16"/>
      <c r="M392" s="8" t="str">
        <f t="shared" si="6"/>
        <v/>
      </c>
      <c r="N392" s="9"/>
    </row>
    <row r="393" spans="1:14" ht="15.75">
      <c r="A393" s="11"/>
      <c r="B393" s="9"/>
      <c r="C393" s="12" t="str">
        <f>IF(B393="","",IFERROR(INDEX('Cashier Roster'!$C$5:$C$64,MATCH(B393,'Cashier Roster'!$B$5:$B$64,0)),"Not on roster"))</f>
        <v/>
      </c>
      <c r="D393" s="12" t="str">
        <f>IF(B393="","",IFERROR(INDEX('Cashier Roster'!$D$5:$D$64,MATCH(B393,'Cashier Roster'!$B$5:$B$64,0)),""))</f>
        <v/>
      </c>
      <c r="E393" s="13"/>
      <c r="F393" s="14"/>
      <c r="G393" s="8" t="str">
        <f>IF(OR(B393="",E393=""),"",IF(E393="No","Missed",IF(F393="","",IF(F393&lt;=Settings!$B$7,"On time","Late"))))</f>
        <v/>
      </c>
      <c r="H393" s="15"/>
      <c r="I393" s="16"/>
      <c r="J393" s="16"/>
      <c r="K393" s="17" t="str">
        <f>IF(J393="","",ROUND(J393*Settings!$B$8,2))</f>
        <v/>
      </c>
      <c r="L393" s="16"/>
      <c r="M393" s="8" t="str">
        <f t="shared" si="6"/>
        <v/>
      </c>
      <c r="N393" s="9"/>
    </row>
    <row r="394" spans="1:14" ht="15.75">
      <c r="A394" s="11"/>
      <c r="B394" s="9"/>
      <c r="C394" s="12" t="str">
        <f>IF(B394="","",IFERROR(INDEX('Cashier Roster'!$C$5:$C$64,MATCH(B394,'Cashier Roster'!$B$5:$B$64,0)),"Not on roster"))</f>
        <v/>
      </c>
      <c r="D394" s="12" t="str">
        <f>IF(B394="","",IFERROR(INDEX('Cashier Roster'!$D$5:$D$64,MATCH(B394,'Cashier Roster'!$B$5:$B$64,0)),""))</f>
        <v/>
      </c>
      <c r="E394" s="13"/>
      <c r="F394" s="14"/>
      <c r="G394" s="8" t="str">
        <f>IF(OR(B394="",E394=""),"",IF(E394="No","Missed",IF(F394="","",IF(F394&lt;=Settings!$B$7,"On time","Late"))))</f>
        <v/>
      </c>
      <c r="H394" s="15"/>
      <c r="I394" s="16"/>
      <c r="J394" s="16"/>
      <c r="K394" s="17" t="str">
        <f>IF(J394="","",ROUND(J394*Settings!$B$8,2))</f>
        <v/>
      </c>
      <c r="L394" s="16"/>
      <c r="M394" s="8" t="str">
        <f t="shared" si="6"/>
        <v/>
      </c>
      <c r="N394" s="9"/>
    </row>
    <row r="395" spans="1:14" ht="15.75">
      <c r="A395" s="11"/>
      <c r="B395" s="9"/>
      <c r="C395" s="12" t="str">
        <f>IF(B395="","",IFERROR(INDEX('Cashier Roster'!$C$5:$C$64,MATCH(B395,'Cashier Roster'!$B$5:$B$64,0)),"Not on roster"))</f>
        <v/>
      </c>
      <c r="D395" s="12" t="str">
        <f>IF(B395="","",IFERROR(INDEX('Cashier Roster'!$D$5:$D$64,MATCH(B395,'Cashier Roster'!$B$5:$B$64,0)),""))</f>
        <v/>
      </c>
      <c r="E395" s="13"/>
      <c r="F395" s="14"/>
      <c r="G395" s="8" t="str">
        <f>IF(OR(B395="",E395=""),"",IF(E395="No","Missed",IF(F395="","",IF(F395&lt;=Settings!$B$7,"On time","Late"))))</f>
        <v/>
      </c>
      <c r="H395" s="15"/>
      <c r="I395" s="16"/>
      <c r="J395" s="16"/>
      <c r="K395" s="17" t="str">
        <f>IF(J395="","",ROUND(J395*Settings!$B$8,2))</f>
        <v/>
      </c>
      <c r="L395" s="16"/>
      <c r="M395" s="8" t="str">
        <f t="shared" si="6"/>
        <v/>
      </c>
      <c r="N395" s="9"/>
    </row>
    <row r="396" spans="1:14" ht="15.75">
      <c r="A396" s="11"/>
      <c r="B396" s="9"/>
      <c r="C396" s="12" t="str">
        <f>IF(B396="","",IFERROR(INDEX('Cashier Roster'!$C$5:$C$64,MATCH(B396,'Cashier Roster'!$B$5:$B$64,0)),"Not on roster"))</f>
        <v/>
      </c>
      <c r="D396" s="12" t="str">
        <f>IF(B396="","",IFERROR(INDEX('Cashier Roster'!$D$5:$D$64,MATCH(B396,'Cashier Roster'!$B$5:$B$64,0)),""))</f>
        <v/>
      </c>
      <c r="E396" s="13"/>
      <c r="F396" s="14"/>
      <c r="G396" s="8" t="str">
        <f>IF(OR(B396="",E396=""),"",IF(E396="No","Missed",IF(F396="","",IF(F396&lt;=Settings!$B$7,"On time","Late"))))</f>
        <v/>
      </c>
      <c r="H396" s="15"/>
      <c r="I396" s="16"/>
      <c r="J396" s="16"/>
      <c r="K396" s="17" t="str">
        <f>IF(J396="","",ROUND(J396*Settings!$B$8,2))</f>
        <v/>
      </c>
      <c r="L396" s="16"/>
      <c r="M396" s="8" t="str">
        <f t="shared" si="6"/>
        <v/>
      </c>
      <c r="N396" s="9"/>
    </row>
    <row r="397" spans="1:14" ht="15.75">
      <c r="A397" s="11"/>
      <c r="B397" s="9"/>
      <c r="C397" s="12" t="str">
        <f>IF(B397="","",IFERROR(INDEX('Cashier Roster'!$C$5:$C$64,MATCH(B397,'Cashier Roster'!$B$5:$B$64,0)),"Not on roster"))</f>
        <v/>
      </c>
      <c r="D397" s="12" t="str">
        <f>IF(B397="","",IFERROR(INDEX('Cashier Roster'!$D$5:$D$64,MATCH(B397,'Cashier Roster'!$B$5:$B$64,0)),""))</f>
        <v/>
      </c>
      <c r="E397" s="13"/>
      <c r="F397" s="14"/>
      <c r="G397" s="8" t="str">
        <f>IF(OR(B397="",E397=""),"",IF(E397="No","Missed",IF(F397="","",IF(F397&lt;=Settings!$B$7,"On time","Late"))))</f>
        <v/>
      </c>
      <c r="H397" s="15"/>
      <c r="I397" s="16"/>
      <c r="J397" s="16"/>
      <c r="K397" s="17" t="str">
        <f>IF(J397="","",ROUND(J397*Settings!$B$8,2))</f>
        <v/>
      </c>
      <c r="L397" s="16"/>
      <c r="M397" s="8" t="str">
        <f t="shared" si="6"/>
        <v/>
      </c>
      <c r="N397" s="9"/>
    </row>
    <row r="398" spans="1:14" ht="15.75">
      <c r="A398" s="11"/>
      <c r="B398" s="9"/>
      <c r="C398" s="12" t="str">
        <f>IF(B398="","",IFERROR(INDEX('Cashier Roster'!$C$5:$C$64,MATCH(B398,'Cashier Roster'!$B$5:$B$64,0)),"Not on roster"))</f>
        <v/>
      </c>
      <c r="D398" s="12" t="str">
        <f>IF(B398="","",IFERROR(INDEX('Cashier Roster'!$D$5:$D$64,MATCH(B398,'Cashier Roster'!$B$5:$B$64,0)),""))</f>
        <v/>
      </c>
      <c r="E398" s="13"/>
      <c r="F398" s="14"/>
      <c r="G398" s="8" t="str">
        <f>IF(OR(B398="",E398=""),"",IF(E398="No","Missed",IF(F398="","",IF(F398&lt;=Settings!$B$7,"On time","Late"))))</f>
        <v/>
      </c>
      <c r="H398" s="15"/>
      <c r="I398" s="16"/>
      <c r="J398" s="16"/>
      <c r="K398" s="17" t="str">
        <f>IF(J398="","",ROUND(J398*Settings!$B$8,2))</f>
        <v/>
      </c>
      <c r="L398" s="16"/>
      <c r="M398" s="8" t="str">
        <f t="shared" si="6"/>
        <v/>
      </c>
      <c r="N398" s="9"/>
    </row>
    <row r="399" spans="1:14" ht="15.75">
      <c r="A399" s="11"/>
      <c r="B399" s="9"/>
      <c r="C399" s="12" t="str">
        <f>IF(B399="","",IFERROR(INDEX('Cashier Roster'!$C$5:$C$64,MATCH(B399,'Cashier Roster'!$B$5:$B$64,0)),"Not on roster"))</f>
        <v/>
      </c>
      <c r="D399" s="12" t="str">
        <f>IF(B399="","",IFERROR(INDEX('Cashier Roster'!$D$5:$D$64,MATCH(B399,'Cashier Roster'!$B$5:$B$64,0)),""))</f>
        <v/>
      </c>
      <c r="E399" s="13"/>
      <c r="F399" s="14"/>
      <c r="G399" s="8" t="str">
        <f>IF(OR(B399="",E399=""),"",IF(E399="No","Missed",IF(F399="","",IF(F399&lt;=Settings!$B$7,"On time","Late"))))</f>
        <v/>
      </c>
      <c r="H399" s="15"/>
      <c r="I399" s="16"/>
      <c r="J399" s="16"/>
      <c r="K399" s="17" t="str">
        <f>IF(J399="","",ROUND(J399*Settings!$B$8,2))</f>
        <v/>
      </c>
      <c r="L399" s="16"/>
      <c r="M399" s="8" t="str">
        <f t="shared" si="6"/>
        <v/>
      </c>
      <c r="N399" s="9"/>
    </row>
    <row r="400" spans="1:14" ht="15.75">
      <c r="A400" s="11"/>
      <c r="B400" s="9"/>
      <c r="C400" s="12" t="str">
        <f>IF(B400="","",IFERROR(INDEX('Cashier Roster'!$C$5:$C$64,MATCH(B400,'Cashier Roster'!$B$5:$B$64,0)),"Not on roster"))</f>
        <v/>
      </c>
      <c r="D400" s="12" t="str">
        <f>IF(B400="","",IFERROR(INDEX('Cashier Roster'!$D$5:$D$64,MATCH(B400,'Cashier Roster'!$B$5:$B$64,0)),""))</f>
        <v/>
      </c>
      <c r="E400" s="13"/>
      <c r="F400" s="14"/>
      <c r="G400" s="8" t="str">
        <f>IF(OR(B400="",E400=""),"",IF(E400="No","Missed",IF(F400="","",IF(F400&lt;=Settings!$B$7,"On time","Late"))))</f>
        <v/>
      </c>
      <c r="H400" s="15"/>
      <c r="I400" s="16"/>
      <c r="J400" s="16"/>
      <c r="K400" s="17" t="str">
        <f>IF(J400="","",ROUND(J400*Settings!$B$8,2))</f>
        <v/>
      </c>
      <c r="L400" s="16"/>
      <c r="M400" s="8" t="str">
        <f t="shared" si="6"/>
        <v/>
      </c>
      <c r="N400" s="9"/>
    </row>
    <row r="401" spans="1:14" ht="15.75">
      <c r="A401" s="11"/>
      <c r="B401" s="9"/>
      <c r="C401" s="12" t="str">
        <f>IF(B401="","",IFERROR(INDEX('Cashier Roster'!$C$5:$C$64,MATCH(B401,'Cashier Roster'!$B$5:$B$64,0)),"Not on roster"))</f>
        <v/>
      </c>
      <c r="D401" s="12" t="str">
        <f>IF(B401="","",IFERROR(INDEX('Cashier Roster'!$D$5:$D$64,MATCH(B401,'Cashier Roster'!$B$5:$B$64,0)),""))</f>
        <v/>
      </c>
      <c r="E401" s="13"/>
      <c r="F401" s="14"/>
      <c r="G401" s="8" t="str">
        <f>IF(OR(B401="",E401=""),"",IF(E401="No","Missed",IF(F401="","",IF(F401&lt;=Settings!$B$7,"On time","Late"))))</f>
        <v/>
      </c>
      <c r="H401" s="15"/>
      <c r="I401" s="16"/>
      <c r="J401" s="16"/>
      <c r="K401" s="17" t="str">
        <f>IF(J401="","",ROUND(J401*Settings!$B$8,2))</f>
        <v/>
      </c>
      <c r="L401" s="16"/>
      <c r="M401" s="8" t="str">
        <f t="shared" si="6"/>
        <v/>
      </c>
      <c r="N401" s="9"/>
    </row>
    <row r="402" spans="1:14" ht="15.75">
      <c r="A402" s="11"/>
      <c r="B402" s="9"/>
      <c r="C402" s="12" t="str">
        <f>IF(B402="","",IFERROR(INDEX('Cashier Roster'!$C$5:$C$64,MATCH(B402,'Cashier Roster'!$B$5:$B$64,0)),"Not on roster"))</f>
        <v/>
      </c>
      <c r="D402" s="12" t="str">
        <f>IF(B402="","",IFERROR(INDEX('Cashier Roster'!$D$5:$D$64,MATCH(B402,'Cashier Roster'!$B$5:$B$64,0)),""))</f>
        <v/>
      </c>
      <c r="E402" s="13"/>
      <c r="F402" s="14"/>
      <c r="G402" s="8" t="str">
        <f>IF(OR(B402="",E402=""),"",IF(E402="No","Missed",IF(F402="","",IF(F402&lt;=Settings!$B$7,"On time","Late"))))</f>
        <v/>
      </c>
      <c r="H402" s="15"/>
      <c r="I402" s="16"/>
      <c r="J402" s="16"/>
      <c r="K402" s="17" t="str">
        <f>IF(J402="","",ROUND(J402*Settings!$B$8,2))</f>
        <v/>
      </c>
      <c r="L402" s="16"/>
      <c r="M402" s="8" t="str">
        <f t="shared" si="6"/>
        <v/>
      </c>
      <c r="N402" s="9"/>
    </row>
    <row r="403" spans="1:14" ht="15.75">
      <c r="A403" s="11"/>
      <c r="B403" s="9"/>
      <c r="C403" s="12" t="str">
        <f>IF(B403="","",IFERROR(INDEX('Cashier Roster'!$C$5:$C$64,MATCH(B403,'Cashier Roster'!$B$5:$B$64,0)),"Not on roster"))</f>
        <v/>
      </c>
      <c r="D403" s="12" t="str">
        <f>IF(B403="","",IFERROR(INDEX('Cashier Roster'!$D$5:$D$64,MATCH(B403,'Cashier Roster'!$B$5:$B$64,0)),""))</f>
        <v/>
      </c>
      <c r="E403" s="13"/>
      <c r="F403" s="14"/>
      <c r="G403" s="8" t="str">
        <f>IF(OR(B403="",E403=""),"",IF(E403="No","Missed",IF(F403="","",IF(F403&lt;=Settings!$B$7,"On time","Late"))))</f>
        <v/>
      </c>
      <c r="H403" s="15"/>
      <c r="I403" s="16"/>
      <c r="J403" s="16"/>
      <c r="K403" s="17" t="str">
        <f>IF(J403="","",ROUND(J403*Settings!$B$8,2))</f>
        <v/>
      </c>
      <c r="L403" s="16"/>
      <c r="M403" s="8" t="str">
        <f t="shared" si="6"/>
        <v/>
      </c>
      <c r="N403" s="9"/>
    </row>
    <row r="404" spans="1:14" ht="15.75">
      <c r="A404" s="11"/>
      <c r="B404" s="9"/>
      <c r="C404" s="12" t="str">
        <f>IF(B404="","",IFERROR(INDEX('Cashier Roster'!$C$5:$C$64,MATCH(B404,'Cashier Roster'!$B$5:$B$64,0)),"Not on roster"))</f>
        <v/>
      </c>
      <c r="D404" s="12" t="str">
        <f>IF(B404="","",IFERROR(INDEX('Cashier Roster'!$D$5:$D$64,MATCH(B404,'Cashier Roster'!$B$5:$B$64,0)),""))</f>
        <v/>
      </c>
      <c r="E404" s="13"/>
      <c r="F404" s="14"/>
      <c r="G404" s="8" t="str">
        <f>IF(OR(B404="",E404=""),"",IF(E404="No","Missed",IF(F404="","",IF(F404&lt;=Settings!$B$7,"On time","Late"))))</f>
        <v/>
      </c>
      <c r="H404" s="15"/>
      <c r="I404" s="16"/>
      <c r="J404" s="16"/>
      <c r="K404" s="17" t="str">
        <f>IF(J404="","",ROUND(J404*Settings!$B$8,2))</f>
        <v/>
      </c>
      <c r="L404" s="16"/>
      <c r="M404" s="8" t="str">
        <f t="shared" si="6"/>
        <v/>
      </c>
      <c r="N404" s="9"/>
    </row>
    <row r="405" spans="1:14" ht="15.75">
      <c r="A405" s="11"/>
      <c r="B405" s="9"/>
      <c r="C405" s="12" t="str">
        <f>IF(B405="","",IFERROR(INDEX('Cashier Roster'!$C$5:$C$64,MATCH(B405,'Cashier Roster'!$B$5:$B$64,0)),"Not on roster"))</f>
        <v/>
      </c>
      <c r="D405" s="12" t="str">
        <f>IF(B405="","",IFERROR(INDEX('Cashier Roster'!$D$5:$D$64,MATCH(B405,'Cashier Roster'!$B$5:$B$64,0)),""))</f>
        <v/>
      </c>
      <c r="E405" s="13"/>
      <c r="F405" s="14"/>
      <c r="G405" s="8" t="str">
        <f>IF(OR(B405="",E405=""),"",IF(E405="No","Missed",IF(F405="","",IF(F405&lt;=Settings!$B$7,"On time","Late"))))</f>
        <v/>
      </c>
      <c r="H405" s="15"/>
      <c r="I405" s="16"/>
      <c r="J405" s="16"/>
      <c r="K405" s="17" t="str">
        <f>IF(J405="","",ROUND(J405*Settings!$B$8,2))</f>
        <v/>
      </c>
      <c r="L405" s="16"/>
      <c r="M405" s="8" t="str">
        <f t="shared" si="6"/>
        <v/>
      </c>
      <c r="N405" s="9"/>
    </row>
    <row r="406" spans="1:14" ht="15.75">
      <c r="A406" s="11"/>
      <c r="B406" s="9"/>
      <c r="C406" s="12" t="str">
        <f>IF(B406="","",IFERROR(INDEX('Cashier Roster'!$C$5:$C$64,MATCH(B406,'Cashier Roster'!$B$5:$B$64,0)),"Not on roster"))</f>
        <v/>
      </c>
      <c r="D406" s="12" t="str">
        <f>IF(B406="","",IFERROR(INDEX('Cashier Roster'!$D$5:$D$64,MATCH(B406,'Cashier Roster'!$B$5:$B$64,0)),""))</f>
        <v/>
      </c>
      <c r="E406" s="13"/>
      <c r="F406" s="14"/>
      <c r="G406" s="8" t="str">
        <f>IF(OR(B406="",E406=""),"",IF(E406="No","Missed",IF(F406="","",IF(F406&lt;=Settings!$B$7,"On time","Late"))))</f>
        <v/>
      </c>
      <c r="H406" s="15"/>
      <c r="I406" s="16"/>
      <c r="J406" s="16"/>
      <c r="K406" s="17" t="str">
        <f>IF(J406="","",ROUND(J406*Settings!$B$8,2))</f>
        <v/>
      </c>
      <c r="L406" s="16"/>
      <c r="M406" s="8" t="str">
        <f t="shared" si="6"/>
        <v/>
      </c>
      <c r="N406" s="9"/>
    </row>
    <row r="407" spans="1:14" ht="15.75">
      <c r="A407" s="11"/>
      <c r="B407" s="9"/>
      <c r="C407" s="12" t="str">
        <f>IF(B407="","",IFERROR(INDEX('Cashier Roster'!$C$5:$C$64,MATCH(B407,'Cashier Roster'!$B$5:$B$64,0)),"Not on roster"))</f>
        <v/>
      </c>
      <c r="D407" s="12" t="str">
        <f>IF(B407="","",IFERROR(INDEX('Cashier Roster'!$D$5:$D$64,MATCH(B407,'Cashier Roster'!$B$5:$B$64,0)),""))</f>
        <v/>
      </c>
      <c r="E407" s="13"/>
      <c r="F407" s="14"/>
      <c r="G407" s="8" t="str">
        <f>IF(OR(B407="",E407=""),"",IF(E407="No","Missed",IF(F407="","",IF(F407&lt;=Settings!$B$7,"On time","Late"))))</f>
        <v/>
      </c>
      <c r="H407" s="15"/>
      <c r="I407" s="16"/>
      <c r="J407" s="16"/>
      <c r="K407" s="17" t="str">
        <f>IF(J407="","",ROUND(J407*Settings!$B$8,2))</f>
        <v/>
      </c>
      <c r="L407" s="16"/>
      <c r="M407" s="8" t="str">
        <f t="shared" si="6"/>
        <v/>
      </c>
      <c r="N407" s="9"/>
    </row>
    <row r="408" spans="1:14" ht="15.75">
      <c r="A408" s="11"/>
      <c r="B408" s="9"/>
      <c r="C408" s="12" t="str">
        <f>IF(B408="","",IFERROR(INDEX('Cashier Roster'!$C$5:$C$64,MATCH(B408,'Cashier Roster'!$B$5:$B$64,0)),"Not on roster"))</f>
        <v/>
      </c>
      <c r="D408" s="12" t="str">
        <f>IF(B408="","",IFERROR(INDEX('Cashier Roster'!$D$5:$D$64,MATCH(B408,'Cashier Roster'!$B$5:$B$64,0)),""))</f>
        <v/>
      </c>
      <c r="E408" s="13"/>
      <c r="F408" s="14"/>
      <c r="G408" s="8" t="str">
        <f>IF(OR(B408="",E408=""),"",IF(E408="No","Missed",IF(F408="","",IF(F408&lt;=Settings!$B$7,"On time","Late"))))</f>
        <v/>
      </c>
      <c r="H408" s="15"/>
      <c r="I408" s="16"/>
      <c r="J408" s="16"/>
      <c r="K408" s="17" t="str">
        <f>IF(J408="","",ROUND(J408*Settings!$B$8,2))</f>
        <v/>
      </c>
      <c r="L408" s="16"/>
      <c r="M408" s="8" t="str">
        <f t="shared" si="6"/>
        <v/>
      </c>
      <c r="N408" s="9"/>
    </row>
    <row r="409" spans="1:14" ht="15.75">
      <c r="A409" s="11"/>
      <c r="B409" s="9"/>
      <c r="C409" s="12" t="str">
        <f>IF(B409="","",IFERROR(INDEX('Cashier Roster'!$C$5:$C$64,MATCH(B409,'Cashier Roster'!$B$5:$B$64,0)),"Not on roster"))</f>
        <v/>
      </c>
      <c r="D409" s="12" t="str">
        <f>IF(B409="","",IFERROR(INDEX('Cashier Roster'!$D$5:$D$64,MATCH(B409,'Cashier Roster'!$B$5:$B$64,0)),""))</f>
        <v/>
      </c>
      <c r="E409" s="13"/>
      <c r="F409" s="14"/>
      <c r="G409" s="8" t="str">
        <f>IF(OR(B409="",E409=""),"",IF(E409="No","Missed",IF(F409="","",IF(F409&lt;=Settings!$B$7,"On time","Late"))))</f>
        <v/>
      </c>
      <c r="H409" s="15"/>
      <c r="I409" s="16"/>
      <c r="J409" s="16"/>
      <c r="K409" s="17" t="str">
        <f>IF(J409="","",ROUND(J409*Settings!$B$8,2))</f>
        <v/>
      </c>
      <c r="L409" s="16"/>
      <c r="M409" s="8" t="str">
        <f t="shared" si="6"/>
        <v/>
      </c>
      <c r="N409" s="9"/>
    </row>
    <row r="410" spans="1:14" ht="15.75">
      <c r="A410" s="11"/>
      <c r="B410" s="9"/>
      <c r="C410" s="12" t="str">
        <f>IF(B410="","",IFERROR(INDEX('Cashier Roster'!$C$5:$C$64,MATCH(B410,'Cashier Roster'!$B$5:$B$64,0)),"Not on roster"))</f>
        <v/>
      </c>
      <c r="D410" s="12" t="str">
        <f>IF(B410="","",IFERROR(INDEX('Cashier Roster'!$D$5:$D$64,MATCH(B410,'Cashier Roster'!$B$5:$B$64,0)),""))</f>
        <v/>
      </c>
      <c r="E410" s="13"/>
      <c r="F410" s="14"/>
      <c r="G410" s="8" t="str">
        <f>IF(OR(B410="",E410=""),"",IF(E410="No","Missed",IF(F410="","",IF(F410&lt;=Settings!$B$7,"On time","Late"))))</f>
        <v/>
      </c>
      <c r="H410" s="15"/>
      <c r="I410" s="16"/>
      <c r="J410" s="16"/>
      <c r="K410" s="17" t="str">
        <f>IF(J410="","",ROUND(J410*Settings!$B$8,2))</f>
        <v/>
      </c>
      <c r="L410" s="16"/>
      <c r="M410" s="8" t="str">
        <f t="shared" si="6"/>
        <v/>
      </c>
      <c r="N410" s="9"/>
    </row>
    <row r="411" spans="1:14" ht="15.75">
      <c r="A411" s="11"/>
      <c r="B411" s="9"/>
      <c r="C411" s="12" t="str">
        <f>IF(B411="","",IFERROR(INDEX('Cashier Roster'!$C$5:$C$64,MATCH(B411,'Cashier Roster'!$B$5:$B$64,0)),"Not on roster"))</f>
        <v/>
      </c>
      <c r="D411" s="12" t="str">
        <f>IF(B411="","",IFERROR(INDEX('Cashier Roster'!$D$5:$D$64,MATCH(B411,'Cashier Roster'!$B$5:$B$64,0)),""))</f>
        <v/>
      </c>
      <c r="E411" s="13"/>
      <c r="F411" s="14"/>
      <c r="G411" s="8" t="str">
        <f>IF(OR(B411="",E411=""),"",IF(E411="No","Missed",IF(F411="","",IF(F411&lt;=Settings!$B$7,"On time","Late"))))</f>
        <v/>
      </c>
      <c r="H411" s="15"/>
      <c r="I411" s="16"/>
      <c r="J411" s="16"/>
      <c r="K411" s="17" t="str">
        <f>IF(J411="","",ROUND(J411*Settings!$B$8,2))</f>
        <v/>
      </c>
      <c r="L411" s="16"/>
      <c r="M411" s="8" t="str">
        <f t="shared" si="6"/>
        <v/>
      </c>
      <c r="N411" s="9"/>
    </row>
    <row r="412" spans="1:14" ht="15.75">
      <c r="A412" s="11"/>
      <c r="B412" s="9"/>
      <c r="C412" s="12" t="str">
        <f>IF(B412="","",IFERROR(INDEX('Cashier Roster'!$C$5:$C$64,MATCH(B412,'Cashier Roster'!$B$5:$B$64,0)),"Not on roster"))</f>
        <v/>
      </c>
      <c r="D412" s="12" t="str">
        <f>IF(B412="","",IFERROR(INDEX('Cashier Roster'!$D$5:$D$64,MATCH(B412,'Cashier Roster'!$B$5:$B$64,0)),""))</f>
        <v/>
      </c>
      <c r="E412" s="13"/>
      <c r="F412" s="14"/>
      <c r="G412" s="8" t="str">
        <f>IF(OR(B412="",E412=""),"",IF(E412="No","Missed",IF(F412="","",IF(F412&lt;=Settings!$B$7,"On time","Late"))))</f>
        <v/>
      </c>
      <c r="H412" s="15"/>
      <c r="I412" s="16"/>
      <c r="J412" s="16"/>
      <c r="K412" s="17" t="str">
        <f>IF(J412="","",ROUND(J412*Settings!$B$8,2))</f>
        <v/>
      </c>
      <c r="L412" s="16"/>
      <c r="M412" s="8" t="str">
        <f t="shared" si="6"/>
        <v/>
      </c>
      <c r="N412" s="9"/>
    </row>
    <row r="413" spans="1:14" ht="15.75">
      <c r="A413" s="11"/>
      <c r="B413" s="9"/>
      <c r="C413" s="12" t="str">
        <f>IF(B413="","",IFERROR(INDEX('Cashier Roster'!$C$5:$C$64,MATCH(B413,'Cashier Roster'!$B$5:$B$64,0)),"Not on roster"))</f>
        <v/>
      </c>
      <c r="D413" s="12" t="str">
        <f>IF(B413="","",IFERROR(INDEX('Cashier Roster'!$D$5:$D$64,MATCH(B413,'Cashier Roster'!$B$5:$B$64,0)),""))</f>
        <v/>
      </c>
      <c r="E413" s="13"/>
      <c r="F413" s="14"/>
      <c r="G413" s="8" t="str">
        <f>IF(OR(B413="",E413=""),"",IF(E413="No","Missed",IF(F413="","",IF(F413&lt;=Settings!$B$7,"On time","Late"))))</f>
        <v/>
      </c>
      <c r="H413" s="15"/>
      <c r="I413" s="16"/>
      <c r="J413" s="16"/>
      <c r="K413" s="17" t="str">
        <f>IF(J413="","",ROUND(J413*Settings!$B$8,2))</f>
        <v/>
      </c>
      <c r="L413" s="16"/>
      <c r="M413" s="8" t="str">
        <f t="shared" si="6"/>
        <v/>
      </c>
      <c r="N413" s="9"/>
    </row>
    <row r="414" spans="1:14" ht="15.75">
      <c r="A414" s="11"/>
      <c r="B414" s="9"/>
      <c r="C414" s="12" t="str">
        <f>IF(B414="","",IFERROR(INDEX('Cashier Roster'!$C$5:$C$64,MATCH(B414,'Cashier Roster'!$B$5:$B$64,0)),"Not on roster"))</f>
        <v/>
      </c>
      <c r="D414" s="12" t="str">
        <f>IF(B414="","",IFERROR(INDEX('Cashier Roster'!$D$5:$D$64,MATCH(B414,'Cashier Roster'!$B$5:$B$64,0)),""))</f>
        <v/>
      </c>
      <c r="E414" s="13"/>
      <c r="F414" s="14"/>
      <c r="G414" s="8" t="str">
        <f>IF(OR(B414="",E414=""),"",IF(E414="No","Missed",IF(F414="","",IF(F414&lt;=Settings!$B$7,"On time","Late"))))</f>
        <v/>
      </c>
      <c r="H414" s="15"/>
      <c r="I414" s="16"/>
      <c r="J414" s="16"/>
      <c r="K414" s="17" t="str">
        <f>IF(J414="","",ROUND(J414*Settings!$B$8,2))</f>
        <v/>
      </c>
      <c r="L414" s="16"/>
      <c r="M414" s="8" t="str">
        <f t="shared" si="6"/>
        <v/>
      </c>
      <c r="N414" s="9"/>
    </row>
    <row r="415" spans="1:14" ht="15.75">
      <c r="A415" s="11"/>
      <c r="B415" s="9"/>
      <c r="C415" s="12" t="str">
        <f>IF(B415="","",IFERROR(INDEX('Cashier Roster'!$C$5:$C$64,MATCH(B415,'Cashier Roster'!$B$5:$B$64,0)),"Not on roster"))</f>
        <v/>
      </c>
      <c r="D415" s="12" t="str">
        <f>IF(B415="","",IFERROR(INDEX('Cashier Roster'!$D$5:$D$64,MATCH(B415,'Cashier Roster'!$B$5:$B$64,0)),""))</f>
        <v/>
      </c>
      <c r="E415" s="13"/>
      <c r="F415" s="14"/>
      <c r="G415" s="8" t="str">
        <f>IF(OR(B415="",E415=""),"",IF(E415="No","Missed",IF(F415="","",IF(F415&lt;=Settings!$B$7,"On time","Late"))))</f>
        <v/>
      </c>
      <c r="H415" s="15"/>
      <c r="I415" s="16"/>
      <c r="J415" s="16"/>
      <c r="K415" s="17" t="str">
        <f>IF(J415="","",ROUND(J415*Settings!$B$8,2))</f>
        <v/>
      </c>
      <c r="L415" s="16"/>
      <c r="M415" s="8" t="str">
        <f t="shared" si="6"/>
        <v/>
      </c>
      <c r="N415" s="9"/>
    </row>
    <row r="416" spans="1:14" ht="15.75">
      <c r="A416" s="11"/>
      <c r="B416" s="9"/>
      <c r="C416" s="12" t="str">
        <f>IF(B416="","",IFERROR(INDEX('Cashier Roster'!$C$5:$C$64,MATCH(B416,'Cashier Roster'!$B$5:$B$64,0)),"Not on roster"))</f>
        <v/>
      </c>
      <c r="D416" s="12" t="str">
        <f>IF(B416="","",IFERROR(INDEX('Cashier Roster'!$D$5:$D$64,MATCH(B416,'Cashier Roster'!$B$5:$B$64,0)),""))</f>
        <v/>
      </c>
      <c r="E416" s="13"/>
      <c r="F416" s="14"/>
      <c r="G416" s="8" t="str">
        <f>IF(OR(B416="",E416=""),"",IF(E416="No","Missed",IF(F416="","",IF(F416&lt;=Settings!$B$7,"On time","Late"))))</f>
        <v/>
      </c>
      <c r="H416" s="15"/>
      <c r="I416" s="16"/>
      <c r="J416" s="16"/>
      <c r="K416" s="17" t="str">
        <f>IF(J416="","",ROUND(J416*Settings!$B$8,2))</f>
        <v/>
      </c>
      <c r="L416" s="16"/>
      <c r="M416" s="8" t="str">
        <f t="shared" si="6"/>
        <v/>
      </c>
      <c r="N416" s="9"/>
    </row>
    <row r="417" spans="1:14" ht="15.75">
      <c r="A417" s="11"/>
      <c r="B417" s="9"/>
      <c r="C417" s="12" t="str">
        <f>IF(B417="","",IFERROR(INDEX('Cashier Roster'!$C$5:$C$64,MATCH(B417,'Cashier Roster'!$B$5:$B$64,0)),"Not on roster"))</f>
        <v/>
      </c>
      <c r="D417" s="12" t="str">
        <f>IF(B417="","",IFERROR(INDEX('Cashier Roster'!$D$5:$D$64,MATCH(B417,'Cashier Roster'!$B$5:$B$64,0)),""))</f>
        <v/>
      </c>
      <c r="E417" s="13"/>
      <c r="F417" s="14"/>
      <c r="G417" s="8" t="str">
        <f>IF(OR(B417="",E417=""),"",IF(E417="No","Missed",IF(F417="","",IF(F417&lt;=Settings!$B$7,"On time","Late"))))</f>
        <v/>
      </c>
      <c r="H417" s="15"/>
      <c r="I417" s="16"/>
      <c r="J417" s="16"/>
      <c r="K417" s="17" t="str">
        <f>IF(J417="","",ROUND(J417*Settings!$B$8,2))</f>
        <v/>
      </c>
      <c r="L417" s="16"/>
      <c r="M417" s="8" t="str">
        <f t="shared" si="6"/>
        <v/>
      </c>
      <c r="N417" s="9"/>
    </row>
    <row r="418" spans="1:14" ht="15.75">
      <c r="A418" s="11"/>
      <c r="B418" s="9"/>
      <c r="C418" s="12" t="str">
        <f>IF(B418="","",IFERROR(INDEX('Cashier Roster'!$C$5:$C$64,MATCH(B418,'Cashier Roster'!$B$5:$B$64,0)),"Not on roster"))</f>
        <v/>
      </c>
      <c r="D418" s="12" t="str">
        <f>IF(B418="","",IFERROR(INDEX('Cashier Roster'!$D$5:$D$64,MATCH(B418,'Cashier Roster'!$B$5:$B$64,0)),""))</f>
        <v/>
      </c>
      <c r="E418" s="13"/>
      <c r="F418" s="14"/>
      <c r="G418" s="8" t="str">
        <f>IF(OR(B418="",E418=""),"",IF(E418="No","Missed",IF(F418="","",IF(F418&lt;=Settings!$B$7,"On time","Late"))))</f>
        <v/>
      </c>
      <c r="H418" s="15"/>
      <c r="I418" s="16"/>
      <c r="J418" s="16"/>
      <c r="K418" s="17" t="str">
        <f>IF(J418="","",ROUND(J418*Settings!$B$8,2))</f>
        <v/>
      </c>
      <c r="L418" s="16"/>
      <c r="M418" s="8" t="str">
        <f t="shared" si="6"/>
        <v/>
      </c>
      <c r="N418" s="9"/>
    </row>
    <row r="419" spans="1:14" ht="15.75">
      <c r="A419" s="11"/>
      <c r="B419" s="9"/>
      <c r="C419" s="12" t="str">
        <f>IF(B419="","",IFERROR(INDEX('Cashier Roster'!$C$5:$C$64,MATCH(B419,'Cashier Roster'!$B$5:$B$64,0)),"Not on roster"))</f>
        <v/>
      </c>
      <c r="D419" s="12" t="str">
        <f>IF(B419="","",IFERROR(INDEX('Cashier Roster'!$D$5:$D$64,MATCH(B419,'Cashier Roster'!$B$5:$B$64,0)),""))</f>
        <v/>
      </c>
      <c r="E419" s="13"/>
      <c r="F419" s="14"/>
      <c r="G419" s="8" t="str">
        <f>IF(OR(B419="",E419=""),"",IF(E419="No","Missed",IF(F419="","",IF(F419&lt;=Settings!$B$7,"On time","Late"))))</f>
        <v/>
      </c>
      <c r="H419" s="15"/>
      <c r="I419" s="16"/>
      <c r="J419" s="16"/>
      <c r="K419" s="17" t="str">
        <f>IF(J419="","",ROUND(J419*Settings!$B$8,2))</f>
        <v/>
      </c>
      <c r="L419" s="16"/>
      <c r="M419" s="8" t="str">
        <f t="shared" si="6"/>
        <v/>
      </c>
      <c r="N419" s="9"/>
    </row>
    <row r="420" spans="1:14" ht="15.75">
      <c r="A420" s="11"/>
      <c r="B420" s="9"/>
      <c r="C420" s="12" t="str">
        <f>IF(B420="","",IFERROR(INDEX('Cashier Roster'!$C$5:$C$64,MATCH(B420,'Cashier Roster'!$B$5:$B$64,0)),"Not on roster"))</f>
        <v/>
      </c>
      <c r="D420" s="12" t="str">
        <f>IF(B420="","",IFERROR(INDEX('Cashier Roster'!$D$5:$D$64,MATCH(B420,'Cashier Roster'!$B$5:$B$64,0)),""))</f>
        <v/>
      </c>
      <c r="E420" s="13"/>
      <c r="F420" s="14"/>
      <c r="G420" s="8" t="str">
        <f>IF(OR(B420="",E420=""),"",IF(E420="No","Missed",IF(F420="","",IF(F420&lt;=Settings!$B$7,"On time","Late"))))</f>
        <v/>
      </c>
      <c r="H420" s="15"/>
      <c r="I420" s="16"/>
      <c r="J420" s="16"/>
      <c r="K420" s="17" t="str">
        <f>IF(J420="","",ROUND(J420*Settings!$B$8,2))</f>
        <v/>
      </c>
      <c r="L420" s="16"/>
      <c r="M420" s="8" t="str">
        <f t="shared" si="6"/>
        <v/>
      </c>
      <c r="N420" s="9"/>
    </row>
    <row r="421" spans="1:14" ht="15.75">
      <c r="A421" s="11"/>
      <c r="B421" s="9"/>
      <c r="C421" s="12" t="str">
        <f>IF(B421="","",IFERROR(INDEX('Cashier Roster'!$C$5:$C$64,MATCH(B421,'Cashier Roster'!$B$5:$B$64,0)),"Not on roster"))</f>
        <v/>
      </c>
      <c r="D421" s="12" t="str">
        <f>IF(B421="","",IFERROR(INDEX('Cashier Roster'!$D$5:$D$64,MATCH(B421,'Cashier Roster'!$B$5:$B$64,0)),""))</f>
        <v/>
      </c>
      <c r="E421" s="13"/>
      <c r="F421" s="14"/>
      <c r="G421" s="8" t="str">
        <f>IF(OR(B421="",E421=""),"",IF(E421="No","Missed",IF(F421="","",IF(F421&lt;=Settings!$B$7,"On time","Late"))))</f>
        <v/>
      </c>
      <c r="H421" s="15"/>
      <c r="I421" s="16"/>
      <c r="J421" s="16"/>
      <c r="K421" s="17" t="str">
        <f>IF(J421="","",ROUND(J421*Settings!$B$8,2))</f>
        <v/>
      </c>
      <c r="L421" s="16"/>
      <c r="M421" s="8" t="str">
        <f t="shared" si="6"/>
        <v/>
      </c>
      <c r="N421" s="9"/>
    </row>
    <row r="422" spans="1:14" ht="15.75">
      <c r="A422" s="11"/>
      <c r="B422" s="9"/>
      <c r="C422" s="12" t="str">
        <f>IF(B422="","",IFERROR(INDEX('Cashier Roster'!$C$5:$C$64,MATCH(B422,'Cashier Roster'!$B$5:$B$64,0)),"Not on roster"))</f>
        <v/>
      </c>
      <c r="D422" s="12" t="str">
        <f>IF(B422="","",IFERROR(INDEX('Cashier Roster'!$D$5:$D$64,MATCH(B422,'Cashier Roster'!$B$5:$B$64,0)),""))</f>
        <v/>
      </c>
      <c r="E422" s="13"/>
      <c r="F422" s="14"/>
      <c r="G422" s="8" t="str">
        <f>IF(OR(B422="",E422=""),"",IF(E422="No","Missed",IF(F422="","",IF(F422&lt;=Settings!$B$7,"On time","Late"))))</f>
        <v/>
      </c>
      <c r="H422" s="15"/>
      <c r="I422" s="16"/>
      <c r="J422" s="16"/>
      <c r="K422" s="17" t="str">
        <f>IF(J422="","",ROUND(J422*Settings!$B$8,2))</f>
        <v/>
      </c>
      <c r="L422" s="16"/>
      <c r="M422" s="8" t="str">
        <f t="shared" si="6"/>
        <v/>
      </c>
      <c r="N422" s="9"/>
    </row>
    <row r="423" spans="1:14" ht="15.75">
      <c r="A423" s="11"/>
      <c r="B423" s="9"/>
      <c r="C423" s="12" t="str">
        <f>IF(B423="","",IFERROR(INDEX('Cashier Roster'!$C$5:$C$64,MATCH(B423,'Cashier Roster'!$B$5:$B$64,0)),"Not on roster"))</f>
        <v/>
      </c>
      <c r="D423" s="12" t="str">
        <f>IF(B423="","",IFERROR(INDEX('Cashier Roster'!$D$5:$D$64,MATCH(B423,'Cashier Roster'!$B$5:$B$64,0)),""))</f>
        <v/>
      </c>
      <c r="E423" s="13"/>
      <c r="F423" s="14"/>
      <c r="G423" s="8" t="str">
        <f>IF(OR(B423="",E423=""),"",IF(E423="No","Missed",IF(F423="","",IF(F423&lt;=Settings!$B$7,"On time","Late"))))</f>
        <v/>
      </c>
      <c r="H423" s="15"/>
      <c r="I423" s="16"/>
      <c r="J423" s="16"/>
      <c r="K423" s="17" t="str">
        <f>IF(J423="","",ROUND(J423*Settings!$B$8,2))</f>
        <v/>
      </c>
      <c r="L423" s="16"/>
      <c r="M423" s="8" t="str">
        <f t="shared" si="6"/>
        <v/>
      </c>
      <c r="N423" s="9"/>
    </row>
    <row r="424" spans="1:14" ht="15.75">
      <c r="A424" s="11"/>
      <c r="B424" s="9"/>
      <c r="C424" s="12" t="str">
        <f>IF(B424="","",IFERROR(INDEX('Cashier Roster'!$C$5:$C$64,MATCH(B424,'Cashier Roster'!$B$5:$B$64,0)),"Not on roster"))</f>
        <v/>
      </c>
      <c r="D424" s="12" t="str">
        <f>IF(B424="","",IFERROR(INDEX('Cashier Roster'!$D$5:$D$64,MATCH(B424,'Cashier Roster'!$B$5:$B$64,0)),""))</f>
        <v/>
      </c>
      <c r="E424" s="13"/>
      <c r="F424" s="14"/>
      <c r="G424" s="8" t="str">
        <f>IF(OR(B424="",E424=""),"",IF(E424="No","Missed",IF(F424="","",IF(F424&lt;=Settings!$B$7,"On time","Late"))))</f>
        <v/>
      </c>
      <c r="H424" s="15"/>
      <c r="I424" s="16"/>
      <c r="J424" s="16"/>
      <c r="K424" s="17" t="str">
        <f>IF(J424="","",ROUND(J424*Settings!$B$8,2))</f>
        <v/>
      </c>
      <c r="L424" s="16"/>
      <c r="M424" s="8" t="str">
        <f t="shared" si="6"/>
        <v/>
      </c>
      <c r="N424" s="9"/>
    </row>
    <row r="425" spans="1:14" ht="15.75">
      <c r="A425" s="11"/>
      <c r="B425" s="9"/>
      <c r="C425" s="12" t="str">
        <f>IF(B425="","",IFERROR(INDEX('Cashier Roster'!$C$5:$C$64,MATCH(B425,'Cashier Roster'!$B$5:$B$64,0)),"Not on roster"))</f>
        <v/>
      </c>
      <c r="D425" s="12" t="str">
        <f>IF(B425="","",IFERROR(INDEX('Cashier Roster'!$D$5:$D$64,MATCH(B425,'Cashier Roster'!$B$5:$B$64,0)),""))</f>
        <v/>
      </c>
      <c r="E425" s="13"/>
      <c r="F425" s="14"/>
      <c r="G425" s="8" t="str">
        <f>IF(OR(B425="",E425=""),"",IF(E425="No","Missed",IF(F425="","",IF(F425&lt;=Settings!$B$7,"On time","Late"))))</f>
        <v/>
      </c>
      <c r="H425" s="15"/>
      <c r="I425" s="16"/>
      <c r="J425" s="16"/>
      <c r="K425" s="17" t="str">
        <f>IF(J425="","",ROUND(J425*Settings!$B$8,2))</f>
        <v/>
      </c>
      <c r="L425" s="16"/>
      <c r="M425" s="8" t="str">
        <f t="shared" si="6"/>
        <v/>
      </c>
      <c r="N425" s="9"/>
    </row>
    <row r="426" spans="1:14" ht="15.75">
      <c r="A426" s="11"/>
      <c r="B426" s="9"/>
      <c r="C426" s="12" t="str">
        <f>IF(B426="","",IFERROR(INDEX('Cashier Roster'!$C$5:$C$64,MATCH(B426,'Cashier Roster'!$B$5:$B$64,0)),"Not on roster"))</f>
        <v/>
      </c>
      <c r="D426" s="12" t="str">
        <f>IF(B426="","",IFERROR(INDEX('Cashier Roster'!$D$5:$D$64,MATCH(B426,'Cashier Roster'!$B$5:$B$64,0)),""))</f>
        <v/>
      </c>
      <c r="E426" s="13"/>
      <c r="F426" s="14"/>
      <c r="G426" s="8" t="str">
        <f>IF(OR(B426="",E426=""),"",IF(E426="No","Missed",IF(F426="","",IF(F426&lt;=Settings!$B$7,"On time","Late"))))</f>
        <v/>
      </c>
      <c r="H426" s="15"/>
      <c r="I426" s="16"/>
      <c r="J426" s="16"/>
      <c r="K426" s="17" t="str">
        <f>IF(J426="","",ROUND(J426*Settings!$B$8,2))</f>
        <v/>
      </c>
      <c r="L426" s="16"/>
      <c r="M426" s="8" t="str">
        <f t="shared" si="6"/>
        <v/>
      </c>
      <c r="N426" s="9"/>
    </row>
    <row r="427" spans="1:14" ht="15.75">
      <c r="A427" s="11"/>
      <c r="B427" s="9"/>
      <c r="C427" s="12" t="str">
        <f>IF(B427="","",IFERROR(INDEX('Cashier Roster'!$C$5:$C$64,MATCH(B427,'Cashier Roster'!$B$5:$B$64,0)),"Not on roster"))</f>
        <v/>
      </c>
      <c r="D427" s="12" t="str">
        <f>IF(B427="","",IFERROR(INDEX('Cashier Roster'!$D$5:$D$64,MATCH(B427,'Cashier Roster'!$B$5:$B$64,0)),""))</f>
        <v/>
      </c>
      <c r="E427" s="13"/>
      <c r="F427" s="14"/>
      <c r="G427" s="8" t="str">
        <f>IF(OR(B427="",E427=""),"",IF(E427="No","Missed",IF(F427="","",IF(F427&lt;=Settings!$B$7,"On time","Late"))))</f>
        <v/>
      </c>
      <c r="H427" s="15"/>
      <c r="I427" s="16"/>
      <c r="J427" s="16"/>
      <c r="K427" s="17" t="str">
        <f>IF(J427="","",ROUND(J427*Settings!$B$8,2))</f>
        <v/>
      </c>
      <c r="L427" s="16"/>
      <c r="M427" s="8" t="str">
        <f t="shared" si="6"/>
        <v/>
      </c>
      <c r="N427" s="9"/>
    </row>
    <row r="428" spans="1:14" ht="15.75">
      <c r="A428" s="11"/>
      <c r="B428" s="9"/>
      <c r="C428" s="12" t="str">
        <f>IF(B428="","",IFERROR(INDEX('Cashier Roster'!$C$5:$C$64,MATCH(B428,'Cashier Roster'!$B$5:$B$64,0)),"Not on roster"))</f>
        <v/>
      </c>
      <c r="D428" s="12" t="str">
        <f>IF(B428="","",IFERROR(INDEX('Cashier Roster'!$D$5:$D$64,MATCH(B428,'Cashier Roster'!$B$5:$B$64,0)),""))</f>
        <v/>
      </c>
      <c r="E428" s="13"/>
      <c r="F428" s="14"/>
      <c r="G428" s="8" t="str">
        <f>IF(OR(B428="",E428=""),"",IF(E428="No","Missed",IF(F428="","",IF(F428&lt;=Settings!$B$7,"On time","Late"))))</f>
        <v/>
      </c>
      <c r="H428" s="15"/>
      <c r="I428" s="16"/>
      <c r="J428" s="16"/>
      <c r="K428" s="17" t="str">
        <f>IF(J428="","",ROUND(J428*Settings!$B$8,2))</f>
        <v/>
      </c>
      <c r="L428" s="16"/>
      <c r="M428" s="8" t="str">
        <f t="shared" si="6"/>
        <v/>
      </c>
      <c r="N428" s="9"/>
    </row>
    <row r="429" spans="1:14" ht="15.75">
      <c r="A429" s="11"/>
      <c r="B429" s="9"/>
      <c r="C429" s="12" t="str">
        <f>IF(B429="","",IFERROR(INDEX('Cashier Roster'!$C$5:$C$64,MATCH(B429,'Cashier Roster'!$B$5:$B$64,0)),"Not on roster"))</f>
        <v/>
      </c>
      <c r="D429" s="12" t="str">
        <f>IF(B429="","",IFERROR(INDEX('Cashier Roster'!$D$5:$D$64,MATCH(B429,'Cashier Roster'!$B$5:$B$64,0)),""))</f>
        <v/>
      </c>
      <c r="E429" s="13"/>
      <c r="F429" s="14"/>
      <c r="G429" s="8" t="str">
        <f>IF(OR(B429="",E429=""),"",IF(E429="No","Missed",IF(F429="","",IF(F429&lt;=Settings!$B$7,"On time","Late"))))</f>
        <v/>
      </c>
      <c r="H429" s="15"/>
      <c r="I429" s="16"/>
      <c r="J429" s="16"/>
      <c r="K429" s="17" t="str">
        <f>IF(J429="","",ROUND(J429*Settings!$B$8,2))</f>
        <v/>
      </c>
      <c r="L429" s="16"/>
      <c r="M429" s="8" t="str">
        <f t="shared" si="6"/>
        <v/>
      </c>
      <c r="N429" s="9"/>
    </row>
    <row r="430" spans="1:14" ht="15.75">
      <c r="A430" s="11"/>
      <c r="B430" s="9"/>
      <c r="C430" s="12" t="str">
        <f>IF(B430="","",IFERROR(INDEX('Cashier Roster'!$C$5:$C$64,MATCH(B430,'Cashier Roster'!$B$5:$B$64,0)),"Not on roster"))</f>
        <v/>
      </c>
      <c r="D430" s="12" t="str">
        <f>IF(B430="","",IFERROR(INDEX('Cashier Roster'!$D$5:$D$64,MATCH(B430,'Cashier Roster'!$B$5:$B$64,0)),""))</f>
        <v/>
      </c>
      <c r="E430" s="13"/>
      <c r="F430" s="14"/>
      <c r="G430" s="8" t="str">
        <f>IF(OR(B430="",E430=""),"",IF(E430="No","Missed",IF(F430="","",IF(F430&lt;=Settings!$B$7,"On time","Late"))))</f>
        <v/>
      </c>
      <c r="H430" s="15"/>
      <c r="I430" s="16"/>
      <c r="J430" s="16"/>
      <c r="K430" s="17" t="str">
        <f>IF(J430="","",ROUND(J430*Settings!$B$8,2))</f>
        <v/>
      </c>
      <c r="L430" s="16"/>
      <c r="M430" s="8" t="str">
        <f t="shared" si="6"/>
        <v/>
      </c>
      <c r="N430" s="9"/>
    </row>
    <row r="431" spans="1:14" ht="15.75">
      <c r="A431" s="11"/>
      <c r="B431" s="9"/>
      <c r="C431" s="12" t="str">
        <f>IF(B431="","",IFERROR(INDEX('Cashier Roster'!$C$5:$C$64,MATCH(B431,'Cashier Roster'!$B$5:$B$64,0)),"Not on roster"))</f>
        <v/>
      </c>
      <c r="D431" s="12" t="str">
        <f>IF(B431="","",IFERROR(INDEX('Cashier Roster'!$D$5:$D$64,MATCH(B431,'Cashier Roster'!$B$5:$B$64,0)),""))</f>
        <v/>
      </c>
      <c r="E431" s="13"/>
      <c r="F431" s="14"/>
      <c r="G431" s="8" t="str">
        <f>IF(OR(B431="",E431=""),"",IF(E431="No","Missed",IF(F431="","",IF(F431&lt;=Settings!$B$7,"On time","Late"))))</f>
        <v/>
      </c>
      <c r="H431" s="15"/>
      <c r="I431" s="16"/>
      <c r="J431" s="16"/>
      <c r="K431" s="17" t="str">
        <f>IF(J431="","",ROUND(J431*Settings!$B$8,2))</f>
        <v/>
      </c>
      <c r="L431" s="16"/>
      <c r="M431" s="8" t="str">
        <f t="shared" si="6"/>
        <v/>
      </c>
      <c r="N431" s="9"/>
    </row>
    <row r="432" spans="1:14" ht="15.75">
      <c r="A432" s="11"/>
      <c r="B432" s="9"/>
      <c r="C432" s="12" t="str">
        <f>IF(B432="","",IFERROR(INDEX('Cashier Roster'!$C$5:$C$64,MATCH(B432,'Cashier Roster'!$B$5:$B$64,0)),"Not on roster"))</f>
        <v/>
      </c>
      <c r="D432" s="12" t="str">
        <f>IF(B432="","",IFERROR(INDEX('Cashier Roster'!$D$5:$D$64,MATCH(B432,'Cashier Roster'!$B$5:$B$64,0)),""))</f>
        <v/>
      </c>
      <c r="E432" s="13"/>
      <c r="F432" s="14"/>
      <c r="G432" s="8" t="str">
        <f>IF(OR(B432="",E432=""),"",IF(E432="No","Missed",IF(F432="","",IF(F432&lt;=Settings!$B$7,"On time","Late"))))</f>
        <v/>
      </c>
      <c r="H432" s="15"/>
      <c r="I432" s="16"/>
      <c r="J432" s="16"/>
      <c r="K432" s="17" t="str">
        <f>IF(J432="","",ROUND(J432*Settings!$B$8,2))</f>
        <v/>
      </c>
      <c r="L432" s="16"/>
      <c r="M432" s="8" t="str">
        <f t="shared" si="6"/>
        <v/>
      </c>
      <c r="N432" s="9"/>
    </row>
    <row r="433" spans="1:14" ht="15.75">
      <c r="A433" s="11"/>
      <c r="B433" s="9"/>
      <c r="C433" s="12" t="str">
        <f>IF(B433="","",IFERROR(INDEX('Cashier Roster'!$C$5:$C$64,MATCH(B433,'Cashier Roster'!$B$5:$B$64,0)),"Not on roster"))</f>
        <v/>
      </c>
      <c r="D433" s="12" t="str">
        <f>IF(B433="","",IFERROR(INDEX('Cashier Roster'!$D$5:$D$64,MATCH(B433,'Cashier Roster'!$B$5:$B$64,0)),""))</f>
        <v/>
      </c>
      <c r="E433" s="13"/>
      <c r="F433" s="14"/>
      <c r="G433" s="8" t="str">
        <f>IF(OR(B433="",E433=""),"",IF(E433="No","Missed",IF(F433="","",IF(F433&lt;=Settings!$B$7,"On time","Late"))))</f>
        <v/>
      </c>
      <c r="H433" s="15"/>
      <c r="I433" s="16"/>
      <c r="J433" s="16"/>
      <c r="K433" s="17" t="str">
        <f>IF(J433="","",ROUND(J433*Settings!$B$8,2))</f>
        <v/>
      </c>
      <c r="L433" s="16"/>
      <c r="M433" s="8" t="str">
        <f t="shared" si="6"/>
        <v/>
      </c>
      <c r="N433" s="9"/>
    </row>
    <row r="434" spans="1:14" ht="15.75">
      <c r="A434" s="11"/>
      <c r="B434" s="9"/>
      <c r="C434" s="12" t="str">
        <f>IF(B434="","",IFERROR(INDEX('Cashier Roster'!$C$5:$C$64,MATCH(B434,'Cashier Roster'!$B$5:$B$64,0)),"Not on roster"))</f>
        <v/>
      </c>
      <c r="D434" s="12" t="str">
        <f>IF(B434="","",IFERROR(INDEX('Cashier Roster'!$D$5:$D$64,MATCH(B434,'Cashier Roster'!$B$5:$B$64,0)),""))</f>
        <v/>
      </c>
      <c r="E434" s="13"/>
      <c r="F434" s="14"/>
      <c r="G434" s="8" t="str">
        <f>IF(OR(B434="",E434=""),"",IF(E434="No","Missed",IF(F434="","",IF(F434&lt;=Settings!$B$7,"On time","Late"))))</f>
        <v/>
      </c>
      <c r="H434" s="15"/>
      <c r="I434" s="16"/>
      <c r="J434" s="16"/>
      <c r="K434" s="17" t="str">
        <f>IF(J434="","",ROUND(J434*Settings!$B$8,2))</f>
        <v/>
      </c>
      <c r="L434" s="16"/>
      <c r="M434" s="8" t="str">
        <f t="shared" si="6"/>
        <v/>
      </c>
      <c r="N434" s="9"/>
    </row>
    <row r="435" spans="1:14" ht="15.75">
      <c r="A435" s="11"/>
      <c r="B435" s="9"/>
      <c r="C435" s="12" t="str">
        <f>IF(B435="","",IFERROR(INDEX('Cashier Roster'!$C$5:$C$64,MATCH(B435,'Cashier Roster'!$B$5:$B$64,0)),"Not on roster"))</f>
        <v/>
      </c>
      <c r="D435" s="12" t="str">
        <f>IF(B435="","",IFERROR(INDEX('Cashier Roster'!$D$5:$D$64,MATCH(B435,'Cashier Roster'!$B$5:$B$64,0)),""))</f>
        <v/>
      </c>
      <c r="E435" s="13"/>
      <c r="F435" s="14"/>
      <c r="G435" s="8" t="str">
        <f>IF(OR(B435="",E435=""),"",IF(E435="No","Missed",IF(F435="","",IF(F435&lt;=Settings!$B$7,"On time","Late"))))</f>
        <v/>
      </c>
      <c r="H435" s="15"/>
      <c r="I435" s="16"/>
      <c r="J435" s="16"/>
      <c r="K435" s="17" t="str">
        <f>IF(J435="","",ROUND(J435*Settings!$B$8,2))</f>
        <v/>
      </c>
      <c r="L435" s="16"/>
      <c r="M435" s="8" t="str">
        <f t="shared" si="6"/>
        <v/>
      </c>
      <c r="N435" s="9"/>
    </row>
    <row r="436" spans="1:14" ht="15.75">
      <c r="A436" s="11"/>
      <c r="B436" s="9"/>
      <c r="C436" s="12" t="str">
        <f>IF(B436="","",IFERROR(INDEX('Cashier Roster'!$C$5:$C$64,MATCH(B436,'Cashier Roster'!$B$5:$B$64,0)),"Not on roster"))</f>
        <v/>
      </c>
      <c r="D436" s="12" t="str">
        <f>IF(B436="","",IFERROR(INDEX('Cashier Roster'!$D$5:$D$64,MATCH(B436,'Cashier Roster'!$B$5:$B$64,0)),""))</f>
        <v/>
      </c>
      <c r="E436" s="13"/>
      <c r="F436" s="14"/>
      <c r="G436" s="8" t="str">
        <f>IF(OR(B436="",E436=""),"",IF(E436="No","Missed",IF(F436="","",IF(F436&lt;=Settings!$B$7,"On time","Late"))))</f>
        <v/>
      </c>
      <c r="H436" s="15"/>
      <c r="I436" s="16"/>
      <c r="J436" s="16"/>
      <c r="K436" s="17" t="str">
        <f>IF(J436="","",ROUND(J436*Settings!$B$8,2))</f>
        <v/>
      </c>
      <c r="L436" s="16"/>
      <c r="M436" s="8" t="str">
        <f t="shared" si="6"/>
        <v/>
      </c>
      <c r="N436" s="9"/>
    </row>
    <row r="437" spans="1:14" ht="15.75">
      <c r="A437" s="11"/>
      <c r="B437" s="9"/>
      <c r="C437" s="12" t="str">
        <f>IF(B437="","",IFERROR(INDEX('Cashier Roster'!$C$5:$C$64,MATCH(B437,'Cashier Roster'!$B$5:$B$64,0)),"Not on roster"))</f>
        <v/>
      </c>
      <c r="D437" s="12" t="str">
        <f>IF(B437="","",IFERROR(INDEX('Cashier Roster'!$D$5:$D$64,MATCH(B437,'Cashier Roster'!$B$5:$B$64,0)),""))</f>
        <v/>
      </c>
      <c r="E437" s="13"/>
      <c r="F437" s="14"/>
      <c r="G437" s="8" t="str">
        <f>IF(OR(B437="",E437=""),"",IF(E437="No","Missed",IF(F437="","",IF(F437&lt;=Settings!$B$7,"On time","Late"))))</f>
        <v/>
      </c>
      <c r="H437" s="15"/>
      <c r="I437" s="16"/>
      <c r="J437" s="16"/>
      <c r="K437" s="17" t="str">
        <f>IF(J437="","",ROUND(J437*Settings!$B$8,2))</f>
        <v/>
      </c>
      <c r="L437" s="16"/>
      <c r="M437" s="8" t="str">
        <f t="shared" si="6"/>
        <v/>
      </c>
      <c r="N437" s="9"/>
    </row>
    <row r="438" spans="1:14" ht="15.75">
      <c r="A438" s="11"/>
      <c r="B438" s="9"/>
      <c r="C438" s="12" t="str">
        <f>IF(B438="","",IFERROR(INDEX('Cashier Roster'!$C$5:$C$64,MATCH(B438,'Cashier Roster'!$B$5:$B$64,0)),"Not on roster"))</f>
        <v/>
      </c>
      <c r="D438" s="12" t="str">
        <f>IF(B438="","",IFERROR(INDEX('Cashier Roster'!$D$5:$D$64,MATCH(B438,'Cashier Roster'!$B$5:$B$64,0)),""))</f>
        <v/>
      </c>
      <c r="E438" s="13"/>
      <c r="F438" s="14"/>
      <c r="G438" s="8" t="str">
        <f>IF(OR(B438="",E438=""),"",IF(E438="No","Missed",IF(F438="","",IF(F438&lt;=Settings!$B$7,"On time","Late"))))</f>
        <v/>
      </c>
      <c r="H438" s="15"/>
      <c r="I438" s="16"/>
      <c r="J438" s="16"/>
      <c r="K438" s="17" t="str">
        <f>IF(J438="","",ROUND(J438*Settings!$B$8,2))</f>
        <v/>
      </c>
      <c r="L438" s="16"/>
      <c r="M438" s="8" t="str">
        <f t="shared" si="6"/>
        <v/>
      </c>
      <c r="N438" s="9"/>
    </row>
    <row r="439" spans="1:14" ht="15.75">
      <c r="A439" s="11"/>
      <c r="B439" s="9"/>
      <c r="C439" s="12" t="str">
        <f>IF(B439="","",IFERROR(INDEX('Cashier Roster'!$C$5:$C$64,MATCH(B439,'Cashier Roster'!$B$5:$B$64,0)),"Not on roster"))</f>
        <v/>
      </c>
      <c r="D439" s="12" t="str">
        <f>IF(B439="","",IFERROR(INDEX('Cashier Roster'!$D$5:$D$64,MATCH(B439,'Cashier Roster'!$B$5:$B$64,0)),""))</f>
        <v/>
      </c>
      <c r="E439" s="13"/>
      <c r="F439" s="14"/>
      <c r="G439" s="8" t="str">
        <f>IF(OR(B439="",E439=""),"",IF(E439="No","Missed",IF(F439="","",IF(F439&lt;=Settings!$B$7,"On time","Late"))))</f>
        <v/>
      </c>
      <c r="H439" s="15"/>
      <c r="I439" s="16"/>
      <c r="J439" s="16"/>
      <c r="K439" s="17" t="str">
        <f>IF(J439="","",ROUND(J439*Settings!$B$8,2))</f>
        <v/>
      </c>
      <c r="L439" s="16"/>
      <c r="M439" s="8" t="str">
        <f t="shared" si="6"/>
        <v/>
      </c>
      <c r="N439" s="9"/>
    </row>
    <row r="440" spans="1:14" ht="15.75">
      <c r="A440" s="11"/>
      <c r="B440" s="9"/>
      <c r="C440" s="12" t="str">
        <f>IF(B440="","",IFERROR(INDEX('Cashier Roster'!$C$5:$C$64,MATCH(B440,'Cashier Roster'!$B$5:$B$64,0)),"Not on roster"))</f>
        <v/>
      </c>
      <c r="D440" s="12" t="str">
        <f>IF(B440="","",IFERROR(INDEX('Cashier Roster'!$D$5:$D$64,MATCH(B440,'Cashier Roster'!$B$5:$B$64,0)),""))</f>
        <v/>
      </c>
      <c r="E440" s="13"/>
      <c r="F440" s="14"/>
      <c r="G440" s="8" t="str">
        <f>IF(OR(B440="",E440=""),"",IF(E440="No","Missed",IF(F440="","",IF(F440&lt;=Settings!$B$7,"On time","Late"))))</f>
        <v/>
      </c>
      <c r="H440" s="15"/>
      <c r="I440" s="16"/>
      <c r="J440" s="16"/>
      <c r="K440" s="17" t="str">
        <f>IF(J440="","",ROUND(J440*Settings!$B$8,2))</f>
        <v/>
      </c>
      <c r="L440" s="16"/>
      <c r="M440" s="8" t="str">
        <f t="shared" si="6"/>
        <v/>
      </c>
      <c r="N440" s="9"/>
    </row>
    <row r="441" spans="1:14" ht="15.75">
      <c r="A441" s="11"/>
      <c r="B441" s="9"/>
      <c r="C441" s="12" t="str">
        <f>IF(B441="","",IFERROR(INDEX('Cashier Roster'!$C$5:$C$64,MATCH(B441,'Cashier Roster'!$B$5:$B$64,0)),"Not on roster"))</f>
        <v/>
      </c>
      <c r="D441" s="12" t="str">
        <f>IF(B441="","",IFERROR(INDEX('Cashier Roster'!$D$5:$D$64,MATCH(B441,'Cashier Roster'!$B$5:$B$64,0)),""))</f>
        <v/>
      </c>
      <c r="E441" s="13"/>
      <c r="F441" s="14"/>
      <c r="G441" s="8" t="str">
        <f>IF(OR(B441="",E441=""),"",IF(E441="No","Missed",IF(F441="","",IF(F441&lt;=Settings!$B$7,"On time","Late"))))</f>
        <v/>
      </c>
      <c r="H441" s="15"/>
      <c r="I441" s="16"/>
      <c r="J441" s="16"/>
      <c r="K441" s="17" t="str">
        <f>IF(J441="","",ROUND(J441*Settings!$B$8,2))</f>
        <v/>
      </c>
      <c r="L441" s="16"/>
      <c r="M441" s="8" t="str">
        <f t="shared" si="6"/>
        <v/>
      </c>
      <c r="N441" s="9"/>
    </row>
    <row r="442" spans="1:14" ht="15.75">
      <c r="A442" s="11"/>
      <c r="B442" s="9"/>
      <c r="C442" s="12" t="str">
        <f>IF(B442="","",IFERROR(INDEX('Cashier Roster'!$C$5:$C$64,MATCH(B442,'Cashier Roster'!$B$5:$B$64,0)),"Not on roster"))</f>
        <v/>
      </c>
      <c r="D442" s="12" t="str">
        <f>IF(B442="","",IFERROR(INDEX('Cashier Roster'!$D$5:$D$64,MATCH(B442,'Cashier Roster'!$B$5:$B$64,0)),""))</f>
        <v/>
      </c>
      <c r="E442" s="13"/>
      <c r="F442" s="14"/>
      <c r="G442" s="8" t="str">
        <f>IF(OR(B442="",E442=""),"",IF(E442="No","Missed",IF(F442="","",IF(F442&lt;=Settings!$B$7,"On time","Late"))))</f>
        <v/>
      </c>
      <c r="H442" s="15"/>
      <c r="I442" s="16"/>
      <c r="J442" s="16"/>
      <c r="K442" s="17" t="str">
        <f>IF(J442="","",ROUND(J442*Settings!$B$8,2))</f>
        <v/>
      </c>
      <c r="L442" s="16"/>
      <c r="M442" s="8" t="str">
        <f t="shared" si="6"/>
        <v/>
      </c>
      <c r="N442" s="9"/>
    </row>
    <row r="443" spans="1:14" ht="15.75">
      <c r="A443" s="11"/>
      <c r="B443" s="9"/>
      <c r="C443" s="12" t="str">
        <f>IF(B443="","",IFERROR(INDEX('Cashier Roster'!$C$5:$C$64,MATCH(B443,'Cashier Roster'!$B$5:$B$64,0)),"Not on roster"))</f>
        <v/>
      </c>
      <c r="D443" s="12" t="str">
        <f>IF(B443="","",IFERROR(INDEX('Cashier Roster'!$D$5:$D$64,MATCH(B443,'Cashier Roster'!$B$5:$B$64,0)),""))</f>
        <v/>
      </c>
      <c r="E443" s="13"/>
      <c r="F443" s="14"/>
      <c r="G443" s="8" t="str">
        <f>IF(OR(B443="",E443=""),"",IF(E443="No","Missed",IF(F443="","",IF(F443&lt;=Settings!$B$7,"On time","Late"))))</f>
        <v/>
      </c>
      <c r="H443" s="15"/>
      <c r="I443" s="16"/>
      <c r="J443" s="16"/>
      <c r="K443" s="17" t="str">
        <f>IF(J443="","",ROUND(J443*Settings!$B$8,2))</f>
        <v/>
      </c>
      <c r="L443" s="16"/>
      <c r="M443" s="8" t="str">
        <f t="shared" si="6"/>
        <v/>
      </c>
      <c r="N443" s="9"/>
    </row>
    <row r="444" spans="1:14" ht="15.75">
      <c r="A444" s="11"/>
      <c r="B444" s="9"/>
      <c r="C444" s="12" t="str">
        <f>IF(B444="","",IFERROR(INDEX('Cashier Roster'!$C$5:$C$64,MATCH(B444,'Cashier Roster'!$B$5:$B$64,0)),"Not on roster"))</f>
        <v/>
      </c>
      <c r="D444" s="12" t="str">
        <f>IF(B444="","",IFERROR(INDEX('Cashier Roster'!$D$5:$D$64,MATCH(B444,'Cashier Roster'!$B$5:$B$64,0)),""))</f>
        <v/>
      </c>
      <c r="E444" s="13"/>
      <c r="F444" s="14"/>
      <c r="G444" s="8" t="str">
        <f>IF(OR(B444="",E444=""),"",IF(E444="No","Missed",IF(F444="","",IF(F444&lt;=Settings!$B$7,"On time","Late"))))</f>
        <v/>
      </c>
      <c r="H444" s="15"/>
      <c r="I444" s="16"/>
      <c r="J444" s="16"/>
      <c r="K444" s="17" t="str">
        <f>IF(J444="","",ROUND(J444*Settings!$B$8,2))</f>
        <v/>
      </c>
      <c r="L444" s="16"/>
      <c r="M444" s="8" t="str">
        <f t="shared" si="6"/>
        <v/>
      </c>
      <c r="N444" s="9"/>
    </row>
    <row r="445" spans="1:14" ht="15.75">
      <c r="A445" s="11"/>
      <c r="B445" s="9"/>
      <c r="C445" s="12" t="str">
        <f>IF(B445="","",IFERROR(INDEX('Cashier Roster'!$C$5:$C$64,MATCH(B445,'Cashier Roster'!$B$5:$B$64,0)),"Not on roster"))</f>
        <v/>
      </c>
      <c r="D445" s="12" t="str">
        <f>IF(B445="","",IFERROR(INDEX('Cashier Roster'!$D$5:$D$64,MATCH(B445,'Cashier Roster'!$B$5:$B$64,0)),""))</f>
        <v/>
      </c>
      <c r="E445" s="13"/>
      <c r="F445" s="14"/>
      <c r="G445" s="8" t="str">
        <f>IF(OR(B445="",E445=""),"",IF(E445="No","Missed",IF(F445="","",IF(F445&lt;=Settings!$B$7,"On time","Late"))))</f>
        <v/>
      </c>
      <c r="H445" s="15"/>
      <c r="I445" s="16"/>
      <c r="J445" s="16"/>
      <c r="K445" s="17" t="str">
        <f>IF(J445="","",ROUND(J445*Settings!$B$8,2))</f>
        <v/>
      </c>
      <c r="L445" s="16"/>
      <c r="M445" s="8" t="str">
        <f t="shared" si="6"/>
        <v/>
      </c>
      <c r="N445" s="9"/>
    </row>
    <row r="446" spans="1:14" ht="15.75">
      <c r="A446" s="11"/>
      <c r="B446" s="9"/>
      <c r="C446" s="12" t="str">
        <f>IF(B446="","",IFERROR(INDEX('Cashier Roster'!$C$5:$C$64,MATCH(B446,'Cashier Roster'!$B$5:$B$64,0)),"Not on roster"))</f>
        <v/>
      </c>
      <c r="D446" s="12" t="str">
        <f>IF(B446="","",IFERROR(INDEX('Cashier Roster'!$D$5:$D$64,MATCH(B446,'Cashier Roster'!$B$5:$B$64,0)),""))</f>
        <v/>
      </c>
      <c r="E446" s="13"/>
      <c r="F446" s="14"/>
      <c r="G446" s="8" t="str">
        <f>IF(OR(B446="",E446=""),"",IF(E446="No","Missed",IF(F446="","",IF(F446&lt;=Settings!$B$7,"On time","Late"))))</f>
        <v/>
      </c>
      <c r="H446" s="15"/>
      <c r="I446" s="16"/>
      <c r="J446" s="16"/>
      <c r="K446" s="17" t="str">
        <f>IF(J446="","",ROUND(J446*Settings!$B$8,2))</f>
        <v/>
      </c>
      <c r="L446" s="16"/>
      <c r="M446" s="8" t="str">
        <f t="shared" si="6"/>
        <v/>
      </c>
      <c r="N446" s="9"/>
    </row>
    <row r="447" spans="1:14" ht="15.75">
      <c r="A447" s="11"/>
      <c r="B447" s="9"/>
      <c r="C447" s="12" t="str">
        <f>IF(B447="","",IFERROR(INDEX('Cashier Roster'!$C$5:$C$64,MATCH(B447,'Cashier Roster'!$B$5:$B$64,0)),"Not on roster"))</f>
        <v/>
      </c>
      <c r="D447" s="12" t="str">
        <f>IF(B447="","",IFERROR(INDEX('Cashier Roster'!$D$5:$D$64,MATCH(B447,'Cashier Roster'!$B$5:$B$64,0)),""))</f>
        <v/>
      </c>
      <c r="E447" s="13"/>
      <c r="F447" s="14"/>
      <c r="G447" s="8" t="str">
        <f>IF(OR(B447="",E447=""),"",IF(E447="No","Missed",IF(F447="","",IF(F447&lt;=Settings!$B$7,"On time","Late"))))</f>
        <v/>
      </c>
      <c r="H447" s="15"/>
      <c r="I447" s="16"/>
      <c r="J447" s="16"/>
      <c r="K447" s="17" t="str">
        <f>IF(J447="","",ROUND(J447*Settings!$B$8,2))</f>
        <v/>
      </c>
      <c r="L447" s="16"/>
      <c r="M447" s="8" t="str">
        <f t="shared" si="6"/>
        <v/>
      </c>
      <c r="N447" s="9"/>
    </row>
    <row r="448" spans="1:14" ht="15.75">
      <c r="A448" s="11"/>
      <c r="B448" s="9"/>
      <c r="C448" s="12" t="str">
        <f>IF(B448="","",IFERROR(INDEX('Cashier Roster'!$C$5:$C$64,MATCH(B448,'Cashier Roster'!$B$5:$B$64,0)),"Not on roster"))</f>
        <v/>
      </c>
      <c r="D448" s="12" t="str">
        <f>IF(B448="","",IFERROR(INDEX('Cashier Roster'!$D$5:$D$64,MATCH(B448,'Cashier Roster'!$B$5:$B$64,0)),""))</f>
        <v/>
      </c>
      <c r="E448" s="13"/>
      <c r="F448" s="14"/>
      <c r="G448" s="8" t="str">
        <f>IF(OR(B448="",E448=""),"",IF(E448="No","Missed",IF(F448="","",IF(F448&lt;=Settings!$B$7,"On time","Late"))))</f>
        <v/>
      </c>
      <c r="H448" s="15"/>
      <c r="I448" s="16"/>
      <c r="J448" s="16"/>
      <c r="K448" s="17" t="str">
        <f>IF(J448="","",ROUND(J448*Settings!$B$8,2))</f>
        <v/>
      </c>
      <c r="L448" s="16"/>
      <c r="M448" s="8" t="str">
        <f t="shared" si="6"/>
        <v/>
      </c>
      <c r="N448" s="9"/>
    </row>
    <row r="449" spans="1:14" ht="15.75">
      <c r="A449" s="11"/>
      <c r="B449" s="9"/>
      <c r="C449" s="12" t="str">
        <f>IF(B449="","",IFERROR(INDEX('Cashier Roster'!$C$5:$C$64,MATCH(B449,'Cashier Roster'!$B$5:$B$64,0)),"Not on roster"))</f>
        <v/>
      </c>
      <c r="D449" s="12" t="str">
        <f>IF(B449="","",IFERROR(INDEX('Cashier Roster'!$D$5:$D$64,MATCH(B449,'Cashier Roster'!$B$5:$B$64,0)),""))</f>
        <v/>
      </c>
      <c r="E449" s="13"/>
      <c r="F449" s="14"/>
      <c r="G449" s="8" t="str">
        <f>IF(OR(B449="",E449=""),"",IF(E449="No","Missed",IF(F449="","",IF(F449&lt;=Settings!$B$7,"On time","Late"))))</f>
        <v/>
      </c>
      <c r="H449" s="15"/>
      <c r="I449" s="16"/>
      <c r="J449" s="16"/>
      <c r="K449" s="17" t="str">
        <f>IF(J449="","",ROUND(J449*Settings!$B$8,2))</f>
        <v/>
      </c>
      <c r="L449" s="16"/>
      <c r="M449" s="8" t="str">
        <f t="shared" si="6"/>
        <v/>
      </c>
      <c r="N449" s="9"/>
    </row>
    <row r="450" spans="1:14" ht="15.75">
      <c r="A450" s="11"/>
      <c r="B450" s="9"/>
      <c r="C450" s="12" t="str">
        <f>IF(B450="","",IFERROR(INDEX('Cashier Roster'!$C$5:$C$64,MATCH(B450,'Cashier Roster'!$B$5:$B$64,0)),"Not on roster"))</f>
        <v/>
      </c>
      <c r="D450" s="12" t="str">
        <f>IF(B450="","",IFERROR(INDEX('Cashier Roster'!$D$5:$D$64,MATCH(B450,'Cashier Roster'!$B$5:$B$64,0)),""))</f>
        <v/>
      </c>
      <c r="E450" s="13"/>
      <c r="F450" s="14"/>
      <c r="G450" s="8" t="str">
        <f>IF(OR(B450="",E450=""),"",IF(E450="No","Missed",IF(F450="","",IF(F450&lt;=Settings!$B$7,"On time","Late"))))</f>
        <v/>
      </c>
      <c r="H450" s="15"/>
      <c r="I450" s="16"/>
      <c r="J450" s="16"/>
      <c r="K450" s="17" t="str">
        <f>IF(J450="","",ROUND(J450*Settings!$B$8,2))</f>
        <v/>
      </c>
      <c r="L450" s="16"/>
      <c r="M450" s="8" t="str">
        <f t="shared" si="6"/>
        <v/>
      </c>
      <c r="N450" s="9"/>
    </row>
    <row r="451" spans="1:14" ht="15.75">
      <c r="A451" s="11"/>
      <c r="B451" s="9"/>
      <c r="C451" s="12" t="str">
        <f>IF(B451="","",IFERROR(INDEX('Cashier Roster'!$C$5:$C$64,MATCH(B451,'Cashier Roster'!$B$5:$B$64,0)),"Not on roster"))</f>
        <v/>
      </c>
      <c r="D451" s="12" t="str">
        <f>IF(B451="","",IFERROR(INDEX('Cashier Roster'!$D$5:$D$64,MATCH(B451,'Cashier Roster'!$B$5:$B$64,0)),""))</f>
        <v/>
      </c>
      <c r="E451" s="13"/>
      <c r="F451" s="14"/>
      <c r="G451" s="8" t="str">
        <f>IF(OR(B451="",E451=""),"",IF(E451="No","Missed",IF(F451="","",IF(F451&lt;=Settings!$B$7,"On time","Late"))))</f>
        <v/>
      </c>
      <c r="H451" s="15"/>
      <c r="I451" s="16"/>
      <c r="J451" s="16"/>
      <c r="K451" s="17" t="str">
        <f>IF(J451="","",ROUND(J451*Settings!$B$8,2))</f>
        <v/>
      </c>
      <c r="L451" s="16"/>
      <c r="M451" s="8" t="str">
        <f t="shared" si="6"/>
        <v/>
      </c>
      <c r="N451" s="9"/>
    </row>
    <row r="452" spans="1:14" ht="15.75">
      <c r="A452" s="11"/>
      <c r="B452" s="9"/>
      <c r="C452" s="12" t="str">
        <f>IF(B452="","",IFERROR(INDEX('Cashier Roster'!$C$5:$C$64,MATCH(B452,'Cashier Roster'!$B$5:$B$64,0)),"Not on roster"))</f>
        <v/>
      </c>
      <c r="D452" s="12" t="str">
        <f>IF(B452="","",IFERROR(INDEX('Cashier Roster'!$D$5:$D$64,MATCH(B452,'Cashier Roster'!$B$5:$B$64,0)),""))</f>
        <v/>
      </c>
      <c r="E452" s="13"/>
      <c r="F452" s="14"/>
      <c r="G452" s="8" t="str">
        <f>IF(OR(B452="",E452=""),"",IF(E452="No","Missed",IF(F452="","",IF(F452&lt;=Settings!$B$7,"On time","Late"))))</f>
        <v/>
      </c>
      <c r="H452" s="15"/>
      <c r="I452" s="16"/>
      <c r="J452" s="16"/>
      <c r="K452" s="17" t="str">
        <f>IF(J452="","",ROUND(J452*Settings!$B$8,2))</f>
        <v/>
      </c>
      <c r="L452" s="16"/>
      <c r="M452" s="8" t="str">
        <f t="shared" si="6"/>
        <v/>
      </c>
      <c r="N452" s="9"/>
    </row>
    <row r="453" spans="1:14" ht="15.75">
      <c r="A453" s="11"/>
      <c r="B453" s="9"/>
      <c r="C453" s="12" t="str">
        <f>IF(B453="","",IFERROR(INDEX('Cashier Roster'!$C$5:$C$64,MATCH(B453,'Cashier Roster'!$B$5:$B$64,0)),"Not on roster"))</f>
        <v/>
      </c>
      <c r="D453" s="12" t="str">
        <f>IF(B453="","",IFERROR(INDEX('Cashier Roster'!$D$5:$D$64,MATCH(B453,'Cashier Roster'!$B$5:$B$64,0)),""))</f>
        <v/>
      </c>
      <c r="E453" s="13"/>
      <c r="F453" s="14"/>
      <c r="G453" s="8" t="str">
        <f>IF(OR(B453="",E453=""),"",IF(E453="No","Missed",IF(F453="","",IF(F453&lt;=Settings!$B$7,"On time","Late"))))</f>
        <v/>
      </c>
      <c r="H453" s="15"/>
      <c r="I453" s="16"/>
      <c r="J453" s="16"/>
      <c r="K453" s="17" t="str">
        <f>IF(J453="","",ROUND(J453*Settings!$B$8,2))</f>
        <v/>
      </c>
      <c r="L453" s="16"/>
      <c r="M453" s="8" t="str">
        <f t="shared" ref="M453:M516" si="7">IF(L453="","",IF(L453&lt;=0,"Yes","No"))</f>
        <v/>
      </c>
      <c r="N453" s="9"/>
    </row>
    <row r="454" spans="1:14" ht="15.75">
      <c r="A454" s="11"/>
      <c r="B454" s="9"/>
      <c r="C454" s="12" t="str">
        <f>IF(B454="","",IFERROR(INDEX('Cashier Roster'!$C$5:$C$64,MATCH(B454,'Cashier Roster'!$B$5:$B$64,0)),"Not on roster"))</f>
        <v/>
      </c>
      <c r="D454" s="12" t="str">
        <f>IF(B454="","",IFERROR(INDEX('Cashier Roster'!$D$5:$D$64,MATCH(B454,'Cashier Roster'!$B$5:$B$64,0)),""))</f>
        <v/>
      </c>
      <c r="E454" s="13"/>
      <c r="F454" s="14"/>
      <c r="G454" s="8" t="str">
        <f>IF(OR(B454="",E454=""),"",IF(E454="No","Missed",IF(F454="","",IF(F454&lt;=Settings!$B$7,"On time","Late"))))</f>
        <v/>
      </c>
      <c r="H454" s="15"/>
      <c r="I454" s="16"/>
      <c r="J454" s="16"/>
      <c r="K454" s="17" t="str">
        <f>IF(J454="","",ROUND(J454*Settings!$B$8,2))</f>
        <v/>
      </c>
      <c r="L454" s="16"/>
      <c r="M454" s="8" t="str">
        <f t="shared" si="7"/>
        <v/>
      </c>
      <c r="N454" s="9"/>
    </row>
    <row r="455" spans="1:14" ht="15.75">
      <c r="A455" s="11"/>
      <c r="B455" s="9"/>
      <c r="C455" s="12" t="str">
        <f>IF(B455="","",IFERROR(INDEX('Cashier Roster'!$C$5:$C$64,MATCH(B455,'Cashier Roster'!$B$5:$B$64,0)),"Not on roster"))</f>
        <v/>
      </c>
      <c r="D455" s="12" t="str">
        <f>IF(B455="","",IFERROR(INDEX('Cashier Roster'!$D$5:$D$64,MATCH(B455,'Cashier Roster'!$B$5:$B$64,0)),""))</f>
        <v/>
      </c>
      <c r="E455" s="13"/>
      <c r="F455" s="14"/>
      <c r="G455" s="8" t="str">
        <f>IF(OR(B455="",E455=""),"",IF(E455="No","Missed",IF(F455="","",IF(F455&lt;=Settings!$B$7,"On time","Late"))))</f>
        <v/>
      </c>
      <c r="H455" s="15"/>
      <c r="I455" s="16"/>
      <c r="J455" s="16"/>
      <c r="K455" s="17" t="str">
        <f>IF(J455="","",ROUND(J455*Settings!$B$8,2))</f>
        <v/>
      </c>
      <c r="L455" s="16"/>
      <c r="M455" s="8" t="str">
        <f t="shared" si="7"/>
        <v/>
      </c>
      <c r="N455" s="9"/>
    </row>
    <row r="456" spans="1:14" ht="15.75">
      <c r="A456" s="11"/>
      <c r="B456" s="9"/>
      <c r="C456" s="12" t="str">
        <f>IF(B456="","",IFERROR(INDEX('Cashier Roster'!$C$5:$C$64,MATCH(B456,'Cashier Roster'!$B$5:$B$64,0)),"Not on roster"))</f>
        <v/>
      </c>
      <c r="D456" s="12" t="str">
        <f>IF(B456="","",IFERROR(INDEX('Cashier Roster'!$D$5:$D$64,MATCH(B456,'Cashier Roster'!$B$5:$B$64,0)),""))</f>
        <v/>
      </c>
      <c r="E456" s="13"/>
      <c r="F456" s="14"/>
      <c r="G456" s="8" t="str">
        <f>IF(OR(B456="",E456=""),"",IF(E456="No","Missed",IF(F456="","",IF(F456&lt;=Settings!$B$7,"On time","Late"))))</f>
        <v/>
      </c>
      <c r="H456" s="15"/>
      <c r="I456" s="16"/>
      <c r="J456" s="16"/>
      <c r="K456" s="17" t="str">
        <f>IF(J456="","",ROUND(J456*Settings!$B$8,2))</f>
        <v/>
      </c>
      <c r="L456" s="16"/>
      <c r="M456" s="8" t="str">
        <f t="shared" si="7"/>
        <v/>
      </c>
      <c r="N456" s="9"/>
    </row>
    <row r="457" spans="1:14" ht="15.75">
      <c r="A457" s="11"/>
      <c r="B457" s="9"/>
      <c r="C457" s="12" t="str">
        <f>IF(B457="","",IFERROR(INDEX('Cashier Roster'!$C$5:$C$64,MATCH(B457,'Cashier Roster'!$B$5:$B$64,0)),"Not on roster"))</f>
        <v/>
      </c>
      <c r="D457" s="12" t="str">
        <f>IF(B457="","",IFERROR(INDEX('Cashier Roster'!$D$5:$D$64,MATCH(B457,'Cashier Roster'!$B$5:$B$64,0)),""))</f>
        <v/>
      </c>
      <c r="E457" s="13"/>
      <c r="F457" s="14"/>
      <c r="G457" s="8" t="str">
        <f>IF(OR(B457="",E457=""),"",IF(E457="No","Missed",IF(F457="","",IF(F457&lt;=Settings!$B$7,"On time","Late"))))</f>
        <v/>
      </c>
      <c r="H457" s="15"/>
      <c r="I457" s="16"/>
      <c r="J457" s="16"/>
      <c r="K457" s="17" t="str">
        <f>IF(J457="","",ROUND(J457*Settings!$B$8,2))</f>
        <v/>
      </c>
      <c r="L457" s="16"/>
      <c r="M457" s="8" t="str">
        <f t="shared" si="7"/>
        <v/>
      </c>
      <c r="N457" s="9"/>
    </row>
    <row r="458" spans="1:14" ht="15.75">
      <c r="A458" s="11"/>
      <c r="B458" s="9"/>
      <c r="C458" s="12" t="str">
        <f>IF(B458="","",IFERROR(INDEX('Cashier Roster'!$C$5:$C$64,MATCH(B458,'Cashier Roster'!$B$5:$B$64,0)),"Not on roster"))</f>
        <v/>
      </c>
      <c r="D458" s="12" t="str">
        <f>IF(B458="","",IFERROR(INDEX('Cashier Roster'!$D$5:$D$64,MATCH(B458,'Cashier Roster'!$B$5:$B$64,0)),""))</f>
        <v/>
      </c>
      <c r="E458" s="13"/>
      <c r="F458" s="14"/>
      <c r="G458" s="8" t="str">
        <f>IF(OR(B458="",E458=""),"",IF(E458="No","Missed",IF(F458="","",IF(F458&lt;=Settings!$B$7,"On time","Late"))))</f>
        <v/>
      </c>
      <c r="H458" s="15"/>
      <c r="I458" s="16"/>
      <c r="J458" s="16"/>
      <c r="K458" s="17" t="str">
        <f>IF(J458="","",ROUND(J458*Settings!$B$8,2))</f>
        <v/>
      </c>
      <c r="L458" s="16"/>
      <c r="M458" s="8" t="str">
        <f t="shared" si="7"/>
        <v/>
      </c>
      <c r="N458" s="9"/>
    </row>
    <row r="459" spans="1:14" ht="15.75">
      <c r="A459" s="11"/>
      <c r="B459" s="9"/>
      <c r="C459" s="12" t="str">
        <f>IF(B459="","",IFERROR(INDEX('Cashier Roster'!$C$5:$C$64,MATCH(B459,'Cashier Roster'!$B$5:$B$64,0)),"Not on roster"))</f>
        <v/>
      </c>
      <c r="D459" s="12" t="str">
        <f>IF(B459="","",IFERROR(INDEX('Cashier Roster'!$D$5:$D$64,MATCH(B459,'Cashier Roster'!$B$5:$B$64,0)),""))</f>
        <v/>
      </c>
      <c r="E459" s="13"/>
      <c r="F459" s="14"/>
      <c r="G459" s="8" t="str">
        <f>IF(OR(B459="",E459=""),"",IF(E459="No","Missed",IF(F459="","",IF(F459&lt;=Settings!$B$7,"On time","Late"))))</f>
        <v/>
      </c>
      <c r="H459" s="15"/>
      <c r="I459" s="16"/>
      <c r="J459" s="16"/>
      <c r="K459" s="17" t="str">
        <f>IF(J459="","",ROUND(J459*Settings!$B$8,2))</f>
        <v/>
      </c>
      <c r="L459" s="16"/>
      <c r="M459" s="8" t="str">
        <f t="shared" si="7"/>
        <v/>
      </c>
      <c r="N459" s="9"/>
    </row>
    <row r="460" spans="1:14" ht="15.75">
      <c r="A460" s="11"/>
      <c r="B460" s="9"/>
      <c r="C460" s="12" t="str">
        <f>IF(B460="","",IFERROR(INDEX('Cashier Roster'!$C$5:$C$64,MATCH(B460,'Cashier Roster'!$B$5:$B$64,0)),"Not on roster"))</f>
        <v/>
      </c>
      <c r="D460" s="12" t="str">
        <f>IF(B460="","",IFERROR(INDEX('Cashier Roster'!$D$5:$D$64,MATCH(B460,'Cashier Roster'!$B$5:$B$64,0)),""))</f>
        <v/>
      </c>
      <c r="E460" s="13"/>
      <c r="F460" s="14"/>
      <c r="G460" s="8" t="str">
        <f>IF(OR(B460="",E460=""),"",IF(E460="No","Missed",IF(F460="","",IF(F460&lt;=Settings!$B$7,"On time","Late"))))</f>
        <v/>
      </c>
      <c r="H460" s="15"/>
      <c r="I460" s="16"/>
      <c r="J460" s="16"/>
      <c r="K460" s="17" t="str">
        <f>IF(J460="","",ROUND(J460*Settings!$B$8,2))</f>
        <v/>
      </c>
      <c r="L460" s="16"/>
      <c r="M460" s="8" t="str">
        <f t="shared" si="7"/>
        <v/>
      </c>
      <c r="N460" s="9"/>
    </row>
    <row r="461" spans="1:14" ht="15.75">
      <c r="A461" s="11"/>
      <c r="B461" s="9"/>
      <c r="C461" s="12" t="str">
        <f>IF(B461="","",IFERROR(INDEX('Cashier Roster'!$C$5:$C$64,MATCH(B461,'Cashier Roster'!$B$5:$B$64,0)),"Not on roster"))</f>
        <v/>
      </c>
      <c r="D461" s="12" t="str">
        <f>IF(B461="","",IFERROR(INDEX('Cashier Roster'!$D$5:$D$64,MATCH(B461,'Cashier Roster'!$B$5:$B$64,0)),""))</f>
        <v/>
      </c>
      <c r="E461" s="13"/>
      <c r="F461" s="14"/>
      <c r="G461" s="8" t="str">
        <f>IF(OR(B461="",E461=""),"",IF(E461="No","Missed",IF(F461="","",IF(F461&lt;=Settings!$B$7,"On time","Late"))))</f>
        <v/>
      </c>
      <c r="H461" s="15"/>
      <c r="I461" s="16"/>
      <c r="J461" s="16"/>
      <c r="K461" s="17" t="str">
        <f>IF(J461="","",ROUND(J461*Settings!$B$8,2))</f>
        <v/>
      </c>
      <c r="L461" s="16"/>
      <c r="M461" s="8" t="str">
        <f t="shared" si="7"/>
        <v/>
      </c>
      <c r="N461" s="9"/>
    </row>
    <row r="462" spans="1:14" ht="15.75">
      <c r="A462" s="11"/>
      <c r="B462" s="9"/>
      <c r="C462" s="12" t="str">
        <f>IF(B462="","",IFERROR(INDEX('Cashier Roster'!$C$5:$C$64,MATCH(B462,'Cashier Roster'!$B$5:$B$64,0)),"Not on roster"))</f>
        <v/>
      </c>
      <c r="D462" s="12" t="str">
        <f>IF(B462="","",IFERROR(INDEX('Cashier Roster'!$D$5:$D$64,MATCH(B462,'Cashier Roster'!$B$5:$B$64,0)),""))</f>
        <v/>
      </c>
      <c r="E462" s="13"/>
      <c r="F462" s="14"/>
      <c r="G462" s="8" t="str">
        <f>IF(OR(B462="",E462=""),"",IF(E462="No","Missed",IF(F462="","",IF(F462&lt;=Settings!$B$7,"On time","Late"))))</f>
        <v/>
      </c>
      <c r="H462" s="15"/>
      <c r="I462" s="16"/>
      <c r="J462" s="16"/>
      <c r="K462" s="17" t="str">
        <f>IF(J462="","",ROUND(J462*Settings!$B$8,2))</f>
        <v/>
      </c>
      <c r="L462" s="16"/>
      <c r="M462" s="8" t="str">
        <f t="shared" si="7"/>
        <v/>
      </c>
      <c r="N462" s="9"/>
    </row>
    <row r="463" spans="1:14" ht="15.75">
      <c r="A463" s="11"/>
      <c r="B463" s="9"/>
      <c r="C463" s="12" t="str">
        <f>IF(B463="","",IFERROR(INDEX('Cashier Roster'!$C$5:$C$64,MATCH(B463,'Cashier Roster'!$B$5:$B$64,0)),"Not on roster"))</f>
        <v/>
      </c>
      <c r="D463" s="12" t="str">
        <f>IF(B463="","",IFERROR(INDEX('Cashier Roster'!$D$5:$D$64,MATCH(B463,'Cashier Roster'!$B$5:$B$64,0)),""))</f>
        <v/>
      </c>
      <c r="E463" s="13"/>
      <c r="F463" s="14"/>
      <c r="G463" s="8" t="str">
        <f>IF(OR(B463="",E463=""),"",IF(E463="No","Missed",IF(F463="","",IF(F463&lt;=Settings!$B$7,"On time","Late"))))</f>
        <v/>
      </c>
      <c r="H463" s="15"/>
      <c r="I463" s="16"/>
      <c r="J463" s="16"/>
      <c r="K463" s="17" t="str">
        <f>IF(J463="","",ROUND(J463*Settings!$B$8,2))</f>
        <v/>
      </c>
      <c r="L463" s="16"/>
      <c r="M463" s="8" t="str">
        <f t="shared" si="7"/>
        <v/>
      </c>
      <c r="N463" s="9"/>
    </row>
    <row r="464" spans="1:14" ht="15.75">
      <c r="A464" s="11"/>
      <c r="B464" s="9"/>
      <c r="C464" s="12" t="str">
        <f>IF(B464="","",IFERROR(INDEX('Cashier Roster'!$C$5:$C$64,MATCH(B464,'Cashier Roster'!$B$5:$B$64,0)),"Not on roster"))</f>
        <v/>
      </c>
      <c r="D464" s="12" t="str">
        <f>IF(B464="","",IFERROR(INDEX('Cashier Roster'!$D$5:$D$64,MATCH(B464,'Cashier Roster'!$B$5:$B$64,0)),""))</f>
        <v/>
      </c>
      <c r="E464" s="13"/>
      <c r="F464" s="14"/>
      <c r="G464" s="8" t="str">
        <f>IF(OR(B464="",E464=""),"",IF(E464="No","Missed",IF(F464="","",IF(F464&lt;=Settings!$B$7,"On time","Late"))))</f>
        <v/>
      </c>
      <c r="H464" s="15"/>
      <c r="I464" s="16"/>
      <c r="J464" s="16"/>
      <c r="K464" s="17" t="str">
        <f>IF(J464="","",ROUND(J464*Settings!$B$8,2))</f>
        <v/>
      </c>
      <c r="L464" s="16"/>
      <c r="M464" s="8" t="str">
        <f t="shared" si="7"/>
        <v/>
      </c>
      <c r="N464" s="9"/>
    </row>
    <row r="465" spans="1:14" ht="15.75">
      <c r="A465" s="11"/>
      <c r="B465" s="9"/>
      <c r="C465" s="12" t="str">
        <f>IF(B465="","",IFERROR(INDEX('Cashier Roster'!$C$5:$C$64,MATCH(B465,'Cashier Roster'!$B$5:$B$64,0)),"Not on roster"))</f>
        <v/>
      </c>
      <c r="D465" s="12" t="str">
        <f>IF(B465="","",IFERROR(INDEX('Cashier Roster'!$D$5:$D$64,MATCH(B465,'Cashier Roster'!$B$5:$B$64,0)),""))</f>
        <v/>
      </c>
      <c r="E465" s="13"/>
      <c r="F465" s="14"/>
      <c r="G465" s="8" t="str">
        <f>IF(OR(B465="",E465=""),"",IF(E465="No","Missed",IF(F465="","",IF(F465&lt;=Settings!$B$7,"On time","Late"))))</f>
        <v/>
      </c>
      <c r="H465" s="15"/>
      <c r="I465" s="16"/>
      <c r="J465" s="16"/>
      <c r="K465" s="17" t="str">
        <f>IF(J465="","",ROUND(J465*Settings!$B$8,2))</f>
        <v/>
      </c>
      <c r="L465" s="16"/>
      <c r="M465" s="8" t="str">
        <f t="shared" si="7"/>
        <v/>
      </c>
      <c r="N465" s="9"/>
    </row>
    <row r="466" spans="1:14" ht="15.75">
      <c r="A466" s="11"/>
      <c r="B466" s="9"/>
      <c r="C466" s="12" t="str">
        <f>IF(B466="","",IFERROR(INDEX('Cashier Roster'!$C$5:$C$64,MATCH(B466,'Cashier Roster'!$B$5:$B$64,0)),"Not on roster"))</f>
        <v/>
      </c>
      <c r="D466" s="12" t="str">
        <f>IF(B466="","",IFERROR(INDEX('Cashier Roster'!$D$5:$D$64,MATCH(B466,'Cashier Roster'!$B$5:$B$64,0)),""))</f>
        <v/>
      </c>
      <c r="E466" s="13"/>
      <c r="F466" s="14"/>
      <c r="G466" s="8" t="str">
        <f>IF(OR(B466="",E466=""),"",IF(E466="No","Missed",IF(F466="","",IF(F466&lt;=Settings!$B$7,"On time","Late"))))</f>
        <v/>
      </c>
      <c r="H466" s="15"/>
      <c r="I466" s="16"/>
      <c r="J466" s="16"/>
      <c r="K466" s="17" t="str">
        <f>IF(J466="","",ROUND(J466*Settings!$B$8,2))</f>
        <v/>
      </c>
      <c r="L466" s="16"/>
      <c r="M466" s="8" t="str">
        <f t="shared" si="7"/>
        <v/>
      </c>
      <c r="N466" s="9"/>
    </row>
    <row r="467" spans="1:14" ht="15.75">
      <c r="A467" s="11"/>
      <c r="B467" s="9"/>
      <c r="C467" s="12" t="str">
        <f>IF(B467="","",IFERROR(INDEX('Cashier Roster'!$C$5:$C$64,MATCH(B467,'Cashier Roster'!$B$5:$B$64,0)),"Not on roster"))</f>
        <v/>
      </c>
      <c r="D467" s="12" t="str">
        <f>IF(B467="","",IFERROR(INDEX('Cashier Roster'!$D$5:$D$64,MATCH(B467,'Cashier Roster'!$B$5:$B$64,0)),""))</f>
        <v/>
      </c>
      <c r="E467" s="13"/>
      <c r="F467" s="14"/>
      <c r="G467" s="8" t="str">
        <f>IF(OR(B467="",E467=""),"",IF(E467="No","Missed",IF(F467="","",IF(F467&lt;=Settings!$B$7,"On time","Late"))))</f>
        <v/>
      </c>
      <c r="H467" s="15"/>
      <c r="I467" s="16"/>
      <c r="J467" s="16"/>
      <c r="K467" s="17" t="str">
        <f>IF(J467="","",ROUND(J467*Settings!$B$8,2))</f>
        <v/>
      </c>
      <c r="L467" s="16"/>
      <c r="M467" s="8" t="str">
        <f t="shared" si="7"/>
        <v/>
      </c>
      <c r="N467" s="9"/>
    </row>
    <row r="468" spans="1:14" ht="15.75">
      <c r="A468" s="11"/>
      <c r="B468" s="9"/>
      <c r="C468" s="12" t="str">
        <f>IF(B468="","",IFERROR(INDEX('Cashier Roster'!$C$5:$C$64,MATCH(B468,'Cashier Roster'!$B$5:$B$64,0)),"Not on roster"))</f>
        <v/>
      </c>
      <c r="D468" s="12" t="str">
        <f>IF(B468="","",IFERROR(INDEX('Cashier Roster'!$D$5:$D$64,MATCH(B468,'Cashier Roster'!$B$5:$B$64,0)),""))</f>
        <v/>
      </c>
      <c r="E468" s="13"/>
      <c r="F468" s="14"/>
      <c r="G468" s="8" t="str">
        <f>IF(OR(B468="",E468=""),"",IF(E468="No","Missed",IF(F468="","",IF(F468&lt;=Settings!$B$7,"On time","Late"))))</f>
        <v/>
      </c>
      <c r="H468" s="15"/>
      <c r="I468" s="16"/>
      <c r="J468" s="16"/>
      <c r="K468" s="17" t="str">
        <f>IF(J468="","",ROUND(J468*Settings!$B$8,2))</f>
        <v/>
      </c>
      <c r="L468" s="16"/>
      <c r="M468" s="8" t="str">
        <f t="shared" si="7"/>
        <v/>
      </c>
      <c r="N468" s="9"/>
    </row>
    <row r="469" spans="1:14" ht="15.75">
      <c r="A469" s="11"/>
      <c r="B469" s="9"/>
      <c r="C469" s="12" t="str">
        <f>IF(B469="","",IFERROR(INDEX('Cashier Roster'!$C$5:$C$64,MATCH(B469,'Cashier Roster'!$B$5:$B$64,0)),"Not on roster"))</f>
        <v/>
      </c>
      <c r="D469" s="12" t="str">
        <f>IF(B469="","",IFERROR(INDEX('Cashier Roster'!$D$5:$D$64,MATCH(B469,'Cashier Roster'!$B$5:$B$64,0)),""))</f>
        <v/>
      </c>
      <c r="E469" s="13"/>
      <c r="F469" s="14"/>
      <c r="G469" s="8" t="str">
        <f>IF(OR(B469="",E469=""),"",IF(E469="No","Missed",IF(F469="","",IF(F469&lt;=Settings!$B$7,"On time","Late"))))</f>
        <v/>
      </c>
      <c r="H469" s="15"/>
      <c r="I469" s="16"/>
      <c r="J469" s="16"/>
      <c r="K469" s="17" t="str">
        <f>IF(J469="","",ROUND(J469*Settings!$B$8,2))</f>
        <v/>
      </c>
      <c r="L469" s="16"/>
      <c r="M469" s="8" t="str">
        <f t="shared" si="7"/>
        <v/>
      </c>
      <c r="N469" s="9"/>
    </row>
    <row r="470" spans="1:14" ht="15.75">
      <c r="A470" s="11"/>
      <c r="B470" s="9"/>
      <c r="C470" s="12" t="str">
        <f>IF(B470="","",IFERROR(INDEX('Cashier Roster'!$C$5:$C$64,MATCH(B470,'Cashier Roster'!$B$5:$B$64,0)),"Not on roster"))</f>
        <v/>
      </c>
      <c r="D470" s="12" t="str">
        <f>IF(B470="","",IFERROR(INDEX('Cashier Roster'!$D$5:$D$64,MATCH(B470,'Cashier Roster'!$B$5:$B$64,0)),""))</f>
        <v/>
      </c>
      <c r="E470" s="13"/>
      <c r="F470" s="14"/>
      <c r="G470" s="8" t="str">
        <f>IF(OR(B470="",E470=""),"",IF(E470="No","Missed",IF(F470="","",IF(F470&lt;=Settings!$B$7,"On time","Late"))))</f>
        <v/>
      </c>
      <c r="H470" s="15"/>
      <c r="I470" s="16"/>
      <c r="J470" s="16"/>
      <c r="K470" s="17" t="str">
        <f>IF(J470="","",ROUND(J470*Settings!$B$8,2))</f>
        <v/>
      </c>
      <c r="L470" s="16"/>
      <c r="M470" s="8" t="str">
        <f t="shared" si="7"/>
        <v/>
      </c>
      <c r="N470" s="9"/>
    </row>
    <row r="471" spans="1:14" ht="15.75">
      <c r="A471" s="11"/>
      <c r="B471" s="9"/>
      <c r="C471" s="12" t="str">
        <f>IF(B471="","",IFERROR(INDEX('Cashier Roster'!$C$5:$C$64,MATCH(B471,'Cashier Roster'!$B$5:$B$64,0)),"Not on roster"))</f>
        <v/>
      </c>
      <c r="D471" s="12" t="str">
        <f>IF(B471="","",IFERROR(INDEX('Cashier Roster'!$D$5:$D$64,MATCH(B471,'Cashier Roster'!$B$5:$B$64,0)),""))</f>
        <v/>
      </c>
      <c r="E471" s="13"/>
      <c r="F471" s="14"/>
      <c r="G471" s="8" t="str">
        <f>IF(OR(B471="",E471=""),"",IF(E471="No","Missed",IF(F471="","",IF(F471&lt;=Settings!$B$7,"On time","Late"))))</f>
        <v/>
      </c>
      <c r="H471" s="15"/>
      <c r="I471" s="16"/>
      <c r="J471" s="16"/>
      <c r="K471" s="17" t="str">
        <f>IF(J471="","",ROUND(J471*Settings!$B$8,2))</f>
        <v/>
      </c>
      <c r="L471" s="16"/>
      <c r="M471" s="8" t="str">
        <f t="shared" si="7"/>
        <v/>
      </c>
      <c r="N471" s="9"/>
    </row>
    <row r="472" spans="1:14" ht="15.75">
      <c r="A472" s="11"/>
      <c r="B472" s="9"/>
      <c r="C472" s="12" t="str">
        <f>IF(B472="","",IFERROR(INDEX('Cashier Roster'!$C$5:$C$64,MATCH(B472,'Cashier Roster'!$B$5:$B$64,0)),"Not on roster"))</f>
        <v/>
      </c>
      <c r="D472" s="12" t="str">
        <f>IF(B472="","",IFERROR(INDEX('Cashier Roster'!$D$5:$D$64,MATCH(B472,'Cashier Roster'!$B$5:$B$64,0)),""))</f>
        <v/>
      </c>
      <c r="E472" s="13"/>
      <c r="F472" s="14"/>
      <c r="G472" s="8" t="str">
        <f>IF(OR(B472="",E472=""),"",IF(E472="No","Missed",IF(F472="","",IF(F472&lt;=Settings!$B$7,"On time","Late"))))</f>
        <v/>
      </c>
      <c r="H472" s="15"/>
      <c r="I472" s="16"/>
      <c r="J472" s="16"/>
      <c r="K472" s="17" t="str">
        <f>IF(J472="","",ROUND(J472*Settings!$B$8,2))</f>
        <v/>
      </c>
      <c r="L472" s="16"/>
      <c r="M472" s="8" t="str">
        <f t="shared" si="7"/>
        <v/>
      </c>
      <c r="N472" s="9"/>
    </row>
    <row r="473" spans="1:14" ht="15.75">
      <c r="A473" s="11"/>
      <c r="B473" s="9"/>
      <c r="C473" s="12" t="str">
        <f>IF(B473="","",IFERROR(INDEX('Cashier Roster'!$C$5:$C$64,MATCH(B473,'Cashier Roster'!$B$5:$B$64,0)),"Not on roster"))</f>
        <v/>
      </c>
      <c r="D473" s="12" t="str">
        <f>IF(B473="","",IFERROR(INDEX('Cashier Roster'!$D$5:$D$64,MATCH(B473,'Cashier Roster'!$B$5:$B$64,0)),""))</f>
        <v/>
      </c>
      <c r="E473" s="13"/>
      <c r="F473" s="14"/>
      <c r="G473" s="8" t="str">
        <f>IF(OR(B473="",E473=""),"",IF(E473="No","Missed",IF(F473="","",IF(F473&lt;=Settings!$B$7,"On time","Late"))))</f>
        <v/>
      </c>
      <c r="H473" s="15"/>
      <c r="I473" s="16"/>
      <c r="J473" s="16"/>
      <c r="K473" s="17" t="str">
        <f>IF(J473="","",ROUND(J473*Settings!$B$8,2))</f>
        <v/>
      </c>
      <c r="L473" s="16"/>
      <c r="M473" s="8" t="str">
        <f t="shared" si="7"/>
        <v/>
      </c>
      <c r="N473" s="9"/>
    </row>
    <row r="474" spans="1:14" ht="15.75">
      <c r="A474" s="11"/>
      <c r="B474" s="9"/>
      <c r="C474" s="12" t="str">
        <f>IF(B474="","",IFERROR(INDEX('Cashier Roster'!$C$5:$C$64,MATCH(B474,'Cashier Roster'!$B$5:$B$64,0)),"Not on roster"))</f>
        <v/>
      </c>
      <c r="D474" s="12" t="str">
        <f>IF(B474="","",IFERROR(INDEX('Cashier Roster'!$D$5:$D$64,MATCH(B474,'Cashier Roster'!$B$5:$B$64,0)),""))</f>
        <v/>
      </c>
      <c r="E474" s="13"/>
      <c r="F474" s="14"/>
      <c r="G474" s="8" t="str">
        <f>IF(OR(B474="",E474=""),"",IF(E474="No","Missed",IF(F474="","",IF(F474&lt;=Settings!$B$7,"On time","Late"))))</f>
        <v/>
      </c>
      <c r="H474" s="15"/>
      <c r="I474" s="16"/>
      <c r="J474" s="16"/>
      <c r="K474" s="17" t="str">
        <f>IF(J474="","",ROUND(J474*Settings!$B$8,2))</f>
        <v/>
      </c>
      <c r="L474" s="16"/>
      <c r="M474" s="8" t="str">
        <f t="shared" si="7"/>
        <v/>
      </c>
      <c r="N474" s="9"/>
    </row>
    <row r="475" spans="1:14" ht="15.75">
      <c r="A475" s="11"/>
      <c r="B475" s="9"/>
      <c r="C475" s="12" t="str">
        <f>IF(B475="","",IFERROR(INDEX('Cashier Roster'!$C$5:$C$64,MATCH(B475,'Cashier Roster'!$B$5:$B$64,0)),"Not on roster"))</f>
        <v/>
      </c>
      <c r="D475" s="12" t="str">
        <f>IF(B475="","",IFERROR(INDEX('Cashier Roster'!$D$5:$D$64,MATCH(B475,'Cashier Roster'!$B$5:$B$64,0)),""))</f>
        <v/>
      </c>
      <c r="E475" s="13"/>
      <c r="F475" s="14"/>
      <c r="G475" s="8" t="str">
        <f>IF(OR(B475="",E475=""),"",IF(E475="No","Missed",IF(F475="","",IF(F475&lt;=Settings!$B$7,"On time","Late"))))</f>
        <v/>
      </c>
      <c r="H475" s="15"/>
      <c r="I475" s="16"/>
      <c r="J475" s="16"/>
      <c r="K475" s="17" t="str">
        <f>IF(J475="","",ROUND(J475*Settings!$B$8,2))</f>
        <v/>
      </c>
      <c r="L475" s="16"/>
      <c r="M475" s="8" t="str">
        <f t="shared" si="7"/>
        <v/>
      </c>
      <c r="N475" s="9"/>
    </row>
    <row r="476" spans="1:14" ht="15.75">
      <c r="A476" s="11"/>
      <c r="B476" s="9"/>
      <c r="C476" s="12" t="str">
        <f>IF(B476="","",IFERROR(INDEX('Cashier Roster'!$C$5:$C$64,MATCH(B476,'Cashier Roster'!$B$5:$B$64,0)),"Not on roster"))</f>
        <v/>
      </c>
      <c r="D476" s="12" t="str">
        <f>IF(B476="","",IFERROR(INDEX('Cashier Roster'!$D$5:$D$64,MATCH(B476,'Cashier Roster'!$B$5:$B$64,0)),""))</f>
        <v/>
      </c>
      <c r="E476" s="13"/>
      <c r="F476" s="14"/>
      <c r="G476" s="8" t="str">
        <f>IF(OR(B476="",E476=""),"",IF(E476="No","Missed",IF(F476="","",IF(F476&lt;=Settings!$B$7,"On time","Late"))))</f>
        <v/>
      </c>
      <c r="H476" s="15"/>
      <c r="I476" s="16"/>
      <c r="J476" s="16"/>
      <c r="K476" s="17" t="str">
        <f>IF(J476="","",ROUND(J476*Settings!$B$8,2))</f>
        <v/>
      </c>
      <c r="L476" s="16"/>
      <c r="M476" s="8" t="str">
        <f t="shared" si="7"/>
        <v/>
      </c>
      <c r="N476" s="9"/>
    </row>
    <row r="477" spans="1:14" ht="15.75">
      <c r="A477" s="11"/>
      <c r="B477" s="9"/>
      <c r="C477" s="12" t="str">
        <f>IF(B477="","",IFERROR(INDEX('Cashier Roster'!$C$5:$C$64,MATCH(B477,'Cashier Roster'!$B$5:$B$64,0)),"Not on roster"))</f>
        <v/>
      </c>
      <c r="D477" s="12" t="str">
        <f>IF(B477="","",IFERROR(INDEX('Cashier Roster'!$D$5:$D$64,MATCH(B477,'Cashier Roster'!$B$5:$B$64,0)),""))</f>
        <v/>
      </c>
      <c r="E477" s="13"/>
      <c r="F477" s="14"/>
      <c r="G477" s="8" t="str">
        <f>IF(OR(B477="",E477=""),"",IF(E477="No","Missed",IF(F477="","",IF(F477&lt;=Settings!$B$7,"On time","Late"))))</f>
        <v/>
      </c>
      <c r="H477" s="15"/>
      <c r="I477" s="16"/>
      <c r="J477" s="16"/>
      <c r="K477" s="17" t="str">
        <f>IF(J477="","",ROUND(J477*Settings!$B$8,2))</f>
        <v/>
      </c>
      <c r="L477" s="16"/>
      <c r="M477" s="8" t="str">
        <f t="shared" si="7"/>
        <v/>
      </c>
      <c r="N477" s="9"/>
    </row>
    <row r="478" spans="1:14" ht="15.75">
      <c r="A478" s="11"/>
      <c r="B478" s="9"/>
      <c r="C478" s="12" t="str">
        <f>IF(B478="","",IFERROR(INDEX('Cashier Roster'!$C$5:$C$64,MATCH(B478,'Cashier Roster'!$B$5:$B$64,0)),"Not on roster"))</f>
        <v/>
      </c>
      <c r="D478" s="12" t="str">
        <f>IF(B478="","",IFERROR(INDEX('Cashier Roster'!$D$5:$D$64,MATCH(B478,'Cashier Roster'!$B$5:$B$64,0)),""))</f>
        <v/>
      </c>
      <c r="E478" s="13"/>
      <c r="F478" s="14"/>
      <c r="G478" s="8" t="str">
        <f>IF(OR(B478="",E478=""),"",IF(E478="No","Missed",IF(F478="","",IF(F478&lt;=Settings!$B$7,"On time","Late"))))</f>
        <v/>
      </c>
      <c r="H478" s="15"/>
      <c r="I478" s="16"/>
      <c r="J478" s="16"/>
      <c r="K478" s="17" t="str">
        <f>IF(J478="","",ROUND(J478*Settings!$B$8,2))</f>
        <v/>
      </c>
      <c r="L478" s="16"/>
      <c r="M478" s="8" t="str">
        <f t="shared" si="7"/>
        <v/>
      </c>
      <c r="N478" s="9"/>
    </row>
    <row r="479" spans="1:14" ht="15.75">
      <c r="A479" s="11"/>
      <c r="B479" s="9"/>
      <c r="C479" s="12" t="str">
        <f>IF(B479="","",IFERROR(INDEX('Cashier Roster'!$C$5:$C$64,MATCH(B479,'Cashier Roster'!$B$5:$B$64,0)),"Not on roster"))</f>
        <v/>
      </c>
      <c r="D479" s="12" t="str">
        <f>IF(B479="","",IFERROR(INDEX('Cashier Roster'!$D$5:$D$64,MATCH(B479,'Cashier Roster'!$B$5:$B$64,0)),""))</f>
        <v/>
      </c>
      <c r="E479" s="13"/>
      <c r="F479" s="14"/>
      <c r="G479" s="8" t="str">
        <f>IF(OR(B479="",E479=""),"",IF(E479="No","Missed",IF(F479="","",IF(F479&lt;=Settings!$B$7,"On time","Late"))))</f>
        <v/>
      </c>
      <c r="H479" s="15"/>
      <c r="I479" s="16"/>
      <c r="J479" s="16"/>
      <c r="K479" s="17" t="str">
        <f>IF(J479="","",ROUND(J479*Settings!$B$8,2))</f>
        <v/>
      </c>
      <c r="L479" s="16"/>
      <c r="M479" s="8" t="str">
        <f t="shared" si="7"/>
        <v/>
      </c>
      <c r="N479" s="9"/>
    </row>
    <row r="480" spans="1:14" ht="15.75">
      <c r="A480" s="11"/>
      <c r="B480" s="9"/>
      <c r="C480" s="12" t="str">
        <f>IF(B480="","",IFERROR(INDEX('Cashier Roster'!$C$5:$C$64,MATCH(B480,'Cashier Roster'!$B$5:$B$64,0)),"Not on roster"))</f>
        <v/>
      </c>
      <c r="D480" s="12" t="str">
        <f>IF(B480="","",IFERROR(INDEX('Cashier Roster'!$D$5:$D$64,MATCH(B480,'Cashier Roster'!$B$5:$B$64,0)),""))</f>
        <v/>
      </c>
      <c r="E480" s="13"/>
      <c r="F480" s="14"/>
      <c r="G480" s="8" t="str">
        <f>IF(OR(B480="",E480=""),"",IF(E480="No","Missed",IF(F480="","",IF(F480&lt;=Settings!$B$7,"On time","Late"))))</f>
        <v/>
      </c>
      <c r="H480" s="15"/>
      <c r="I480" s="16"/>
      <c r="J480" s="16"/>
      <c r="K480" s="17" t="str">
        <f>IF(J480="","",ROUND(J480*Settings!$B$8,2))</f>
        <v/>
      </c>
      <c r="L480" s="16"/>
      <c r="M480" s="8" t="str">
        <f t="shared" si="7"/>
        <v/>
      </c>
      <c r="N480" s="9"/>
    </row>
    <row r="481" spans="1:14" ht="15.75">
      <c r="A481" s="11"/>
      <c r="B481" s="9"/>
      <c r="C481" s="12" t="str">
        <f>IF(B481="","",IFERROR(INDEX('Cashier Roster'!$C$5:$C$64,MATCH(B481,'Cashier Roster'!$B$5:$B$64,0)),"Not on roster"))</f>
        <v/>
      </c>
      <c r="D481" s="12" t="str">
        <f>IF(B481="","",IFERROR(INDEX('Cashier Roster'!$D$5:$D$64,MATCH(B481,'Cashier Roster'!$B$5:$B$64,0)),""))</f>
        <v/>
      </c>
      <c r="E481" s="13"/>
      <c r="F481" s="14"/>
      <c r="G481" s="8" t="str">
        <f>IF(OR(B481="",E481=""),"",IF(E481="No","Missed",IF(F481="","",IF(F481&lt;=Settings!$B$7,"On time","Late"))))</f>
        <v/>
      </c>
      <c r="H481" s="15"/>
      <c r="I481" s="16"/>
      <c r="J481" s="16"/>
      <c r="K481" s="17" t="str">
        <f>IF(J481="","",ROUND(J481*Settings!$B$8,2))</f>
        <v/>
      </c>
      <c r="L481" s="16"/>
      <c r="M481" s="8" t="str">
        <f t="shared" si="7"/>
        <v/>
      </c>
      <c r="N481" s="9"/>
    </row>
    <row r="482" spans="1:14" ht="15.75">
      <c r="A482" s="11"/>
      <c r="B482" s="9"/>
      <c r="C482" s="12" t="str">
        <f>IF(B482="","",IFERROR(INDEX('Cashier Roster'!$C$5:$C$64,MATCH(B482,'Cashier Roster'!$B$5:$B$64,0)),"Not on roster"))</f>
        <v/>
      </c>
      <c r="D482" s="12" t="str">
        <f>IF(B482="","",IFERROR(INDEX('Cashier Roster'!$D$5:$D$64,MATCH(B482,'Cashier Roster'!$B$5:$B$64,0)),""))</f>
        <v/>
      </c>
      <c r="E482" s="13"/>
      <c r="F482" s="14"/>
      <c r="G482" s="8" t="str">
        <f>IF(OR(B482="",E482=""),"",IF(E482="No","Missed",IF(F482="","",IF(F482&lt;=Settings!$B$7,"On time","Late"))))</f>
        <v/>
      </c>
      <c r="H482" s="15"/>
      <c r="I482" s="16"/>
      <c r="J482" s="16"/>
      <c r="K482" s="17" t="str">
        <f>IF(J482="","",ROUND(J482*Settings!$B$8,2))</f>
        <v/>
      </c>
      <c r="L482" s="16"/>
      <c r="M482" s="8" t="str">
        <f t="shared" si="7"/>
        <v/>
      </c>
      <c r="N482" s="9"/>
    </row>
    <row r="483" spans="1:14" ht="15.75">
      <c r="A483" s="11"/>
      <c r="B483" s="9"/>
      <c r="C483" s="12" t="str">
        <f>IF(B483="","",IFERROR(INDEX('Cashier Roster'!$C$5:$C$64,MATCH(B483,'Cashier Roster'!$B$5:$B$64,0)),"Not on roster"))</f>
        <v/>
      </c>
      <c r="D483" s="12" t="str">
        <f>IF(B483="","",IFERROR(INDEX('Cashier Roster'!$D$5:$D$64,MATCH(B483,'Cashier Roster'!$B$5:$B$64,0)),""))</f>
        <v/>
      </c>
      <c r="E483" s="13"/>
      <c r="F483" s="14"/>
      <c r="G483" s="8" t="str">
        <f>IF(OR(B483="",E483=""),"",IF(E483="No","Missed",IF(F483="","",IF(F483&lt;=Settings!$B$7,"On time","Late"))))</f>
        <v/>
      </c>
      <c r="H483" s="15"/>
      <c r="I483" s="16"/>
      <c r="J483" s="16"/>
      <c r="K483" s="17" t="str">
        <f>IF(J483="","",ROUND(J483*Settings!$B$8,2))</f>
        <v/>
      </c>
      <c r="L483" s="16"/>
      <c r="M483" s="8" t="str">
        <f t="shared" si="7"/>
        <v/>
      </c>
      <c r="N483" s="9"/>
    </row>
    <row r="484" spans="1:14" ht="15.75">
      <c r="A484" s="11"/>
      <c r="B484" s="9"/>
      <c r="C484" s="12" t="str">
        <f>IF(B484="","",IFERROR(INDEX('Cashier Roster'!$C$5:$C$64,MATCH(B484,'Cashier Roster'!$B$5:$B$64,0)),"Not on roster"))</f>
        <v/>
      </c>
      <c r="D484" s="12" t="str">
        <f>IF(B484="","",IFERROR(INDEX('Cashier Roster'!$D$5:$D$64,MATCH(B484,'Cashier Roster'!$B$5:$B$64,0)),""))</f>
        <v/>
      </c>
      <c r="E484" s="13"/>
      <c r="F484" s="14"/>
      <c r="G484" s="8" t="str">
        <f>IF(OR(B484="",E484=""),"",IF(E484="No","Missed",IF(F484="","",IF(F484&lt;=Settings!$B$7,"On time","Late"))))</f>
        <v/>
      </c>
      <c r="H484" s="15"/>
      <c r="I484" s="16"/>
      <c r="J484" s="16"/>
      <c r="K484" s="17" t="str">
        <f>IF(J484="","",ROUND(J484*Settings!$B$8,2))</f>
        <v/>
      </c>
      <c r="L484" s="16"/>
      <c r="M484" s="8" t="str">
        <f t="shared" si="7"/>
        <v/>
      </c>
      <c r="N484" s="9"/>
    </row>
    <row r="485" spans="1:14" ht="15.75">
      <c r="A485" s="11"/>
      <c r="B485" s="9"/>
      <c r="C485" s="12" t="str">
        <f>IF(B485="","",IFERROR(INDEX('Cashier Roster'!$C$5:$C$64,MATCH(B485,'Cashier Roster'!$B$5:$B$64,0)),"Not on roster"))</f>
        <v/>
      </c>
      <c r="D485" s="12" t="str">
        <f>IF(B485="","",IFERROR(INDEX('Cashier Roster'!$D$5:$D$64,MATCH(B485,'Cashier Roster'!$B$5:$B$64,0)),""))</f>
        <v/>
      </c>
      <c r="E485" s="13"/>
      <c r="F485" s="14"/>
      <c r="G485" s="8" t="str">
        <f>IF(OR(B485="",E485=""),"",IF(E485="No","Missed",IF(F485="","",IF(F485&lt;=Settings!$B$7,"On time","Late"))))</f>
        <v/>
      </c>
      <c r="H485" s="15"/>
      <c r="I485" s="16"/>
      <c r="J485" s="16"/>
      <c r="K485" s="17" t="str">
        <f>IF(J485="","",ROUND(J485*Settings!$B$8,2))</f>
        <v/>
      </c>
      <c r="L485" s="16"/>
      <c r="M485" s="8" t="str">
        <f t="shared" si="7"/>
        <v/>
      </c>
      <c r="N485" s="9"/>
    </row>
    <row r="486" spans="1:14" ht="15.75">
      <c r="A486" s="11"/>
      <c r="B486" s="9"/>
      <c r="C486" s="12" t="str">
        <f>IF(B486="","",IFERROR(INDEX('Cashier Roster'!$C$5:$C$64,MATCH(B486,'Cashier Roster'!$B$5:$B$64,0)),"Not on roster"))</f>
        <v/>
      </c>
      <c r="D486" s="12" t="str">
        <f>IF(B486="","",IFERROR(INDEX('Cashier Roster'!$D$5:$D$64,MATCH(B486,'Cashier Roster'!$B$5:$B$64,0)),""))</f>
        <v/>
      </c>
      <c r="E486" s="13"/>
      <c r="F486" s="14"/>
      <c r="G486" s="8" t="str">
        <f>IF(OR(B486="",E486=""),"",IF(E486="No","Missed",IF(F486="","",IF(F486&lt;=Settings!$B$7,"On time","Late"))))</f>
        <v/>
      </c>
      <c r="H486" s="15"/>
      <c r="I486" s="16"/>
      <c r="J486" s="16"/>
      <c r="K486" s="17" t="str">
        <f>IF(J486="","",ROUND(J486*Settings!$B$8,2))</f>
        <v/>
      </c>
      <c r="L486" s="16"/>
      <c r="M486" s="8" t="str">
        <f t="shared" si="7"/>
        <v/>
      </c>
      <c r="N486" s="9"/>
    </row>
    <row r="487" spans="1:14" ht="15.75">
      <c r="A487" s="11"/>
      <c r="B487" s="9"/>
      <c r="C487" s="12" t="str">
        <f>IF(B487="","",IFERROR(INDEX('Cashier Roster'!$C$5:$C$64,MATCH(B487,'Cashier Roster'!$B$5:$B$64,0)),"Not on roster"))</f>
        <v/>
      </c>
      <c r="D487" s="12" t="str">
        <f>IF(B487="","",IFERROR(INDEX('Cashier Roster'!$D$5:$D$64,MATCH(B487,'Cashier Roster'!$B$5:$B$64,0)),""))</f>
        <v/>
      </c>
      <c r="E487" s="13"/>
      <c r="F487" s="14"/>
      <c r="G487" s="8" t="str">
        <f>IF(OR(B487="",E487=""),"",IF(E487="No","Missed",IF(F487="","",IF(F487&lt;=Settings!$B$7,"On time","Late"))))</f>
        <v/>
      </c>
      <c r="H487" s="15"/>
      <c r="I487" s="16"/>
      <c r="J487" s="16"/>
      <c r="K487" s="17" t="str">
        <f>IF(J487="","",ROUND(J487*Settings!$B$8,2))</f>
        <v/>
      </c>
      <c r="L487" s="16"/>
      <c r="M487" s="8" t="str">
        <f t="shared" si="7"/>
        <v/>
      </c>
      <c r="N487" s="9"/>
    </row>
    <row r="488" spans="1:14" ht="15.75">
      <c r="A488" s="11"/>
      <c r="B488" s="9"/>
      <c r="C488" s="12" t="str">
        <f>IF(B488="","",IFERROR(INDEX('Cashier Roster'!$C$5:$C$64,MATCH(B488,'Cashier Roster'!$B$5:$B$64,0)),"Not on roster"))</f>
        <v/>
      </c>
      <c r="D488" s="12" t="str">
        <f>IF(B488="","",IFERROR(INDEX('Cashier Roster'!$D$5:$D$64,MATCH(B488,'Cashier Roster'!$B$5:$B$64,0)),""))</f>
        <v/>
      </c>
      <c r="E488" s="13"/>
      <c r="F488" s="14"/>
      <c r="G488" s="8" t="str">
        <f>IF(OR(B488="",E488=""),"",IF(E488="No","Missed",IF(F488="","",IF(F488&lt;=Settings!$B$7,"On time","Late"))))</f>
        <v/>
      </c>
      <c r="H488" s="15"/>
      <c r="I488" s="16"/>
      <c r="J488" s="16"/>
      <c r="K488" s="17" t="str">
        <f>IF(J488="","",ROUND(J488*Settings!$B$8,2))</f>
        <v/>
      </c>
      <c r="L488" s="16"/>
      <c r="M488" s="8" t="str">
        <f t="shared" si="7"/>
        <v/>
      </c>
      <c r="N488" s="9"/>
    </row>
    <row r="489" spans="1:14" ht="15.75">
      <c r="A489" s="11"/>
      <c r="B489" s="9"/>
      <c r="C489" s="12" t="str">
        <f>IF(B489="","",IFERROR(INDEX('Cashier Roster'!$C$5:$C$64,MATCH(B489,'Cashier Roster'!$B$5:$B$64,0)),"Not on roster"))</f>
        <v/>
      </c>
      <c r="D489" s="12" t="str">
        <f>IF(B489="","",IFERROR(INDEX('Cashier Roster'!$D$5:$D$64,MATCH(B489,'Cashier Roster'!$B$5:$B$64,0)),""))</f>
        <v/>
      </c>
      <c r="E489" s="13"/>
      <c r="F489" s="14"/>
      <c r="G489" s="8" t="str">
        <f>IF(OR(B489="",E489=""),"",IF(E489="No","Missed",IF(F489="","",IF(F489&lt;=Settings!$B$7,"On time","Late"))))</f>
        <v/>
      </c>
      <c r="H489" s="15"/>
      <c r="I489" s="16"/>
      <c r="J489" s="16"/>
      <c r="K489" s="17" t="str">
        <f>IF(J489="","",ROUND(J489*Settings!$B$8,2))</f>
        <v/>
      </c>
      <c r="L489" s="16"/>
      <c r="M489" s="8" t="str">
        <f t="shared" si="7"/>
        <v/>
      </c>
      <c r="N489" s="9"/>
    </row>
    <row r="490" spans="1:14" ht="15.75">
      <c r="A490" s="11"/>
      <c r="B490" s="9"/>
      <c r="C490" s="12" t="str">
        <f>IF(B490="","",IFERROR(INDEX('Cashier Roster'!$C$5:$C$64,MATCH(B490,'Cashier Roster'!$B$5:$B$64,0)),"Not on roster"))</f>
        <v/>
      </c>
      <c r="D490" s="12" t="str">
        <f>IF(B490="","",IFERROR(INDEX('Cashier Roster'!$D$5:$D$64,MATCH(B490,'Cashier Roster'!$B$5:$B$64,0)),""))</f>
        <v/>
      </c>
      <c r="E490" s="13"/>
      <c r="F490" s="14"/>
      <c r="G490" s="8" t="str">
        <f>IF(OR(B490="",E490=""),"",IF(E490="No","Missed",IF(F490="","",IF(F490&lt;=Settings!$B$7,"On time","Late"))))</f>
        <v/>
      </c>
      <c r="H490" s="15"/>
      <c r="I490" s="16"/>
      <c r="J490" s="16"/>
      <c r="K490" s="17" t="str">
        <f>IF(J490="","",ROUND(J490*Settings!$B$8,2))</f>
        <v/>
      </c>
      <c r="L490" s="16"/>
      <c r="M490" s="8" t="str">
        <f t="shared" si="7"/>
        <v/>
      </c>
      <c r="N490" s="9"/>
    </row>
    <row r="491" spans="1:14" ht="15.75">
      <c r="A491" s="11"/>
      <c r="B491" s="9"/>
      <c r="C491" s="12" t="str">
        <f>IF(B491="","",IFERROR(INDEX('Cashier Roster'!$C$5:$C$64,MATCH(B491,'Cashier Roster'!$B$5:$B$64,0)),"Not on roster"))</f>
        <v/>
      </c>
      <c r="D491" s="12" t="str">
        <f>IF(B491="","",IFERROR(INDEX('Cashier Roster'!$D$5:$D$64,MATCH(B491,'Cashier Roster'!$B$5:$B$64,0)),""))</f>
        <v/>
      </c>
      <c r="E491" s="13"/>
      <c r="F491" s="14"/>
      <c r="G491" s="8" t="str">
        <f>IF(OR(B491="",E491=""),"",IF(E491="No","Missed",IF(F491="","",IF(F491&lt;=Settings!$B$7,"On time","Late"))))</f>
        <v/>
      </c>
      <c r="H491" s="15"/>
      <c r="I491" s="16"/>
      <c r="J491" s="16"/>
      <c r="K491" s="17" t="str">
        <f>IF(J491="","",ROUND(J491*Settings!$B$8,2))</f>
        <v/>
      </c>
      <c r="L491" s="16"/>
      <c r="M491" s="8" t="str">
        <f t="shared" si="7"/>
        <v/>
      </c>
      <c r="N491" s="9"/>
    </row>
    <row r="492" spans="1:14" ht="15.75">
      <c r="A492" s="11"/>
      <c r="B492" s="9"/>
      <c r="C492" s="12" t="str">
        <f>IF(B492="","",IFERROR(INDEX('Cashier Roster'!$C$5:$C$64,MATCH(B492,'Cashier Roster'!$B$5:$B$64,0)),"Not on roster"))</f>
        <v/>
      </c>
      <c r="D492" s="12" t="str">
        <f>IF(B492="","",IFERROR(INDEX('Cashier Roster'!$D$5:$D$64,MATCH(B492,'Cashier Roster'!$B$5:$B$64,0)),""))</f>
        <v/>
      </c>
      <c r="E492" s="13"/>
      <c r="F492" s="14"/>
      <c r="G492" s="8" t="str">
        <f>IF(OR(B492="",E492=""),"",IF(E492="No","Missed",IF(F492="","",IF(F492&lt;=Settings!$B$7,"On time","Late"))))</f>
        <v/>
      </c>
      <c r="H492" s="15"/>
      <c r="I492" s="16"/>
      <c r="J492" s="16"/>
      <c r="K492" s="17" t="str">
        <f>IF(J492="","",ROUND(J492*Settings!$B$8,2))</f>
        <v/>
      </c>
      <c r="L492" s="16"/>
      <c r="M492" s="8" t="str">
        <f t="shared" si="7"/>
        <v/>
      </c>
      <c r="N492" s="9"/>
    </row>
    <row r="493" spans="1:14" ht="15.75">
      <c r="A493" s="11"/>
      <c r="B493" s="9"/>
      <c r="C493" s="12" t="str">
        <f>IF(B493="","",IFERROR(INDEX('Cashier Roster'!$C$5:$C$64,MATCH(B493,'Cashier Roster'!$B$5:$B$64,0)),"Not on roster"))</f>
        <v/>
      </c>
      <c r="D493" s="12" t="str">
        <f>IF(B493="","",IFERROR(INDEX('Cashier Roster'!$D$5:$D$64,MATCH(B493,'Cashier Roster'!$B$5:$B$64,0)),""))</f>
        <v/>
      </c>
      <c r="E493" s="13"/>
      <c r="F493" s="14"/>
      <c r="G493" s="8" t="str">
        <f>IF(OR(B493="",E493=""),"",IF(E493="No","Missed",IF(F493="","",IF(F493&lt;=Settings!$B$7,"On time","Late"))))</f>
        <v/>
      </c>
      <c r="H493" s="15"/>
      <c r="I493" s="16"/>
      <c r="J493" s="16"/>
      <c r="K493" s="17" t="str">
        <f>IF(J493="","",ROUND(J493*Settings!$B$8,2))</f>
        <v/>
      </c>
      <c r="L493" s="16"/>
      <c r="M493" s="8" t="str">
        <f t="shared" si="7"/>
        <v/>
      </c>
      <c r="N493" s="9"/>
    </row>
    <row r="494" spans="1:14" ht="15.75">
      <c r="A494" s="11"/>
      <c r="B494" s="9"/>
      <c r="C494" s="12" t="str">
        <f>IF(B494="","",IFERROR(INDEX('Cashier Roster'!$C$5:$C$64,MATCH(B494,'Cashier Roster'!$B$5:$B$64,0)),"Not on roster"))</f>
        <v/>
      </c>
      <c r="D494" s="12" t="str">
        <f>IF(B494="","",IFERROR(INDEX('Cashier Roster'!$D$5:$D$64,MATCH(B494,'Cashier Roster'!$B$5:$B$64,0)),""))</f>
        <v/>
      </c>
      <c r="E494" s="13"/>
      <c r="F494" s="14"/>
      <c r="G494" s="8" t="str">
        <f>IF(OR(B494="",E494=""),"",IF(E494="No","Missed",IF(F494="","",IF(F494&lt;=Settings!$B$7,"On time","Late"))))</f>
        <v/>
      </c>
      <c r="H494" s="15"/>
      <c r="I494" s="16"/>
      <c r="J494" s="16"/>
      <c r="K494" s="17" t="str">
        <f>IF(J494="","",ROUND(J494*Settings!$B$8,2))</f>
        <v/>
      </c>
      <c r="L494" s="16"/>
      <c r="M494" s="8" t="str">
        <f t="shared" si="7"/>
        <v/>
      </c>
      <c r="N494" s="9"/>
    </row>
    <row r="495" spans="1:14" ht="15.75">
      <c r="A495" s="11"/>
      <c r="B495" s="9"/>
      <c r="C495" s="12" t="str">
        <f>IF(B495="","",IFERROR(INDEX('Cashier Roster'!$C$5:$C$64,MATCH(B495,'Cashier Roster'!$B$5:$B$64,0)),"Not on roster"))</f>
        <v/>
      </c>
      <c r="D495" s="12" t="str">
        <f>IF(B495="","",IFERROR(INDEX('Cashier Roster'!$D$5:$D$64,MATCH(B495,'Cashier Roster'!$B$5:$B$64,0)),""))</f>
        <v/>
      </c>
      <c r="E495" s="13"/>
      <c r="F495" s="14"/>
      <c r="G495" s="8" t="str">
        <f>IF(OR(B495="",E495=""),"",IF(E495="No","Missed",IF(F495="","",IF(F495&lt;=Settings!$B$7,"On time","Late"))))</f>
        <v/>
      </c>
      <c r="H495" s="15"/>
      <c r="I495" s="16"/>
      <c r="J495" s="16"/>
      <c r="K495" s="17" t="str">
        <f>IF(J495="","",ROUND(J495*Settings!$B$8,2))</f>
        <v/>
      </c>
      <c r="L495" s="16"/>
      <c r="M495" s="8" t="str">
        <f t="shared" si="7"/>
        <v/>
      </c>
      <c r="N495" s="9"/>
    </row>
    <row r="496" spans="1:14" ht="15.75">
      <c r="A496" s="11"/>
      <c r="B496" s="9"/>
      <c r="C496" s="12" t="str">
        <f>IF(B496="","",IFERROR(INDEX('Cashier Roster'!$C$5:$C$64,MATCH(B496,'Cashier Roster'!$B$5:$B$64,0)),"Not on roster"))</f>
        <v/>
      </c>
      <c r="D496" s="12" t="str">
        <f>IF(B496="","",IFERROR(INDEX('Cashier Roster'!$D$5:$D$64,MATCH(B496,'Cashier Roster'!$B$5:$B$64,0)),""))</f>
        <v/>
      </c>
      <c r="E496" s="13"/>
      <c r="F496" s="14"/>
      <c r="G496" s="8" t="str">
        <f>IF(OR(B496="",E496=""),"",IF(E496="No","Missed",IF(F496="","",IF(F496&lt;=Settings!$B$7,"On time","Late"))))</f>
        <v/>
      </c>
      <c r="H496" s="15"/>
      <c r="I496" s="16"/>
      <c r="J496" s="16"/>
      <c r="K496" s="17" t="str">
        <f>IF(J496="","",ROUND(J496*Settings!$B$8,2))</f>
        <v/>
      </c>
      <c r="L496" s="16"/>
      <c r="M496" s="8" t="str">
        <f t="shared" si="7"/>
        <v/>
      </c>
      <c r="N496" s="9"/>
    </row>
    <row r="497" spans="1:14" ht="15.75">
      <c r="A497" s="11"/>
      <c r="B497" s="9"/>
      <c r="C497" s="12" t="str">
        <f>IF(B497="","",IFERROR(INDEX('Cashier Roster'!$C$5:$C$64,MATCH(B497,'Cashier Roster'!$B$5:$B$64,0)),"Not on roster"))</f>
        <v/>
      </c>
      <c r="D497" s="12" t="str">
        <f>IF(B497="","",IFERROR(INDEX('Cashier Roster'!$D$5:$D$64,MATCH(B497,'Cashier Roster'!$B$5:$B$64,0)),""))</f>
        <v/>
      </c>
      <c r="E497" s="13"/>
      <c r="F497" s="14"/>
      <c r="G497" s="8" t="str">
        <f>IF(OR(B497="",E497=""),"",IF(E497="No","Missed",IF(F497="","",IF(F497&lt;=Settings!$B$7,"On time","Late"))))</f>
        <v/>
      </c>
      <c r="H497" s="15"/>
      <c r="I497" s="16"/>
      <c r="J497" s="16"/>
      <c r="K497" s="17" t="str">
        <f>IF(J497="","",ROUND(J497*Settings!$B$8,2))</f>
        <v/>
      </c>
      <c r="L497" s="16"/>
      <c r="M497" s="8" t="str">
        <f t="shared" si="7"/>
        <v/>
      </c>
      <c r="N497" s="9"/>
    </row>
    <row r="498" spans="1:14" ht="15.75">
      <c r="A498" s="11"/>
      <c r="B498" s="9"/>
      <c r="C498" s="12" t="str">
        <f>IF(B498="","",IFERROR(INDEX('Cashier Roster'!$C$5:$C$64,MATCH(B498,'Cashier Roster'!$B$5:$B$64,0)),"Not on roster"))</f>
        <v/>
      </c>
      <c r="D498" s="12" t="str">
        <f>IF(B498="","",IFERROR(INDEX('Cashier Roster'!$D$5:$D$64,MATCH(B498,'Cashier Roster'!$B$5:$B$64,0)),""))</f>
        <v/>
      </c>
      <c r="E498" s="13"/>
      <c r="F498" s="14"/>
      <c r="G498" s="8" t="str">
        <f>IF(OR(B498="",E498=""),"",IF(E498="No","Missed",IF(F498="","",IF(F498&lt;=Settings!$B$7,"On time","Late"))))</f>
        <v/>
      </c>
      <c r="H498" s="15"/>
      <c r="I498" s="16"/>
      <c r="J498" s="16"/>
      <c r="K498" s="17" t="str">
        <f>IF(J498="","",ROUND(J498*Settings!$B$8,2))</f>
        <v/>
      </c>
      <c r="L498" s="16"/>
      <c r="M498" s="8" t="str">
        <f t="shared" si="7"/>
        <v/>
      </c>
      <c r="N498" s="9"/>
    </row>
    <row r="499" spans="1:14" ht="15.75">
      <c r="A499" s="11"/>
      <c r="B499" s="9"/>
      <c r="C499" s="12" t="str">
        <f>IF(B499="","",IFERROR(INDEX('Cashier Roster'!$C$5:$C$64,MATCH(B499,'Cashier Roster'!$B$5:$B$64,0)),"Not on roster"))</f>
        <v/>
      </c>
      <c r="D499" s="12" t="str">
        <f>IF(B499="","",IFERROR(INDEX('Cashier Roster'!$D$5:$D$64,MATCH(B499,'Cashier Roster'!$B$5:$B$64,0)),""))</f>
        <v/>
      </c>
      <c r="E499" s="13"/>
      <c r="F499" s="14"/>
      <c r="G499" s="8" t="str">
        <f>IF(OR(B499="",E499=""),"",IF(E499="No","Missed",IF(F499="","",IF(F499&lt;=Settings!$B$7,"On time","Late"))))</f>
        <v/>
      </c>
      <c r="H499" s="15"/>
      <c r="I499" s="16"/>
      <c r="J499" s="16"/>
      <c r="K499" s="17" t="str">
        <f>IF(J499="","",ROUND(J499*Settings!$B$8,2))</f>
        <v/>
      </c>
      <c r="L499" s="16"/>
      <c r="M499" s="8" t="str">
        <f t="shared" si="7"/>
        <v/>
      </c>
      <c r="N499" s="9"/>
    </row>
    <row r="500" spans="1:14" ht="15.75">
      <c r="A500" s="11"/>
      <c r="B500" s="9"/>
      <c r="C500" s="12" t="str">
        <f>IF(B500="","",IFERROR(INDEX('Cashier Roster'!$C$5:$C$64,MATCH(B500,'Cashier Roster'!$B$5:$B$64,0)),"Not on roster"))</f>
        <v/>
      </c>
      <c r="D500" s="12" t="str">
        <f>IF(B500="","",IFERROR(INDEX('Cashier Roster'!$D$5:$D$64,MATCH(B500,'Cashier Roster'!$B$5:$B$64,0)),""))</f>
        <v/>
      </c>
      <c r="E500" s="13"/>
      <c r="F500" s="14"/>
      <c r="G500" s="8" t="str">
        <f>IF(OR(B500="",E500=""),"",IF(E500="No","Missed",IF(F500="","",IF(F500&lt;=Settings!$B$7,"On time","Late"))))</f>
        <v/>
      </c>
      <c r="H500" s="15"/>
      <c r="I500" s="16"/>
      <c r="J500" s="16"/>
      <c r="K500" s="17" t="str">
        <f>IF(J500="","",ROUND(J500*Settings!$B$8,2))</f>
        <v/>
      </c>
      <c r="L500" s="16"/>
      <c r="M500" s="8" t="str">
        <f t="shared" si="7"/>
        <v/>
      </c>
      <c r="N500" s="9"/>
    </row>
    <row r="501" spans="1:14" ht="15.75">
      <c r="A501" s="11"/>
      <c r="B501" s="9"/>
      <c r="C501" s="12" t="str">
        <f>IF(B501="","",IFERROR(INDEX('Cashier Roster'!$C$5:$C$64,MATCH(B501,'Cashier Roster'!$B$5:$B$64,0)),"Not on roster"))</f>
        <v/>
      </c>
      <c r="D501" s="12" t="str">
        <f>IF(B501="","",IFERROR(INDEX('Cashier Roster'!$D$5:$D$64,MATCH(B501,'Cashier Roster'!$B$5:$B$64,0)),""))</f>
        <v/>
      </c>
      <c r="E501" s="13"/>
      <c r="F501" s="14"/>
      <c r="G501" s="8" t="str">
        <f>IF(OR(B501="",E501=""),"",IF(E501="No","Missed",IF(F501="","",IF(F501&lt;=Settings!$B$7,"On time","Late"))))</f>
        <v/>
      </c>
      <c r="H501" s="15"/>
      <c r="I501" s="16"/>
      <c r="J501" s="16"/>
      <c r="K501" s="17" t="str">
        <f>IF(J501="","",ROUND(J501*Settings!$B$8,2))</f>
        <v/>
      </c>
      <c r="L501" s="16"/>
      <c r="M501" s="8" t="str">
        <f t="shared" si="7"/>
        <v/>
      </c>
      <c r="N501" s="9"/>
    </row>
    <row r="502" spans="1:14" ht="15.75">
      <c r="A502" s="11"/>
      <c r="B502" s="9"/>
      <c r="C502" s="12" t="str">
        <f>IF(B502="","",IFERROR(INDEX('Cashier Roster'!$C$5:$C$64,MATCH(B502,'Cashier Roster'!$B$5:$B$64,0)),"Not on roster"))</f>
        <v/>
      </c>
      <c r="D502" s="12" t="str">
        <f>IF(B502="","",IFERROR(INDEX('Cashier Roster'!$D$5:$D$64,MATCH(B502,'Cashier Roster'!$B$5:$B$64,0)),""))</f>
        <v/>
      </c>
      <c r="E502" s="13"/>
      <c r="F502" s="14"/>
      <c r="G502" s="8" t="str">
        <f>IF(OR(B502="",E502=""),"",IF(E502="No","Missed",IF(F502="","",IF(F502&lt;=Settings!$B$7,"On time","Late"))))</f>
        <v/>
      </c>
      <c r="H502" s="15"/>
      <c r="I502" s="16"/>
      <c r="J502" s="16"/>
      <c r="K502" s="17" t="str">
        <f>IF(J502="","",ROUND(J502*Settings!$B$8,2))</f>
        <v/>
      </c>
      <c r="L502" s="16"/>
      <c r="M502" s="8" t="str">
        <f t="shared" si="7"/>
        <v/>
      </c>
      <c r="N502" s="9"/>
    </row>
    <row r="503" spans="1:14" ht="15.75">
      <c r="A503" s="11"/>
      <c r="B503" s="9"/>
      <c r="C503" s="12" t="str">
        <f>IF(B503="","",IFERROR(INDEX('Cashier Roster'!$C$5:$C$64,MATCH(B503,'Cashier Roster'!$B$5:$B$64,0)),"Not on roster"))</f>
        <v/>
      </c>
      <c r="D503" s="12" t="str">
        <f>IF(B503="","",IFERROR(INDEX('Cashier Roster'!$D$5:$D$64,MATCH(B503,'Cashier Roster'!$B$5:$B$64,0)),""))</f>
        <v/>
      </c>
      <c r="E503" s="13"/>
      <c r="F503" s="14"/>
      <c r="G503" s="8" t="str">
        <f>IF(OR(B503="",E503=""),"",IF(E503="No","Missed",IF(F503="","",IF(F503&lt;=Settings!$B$7,"On time","Late"))))</f>
        <v/>
      </c>
      <c r="H503" s="15"/>
      <c r="I503" s="16"/>
      <c r="J503" s="16"/>
      <c r="K503" s="17" t="str">
        <f>IF(J503="","",ROUND(J503*Settings!$B$8,2))</f>
        <v/>
      </c>
      <c r="L503" s="16"/>
      <c r="M503" s="8" t="str">
        <f t="shared" si="7"/>
        <v/>
      </c>
      <c r="N503" s="9"/>
    </row>
    <row r="504" spans="1:14" ht="15.75">
      <c r="A504" s="11"/>
      <c r="B504" s="9"/>
      <c r="C504" s="12" t="str">
        <f>IF(B504="","",IFERROR(INDEX('Cashier Roster'!$C$5:$C$64,MATCH(B504,'Cashier Roster'!$B$5:$B$64,0)),"Not on roster"))</f>
        <v/>
      </c>
      <c r="D504" s="12" t="str">
        <f>IF(B504="","",IFERROR(INDEX('Cashier Roster'!$D$5:$D$64,MATCH(B504,'Cashier Roster'!$B$5:$B$64,0)),""))</f>
        <v/>
      </c>
      <c r="E504" s="13"/>
      <c r="F504" s="14"/>
      <c r="G504" s="8" t="str">
        <f>IF(OR(B504="",E504=""),"",IF(E504="No","Missed",IF(F504="","",IF(F504&lt;=Settings!$B$7,"On time","Late"))))</f>
        <v/>
      </c>
      <c r="H504" s="15"/>
      <c r="I504" s="16"/>
      <c r="J504" s="16"/>
      <c r="K504" s="17" t="str">
        <f>IF(J504="","",ROUND(J504*Settings!$B$8,2))</f>
        <v/>
      </c>
      <c r="L504" s="16"/>
      <c r="M504" s="8" t="str">
        <f t="shared" si="7"/>
        <v/>
      </c>
      <c r="N504" s="9"/>
    </row>
    <row r="505" spans="1:14" ht="15.75">
      <c r="A505" s="11"/>
      <c r="B505" s="9"/>
      <c r="C505" s="12" t="str">
        <f>IF(B505="","",IFERROR(INDEX('Cashier Roster'!$C$5:$C$64,MATCH(B505,'Cashier Roster'!$B$5:$B$64,0)),"Not on roster"))</f>
        <v/>
      </c>
      <c r="D505" s="12" t="str">
        <f>IF(B505="","",IFERROR(INDEX('Cashier Roster'!$D$5:$D$64,MATCH(B505,'Cashier Roster'!$B$5:$B$64,0)),""))</f>
        <v/>
      </c>
      <c r="E505" s="13"/>
      <c r="F505" s="14"/>
      <c r="G505" s="8" t="str">
        <f>IF(OR(B505="",E505=""),"",IF(E505="No","Missed",IF(F505="","",IF(F505&lt;=Settings!$B$7,"On time","Late"))))</f>
        <v/>
      </c>
      <c r="H505" s="15"/>
      <c r="I505" s="16"/>
      <c r="J505" s="16"/>
      <c r="K505" s="17" t="str">
        <f>IF(J505="","",ROUND(J505*Settings!$B$8,2))</f>
        <v/>
      </c>
      <c r="L505" s="16"/>
      <c r="M505" s="8" t="str">
        <f t="shared" si="7"/>
        <v/>
      </c>
      <c r="N505" s="9"/>
    </row>
    <row r="506" spans="1:14" ht="15.75">
      <c r="A506" s="11"/>
      <c r="B506" s="9"/>
      <c r="C506" s="12" t="str">
        <f>IF(B506="","",IFERROR(INDEX('Cashier Roster'!$C$5:$C$64,MATCH(B506,'Cashier Roster'!$B$5:$B$64,0)),"Not on roster"))</f>
        <v/>
      </c>
      <c r="D506" s="12" t="str">
        <f>IF(B506="","",IFERROR(INDEX('Cashier Roster'!$D$5:$D$64,MATCH(B506,'Cashier Roster'!$B$5:$B$64,0)),""))</f>
        <v/>
      </c>
      <c r="E506" s="13"/>
      <c r="F506" s="14"/>
      <c r="G506" s="8" t="str">
        <f>IF(OR(B506="",E506=""),"",IF(E506="No","Missed",IF(F506="","",IF(F506&lt;=Settings!$B$7,"On time","Late"))))</f>
        <v/>
      </c>
      <c r="H506" s="15"/>
      <c r="I506" s="16"/>
      <c r="J506" s="16"/>
      <c r="K506" s="17" t="str">
        <f>IF(J506="","",ROUND(J506*Settings!$B$8,2))</f>
        <v/>
      </c>
      <c r="L506" s="16"/>
      <c r="M506" s="8" t="str">
        <f t="shared" si="7"/>
        <v/>
      </c>
      <c r="N506" s="9"/>
    </row>
    <row r="507" spans="1:14" ht="15.75">
      <c r="A507" s="11"/>
      <c r="B507" s="9"/>
      <c r="C507" s="12" t="str">
        <f>IF(B507="","",IFERROR(INDEX('Cashier Roster'!$C$5:$C$64,MATCH(B507,'Cashier Roster'!$B$5:$B$64,0)),"Not on roster"))</f>
        <v/>
      </c>
      <c r="D507" s="12" t="str">
        <f>IF(B507="","",IFERROR(INDEX('Cashier Roster'!$D$5:$D$64,MATCH(B507,'Cashier Roster'!$B$5:$B$64,0)),""))</f>
        <v/>
      </c>
      <c r="E507" s="13"/>
      <c r="F507" s="14"/>
      <c r="G507" s="8" t="str">
        <f>IF(OR(B507="",E507=""),"",IF(E507="No","Missed",IF(F507="","",IF(F507&lt;=Settings!$B$7,"On time","Late"))))</f>
        <v/>
      </c>
      <c r="H507" s="15"/>
      <c r="I507" s="16"/>
      <c r="J507" s="16"/>
      <c r="K507" s="17" t="str">
        <f>IF(J507="","",ROUND(J507*Settings!$B$8,2))</f>
        <v/>
      </c>
      <c r="L507" s="16"/>
      <c r="M507" s="8" t="str">
        <f t="shared" si="7"/>
        <v/>
      </c>
      <c r="N507" s="9"/>
    </row>
    <row r="508" spans="1:14" ht="15.75">
      <c r="A508" s="11"/>
      <c r="B508" s="9"/>
      <c r="C508" s="12" t="str">
        <f>IF(B508="","",IFERROR(INDEX('Cashier Roster'!$C$5:$C$64,MATCH(B508,'Cashier Roster'!$B$5:$B$64,0)),"Not on roster"))</f>
        <v/>
      </c>
      <c r="D508" s="12" t="str">
        <f>IF(B508="","",IFERROR(INDEX('Cashier Roster'!$D$5:$D$64,MATCH(B508,'Cashier Roster'!$B$5:$B$64,0)),""))</f>
        <v/>
      </c>
      <c r="E508" s="13"/>
      <c r="F508" s="14"/>
      <c r="G508" s="8" t="str">
        <f>IF(OR(B508="",E508=""),"",IF(E508="No","Missed",IF(F508="","",IF(F508&lt;=Settings!$B$7,"On time","Late"))))</f>
        <v/>
      </c>
      <c r="H508" s="15"/>
      <c r="I508" s="16"/>
      <c r="J508" s="16"/>
      <c r="K508" s="17" t="str">
        <f>IF(J508="","",ROUND(J508*Settings!$B$8,2))</f>
        <v/>
      </c>
      <c r="L508" s="16"/>
      <c r="M508" s="8" t="str">
        <f t="shared" si="7"/>
        <v/>
      </c>
      <c r="N508" s="9"/>
    </row>
    <row r="509" spans="1:14" ht="15.75">
      <c r="A509" s="11"/>
      <c r="B509" s="9"/>
      <c r="C509" s="12" t="str">
        <f>IF(B509="","",IFERROR(INDEX('Cashier Roster'!$C$5:$C$64,MATCH(B509,'Cashier Roster'!$B$5:$B$64,0)),"Not on roster"))</f>
        <v/>
      </c>
      <c r="D509" s="12" t="str">
        <f>IF(B509="","",IFERROR(INDEX('Cashier Roster'!$D$5:$D$64,MATCH(B509,'Cashier Roster'!$B$5:$B$64,0)),""))</f>
        <v/>
      </c>
      <c r="E509" s="13"/>
      <c r="F509" s="14"/>
      <c r="G509" s="8" t="str">
        <f>IF(OR(B509="",E509=""),"",IF(E509="No","Missed",IF(F509="","",IF(F509&lt;=Settings!$B$7,"On time","Late"))))</f>
        <v/>
      </c>
      <c r="H509" s="15"/>
      <c r="I509" s="16"/>
      <c r="J509" s="16"/>
      <c r="K509" s="17" t="str">
        <f>IF(J509="","",ROUND(J509*Settings!$B$8,2))</f>
        <v/>
      </c>
      <c r="L509" s="16"/>
      <c r="M509" s="8" t="str">
        <f t="shared" si="7"/>
        <v/>
      </c>
      <c r="N509" s="9"/>
    </row>
    <row r="510" spans="1:14" ht="15.75">
      <c r="A510" s="11"/>
      <c r="B510" s="9"/>
      <c r="C510" s="12" t="str">
        <f>IF(B510="","",IFERROR(INDEX('Cashier Roster'!$C$5:$C$64,MATCH(B510,'Cashier Roster'!$B$5:$B$64,0)),"Not on roster"))</f>
        <v/>
      </c>
      <c r="D510" s="12" t="str">
        <f>IF(B510="","",IFERROR(INDEX('Cashier Roster'!$D$5:$D$64,MATCH(B510,'Cashier Roster'!$B$5:$B$64,0)),""))</f>
        <v/>
      </c>
      <c r="E510" s="13"/>
      <c r="F510" s="14"/>
      <c r="G510" s="8" t="str">
        <f>IF(OR(B510="",E510=""),"",IF(E510="No","Missed",IF(F510="","",IF(F510&lt;=Settings!$B$7,"On time","Late"))))</f>
        <v/>
      </c>
      <c r="H510" s="15"/>
      <c r="I510" s="16"/>
      <c r="J510" s="16"/>
      <c r="K510" s="17" t="str">
        <f>IF(J510="","",ROUND(J510*Settings!$B$8,2))</f>
        <v/>
      </c>
      <c r="L510" s="16"/>
      <c r="M510" s="8" t="str">
        <f t="shared" si="7"/>
        <v/>
      </c>
      <c r="N510" s="9"/>
    </row>
    <row r="511" spans="1:14" ht="15.75">
      <c r="A511" s="11"/>
      <c r="B511" s="9"/>
      <c r="C511" s="12" t="str">
        <f>IF(B511="","",IFERROR(INDEX('Cashier Roster'!$C$5:$C$64,MATCH(B511,'Cashier Roster'!$B$5:$B$64,0)),"Not on roster"))</f>
        <v/>
      </c>
      <c r="D511" s="12" t="str">
        <f>IF(B511="","",IFERROR(INDEX('Cashier Roster'!$D$5:$D$64,MATCH(B511,'Cashier Roster'!$B$5:$B$64,0)),""))</f>
        <v/>
      </c>
      <c r="E511" s="13"/>
      <c r="F511" s="14"/>
      <c r="G511" s="8" t="str">
        <f>IF(OR(B511="",E511=""),"",IF(E511="No","Missed",IF(F511="","",IF(F511&lt;=Settings!$B$7,"On time","Late"))))</f>
        <v/>
      </c>
      <c r="H511" s="15"/>
      <c r="I511" s="16"/>
      <c r="J511" s="16"/>
      <c r="K511" s="17" t="str">
        <f>IF(J511="","",ROUND(J511*Settings!$B$8,2))</f>
        <v/>
      </c>
      <c r="L511" s="16"/>
      <c r="M511" s="8" t="str">
        <f t="shared" si="7"/>
        <v/>
      </c>
      <c r="N511" s="9"/>
    </row>
    <row r="512" spans="1:14" ht="15.75">
      <c r="A512" s="11"/>
      <c r="B512" s="9"/>
      <c r="C512" s="12" t="str">
        <f>IF(B512="","",IFERROR(INDEX('Cashier Roster'!$C$5:$C$64,MATCH(B512,'Cashier Roster'!$B$5:$B$64,0)),"Not on roster"))</f>
        <v/>
      </c>
      <c r="D512" s="12" t="str">
        <f>IF(B512="","",IFERROR(INDEX('Cashier Roster'!$D$5:$D$64,MATCH(B512,'Cashier Roster'!$B$5:$B$64,0)),""))</f>
        <v/>
      </c>
      <c r="E512" s="13"/>
      <c r="F512" s="14"/>
      <c r="G512" s="8" t="str">
        <f>IF(OR(B512="",E512=""),"",IF(E512="No","Missed",IF(F512="","",IF(F512&lt;=Settings!$B$7,"On time","Late"))))</f>
        <v/>
      </c>
      <c r="H512" s="15"/>
      <c r="I512" s="16"/>
      <c r="J512" s="16"/>
      <c r="K512" s="17" t="str">
        <f>IF(J512="","",ROUND(J512*Settings!$B$8,2))</f>
        <v/>
      </c>
      <c r="L512" s="16"/>
      <c r="M512" s="8" t="str">
        <f t="shared" si="7"/>
        <v/>
      </c>
      <c r="N512" s="9"/>
    </row>
    <row r="513" spans="1:14" ht="15.75">
      <c r="A513" s="11"/>
      <c r="B513" s="9"/>
      <c r="C513" s="12" t="str">
        <f>IF(B513="","",IFERROR(INDEX('Cashier Roster'!$C$5:$C$64,MATCH(B513,'Cashier Roster'!$B$5:$B$64,0)),"Not on roster"))</f>
        <v/>
      </c>
      <c r="D513" s="12" t="str">
        <f>IF(B513="","",IFERROR(INDEX('Cashier Roster'!$D$5:$D$64,MATCH(B513,'Cashier Roster'!$B$5:$B$64,0)),""))</f>
        <v/>
      </c>
      <c r="E513" s="13"/>
      <c r="F513" s="14"/>
      <c r="G513" s="8" t="str">
        <f>IF(OR(B513="",E513=""),"",IF(E513="No","Missed",IF(F513="","",IF(F513&lt;=Settings!$B$7,"On time","Late"))))</f>
        <v/>
      </c>
      <c r="H513" s="15"/>
      <c r="I513" s="16"/>
      <c r="J513" s="16"/>
      <c r="K513" s="17" t="str">
        <f>IF(J513="","",ROUND(J513*Settings!$B$8,2))</f>
        <v/>
      </c>
      <c r="L513" s="16"/>
      <c r="M513" s="8" t="str">
        <f t="shared" si="7"/>
        <v/>
      </c>
      <c r="N513" s="9"/>
    </row>
    <row r="514" spans="1:14" ht="15.75">
      <c r="A514" s="11"/>
      <c r="B514" s="9"/>
      <c r="C514" s="12" t="str">
        <f>IF(B514="","",IFERROR(INDEX('Cashier Roster'!$C$5:$C$64,MATCH(B514,'Cashier Roster'!$B$5:$B$64,0)),"Not on roster"))</f>
        <v/>
      </c>
      <c r="D514" s="12" t="str">
        <f>IF(B514="","",IFERROR(INDEX('Cashier Roster'!$D$5:$D$64,MATCH(B514,'Cashier Roster'!$B$5:$B$64,0)),""))</f>
        <v/>
      </c>
      <c r="E514" s="13"/>
      <c r="F514" s="14"/>
      <c r="G514" s="8" t="str">
        <f>IF(OR(B514="",E514=""),"",IF(E514="No","Missed",IF(F514="","",IF(F514&lt;=Settings!$B$7,"On time","Late"))))</f>
        <v/>
      </c>
      <c r="H514" s="15"/>
      <c r="I514" s="16"/>
      <c r="J514" s="16"/>
      <c r="K514" s="17" t="str">
        <f>IF(J514="","",ROUND(J514*Settings!$B$8,2))</f>
        <v/>
      </c>
      <c r="L514" s="16"/>
      <c r="M514" s="8" t="str">
        <f t="shared" si="7"/>
        <v/>
      </c>
      <c r="N514" s="9"/>
    </row>
    <row r="515" spans="1:14" ht="15.75">
      <c r="A515" s="11"/>
      <c r="B515" s="9"/>
      <c r="C515" s="12" t="str">
        <f>IF(B515="","",IFERROR(INDEX('Cashier Roster'!$C$5:$C$64,MATCH(B515,'Cashier Roster'!$B$5:$B$64,0)),"Not on roster"))</f>
        <v/>
      </c>
      <c r="D515" s="12" t="str">
        <f>IF(B515="","",IFERROR(INDEX('Cashier Roster'!$D$5:$D$64,MATCH(B515,'Cashier Roster'!$B$5:$B$64,0)),""))</f>
        <v/>
      </c>
      <c r="E515" s="13"/>
      <c r="F515" s="14"/>
      <c r="G515" s="8" t="str">
        <f>IF(OR(B515="",E515=""),"",IF(E515="No","Missed",IF(F515="","",IF(F515&lt;=Settings!$B$7,"On time","Late"))))</f>
        <v/>
      </c>
      <c r="H515" s="15"/>
      <c r="I515" s="16"/>
      <c r="J515" s="16"/>
      <c r="K515" s="17" t="str">
        <f>IF(J515="","",ROUND(J515*Settings!$B$8,2))</f>
        <v/>
      </c>
      <c r="L515" s="16"/>
      <c r="M515" s="8" t="str">
        <f t="shared" si="7"/>
        <v/>
      </c>
      <c r="N515" s="9"/>
    </row>
    <row r="516" spans="1:14" ht="15.75">
      <c r="A516" s="11"/>
      <c r="B516" s="9"/>
      <c r="C516" s="12" t="str">
        <f>IF(B516="","",IFERROR(INDEX('Cashier Roster'!$C$5:$C$64,MATCH(B516,'Cashier Roster'!$B$5:$B$64,0)),"Not on roster"))</f>
        <v/>
      </c>
      <c r="D516" s="12" t="str">
        <f>IF(B516="","",IFERROR(INDEX('Cashier Roster'!$D$5:$D$64,MATCH(B516,'Cashier Roster'!$B$5:$B$64,0)),""))</f>
        <v/>
      </c>
      <c r="E516" s="13"/>
      <c r="F516" s="14"/>
      <c r="G516" s="8" t="str">
        <f>IF(OR(B516="",E516=""),"",IF(E516="No","Missed",IF(F516="","",IF(F516&lt;=Settings!$B$7,"On time","Late"))))</f>
        <v/>
      </c>
      <c r="H516" s="15"/>
      <c r="I516" s="16"/>
      <c r="J516" s="16"/>
      <c r="K516" s="17" t="str">
        <f>IF(J516="","",ROUND(J516*Settings!$B$8,2))</f>
        <v/>
      </c>
      <c r="L516" s="16"/>
      <c r="M516" s="8" t="str">
        <f t="shared" si="7"/>
        <v/>
      </c>
      <c r="N516" s="9"/>
    </row>
    <row r="517" spans="1:14" ht="15.75">
      <c r="A517" s="11"/>
      <c r="B517" s="9"/>
      <c r="C517" s="12" t="str">
        <f>IF(B517="","",IFERROR(INDEX('Cashier Roster'!$C$5:$C$64,MATCH(B517,'Cashier Roster'!$B$5:$B$64,0)),"Not on roster"))</f>
        <v/>
      </c>
      <c r="D517" s="12" t="str">
        <f>IF(B517="","",IFERROR(INDEX('Cashier Roster'!$D$5:$D$64,MATCH(B517,'Cashier Roster'!$B$5:$B$64,0)),""))</f>
        <v/>
      </c>
      <c r="E517" s="13"/>
      <c r="F517" s="14"/>
      <c r="G517" s="8" t="str">
        <f>IF(OR(B517="",E517=""),"",IF(E517="No","Missed",IF(F517="","",IF(F517&lt;=Settings!$B$7,"On time","Late"))))</f>
        <v/>
      </c>
      <c r="H517" s="15"/>
      <c r="I517" s="16"/>
      <c r="J517" s="16"/>
      <c r="K517" s="17" t="str">
        <f>IF(J517="","",ROUND(J517*Settings!$B$8,2))</f>
        <v/>
      </c>
      <c r="L517" s="16"/>
      <c r="M517" s="8" t="str">
        <f t="shared" ref="M517:M580" si="8">IF(L517="","",IF(L517&lt;=0,"Yes","No"))</f>
        <v/>
      </c>
      <c r="N517" s="9"/>
    </row>
    <row r="518" spans="1:14" ht="15.75">
      <c r="A518" s="11"/>
      <c r="B518" s="9"/>
      <c r="C518" s="12" t="str">
        <f>IF(B518="","",IFERROR(INDEX('Cashier Roster'!$C$5:$C$64,MATCH(B518,'Cashier Roster'!$B$5:$B$64,0)),"Not on roster"))</f>
        <v/>
      </c>
      <c r="D518" s="12" t="str">
        <f>IF(B518="","",IFERROR(INDEX('Cashier Roster'!$D$5:$D$64,MATCH(B518,'Cashier Roster'!$B$5:$B$64,0)),""))</f>
        <v/>
      </c>
      <c r="E518" s="13"/>
      <c r="F518" s="14"/>
      <c r="G518" s="8" t="str">
        <f>IF(OR(B518="",E518=""),"",IF(E518="No","Missed",IF(F518="","",IF(F518&lt;=Settings!$B$7,"On time","Late"))))</f>
        <v/>
      </c>
      <c r="H518" s="15"/>
      <c r="I518" s="16"/>
      <c r="J518" s="16"/>
      <c r="K518" s="17" t="str">
        <f>IF(J518="","",ROUND(J518*Settings!$B$8,2))</f>
        <v/>
      </c>
      <c r="L518" s="16"/>
      <c r="M518" s="8" t="str">
        <f t="shared" si="8"/>
        <v/>
      </c>
      <c r="N518" s="9"/>
    </row>
    <row r="519" spans="1:14" ht="15.75">
      <c r="A519" s="11"/>
      <c r="B519" s="9"/>
      <c r="C519" s="12" t="str">
        <f>IF(B519="","",IFERROR(INDEX('Cashier Roster'!$C$5:$C$64,MATCH(B519,'Cashier Roster'!$B$5:$B$64,0)),"Not on roster"))</f>
        <v/>
      </c>
      <c r="D519" s="12" t="str">
        <f>IF(B519="","",IFERROR(INDEX('Cashier Roster'!$D$5:$D$64,MATCH(B519,'Cashier Roster'!$B$5:$B$64,0)),""))</f>
        <v/>
      </c>
      <c r="E519" s="13"/>
      <c r="F519" s="14"/>
      <c r="G519" s="8" t="str">
        <f>IF(OR(B519="",E519=""),"",IF(E519="No","Missed",IF(F519="","",IF(F519&lt;=Settings!$B$7,"On time","Late"))))</f>
        <v/>
      </c>
      <c r="H519" s="15"/>
      <c r="I519" s="16"/>
      <c r="J519" s="16"/>
      <c r="K519" s="17" t="str">
        <f>IF(J519="","",ROUND(J519*Settings!$B$8,2))</f>
        <v/>
      </c>
      <c r="L519" s="16"/>
      <c r="M519" s="8" t="str">
        <f t="shared" si="8"/>
        <v/>
      </c>
      <c r="N519" s="9"/>
    </row>
    <row r="520" spans="1:14" ht="15.75">
      <c r="A520" s="11"/>
      <c r="B520" s="9"/>
      <c r="C520" s="12" t="str">
        <f>IF(B520="","",IFERROR(INDEX('Cashier Roster'!$C$5:$C$64,MATCH(B520,'Cashier Roster'!$B$5:$B$64,0)),"Not on roster"))</f>
        <v/>
      </c>
      <c r="D520" s="12" t="str">
        <f>IF(B520="","",IFERROR(INDEX('Cashier Roster'!$D$5:$D$64,MATCH(B520,'Cashier Roster'!$B$5:$B$64,0)),""))</f>
        <v/>
      </c>
      <c r="E520" s="13"/>
      <c r="F520" s="14"/>
      <c r="G520" s="8" t="str">
        <f>IF(OR(B520="",E520=""),"",IF(E520="No","Missed",IF(F520="","",IF(F520&lt;=Settings!$B$7,"On time","Late"))))</f>
        <v/>
      </c>
      <c r="H520" s="15"/>
      <c r="I520" s="16"/>
      <c r="J520" s="16"/>
      <c r="K520" s="17" t="str">
        <f>IF(J520="","",ROUND(J520*Settings!$B$8,2))</f>
        <v/>
      </c>
      <c r="L520" s="16"/>
      <c r="M520" s="8" t="str">
        <f t="shared" si="8"/>
        <v/>
      </c>
      <c r="N520" s="9"/>
    </row>
    <row r="521" spans="1:14" ht="15.75">
      <c r="A521" s="11"/>
      <c r="B521" s="9"/>
      <c r="C521" s="12" t="str">
        <f>IF(B521="","",IFERROR(INDEX('Cashier Roster'!$C$5:$C$64,MATCH(B521,'Cashier Roster'!$B$5:$B$64,0)),"Not on roster"))</f>
        <v/>
      </c>
      <c r="D521" s="12" t="str">
        <f>IF(B521="","",IFERROR(INDEX('Cashier Roster'!$D$5:$D$64,MATCH(B521,'Cashier Roster'!$B$5:$B$64,0)),""))</f>
        <v/>
      </c>
      <c r="E521" s="13"/>
      <c r="F521" s="14"/>
      <c r="G521" s="8" t="str">
        <f>IF(OR(B521="",E521=""),"",IF(E521="No","Missed",IF(F521="","",IF(F521&lt;=Settings!$B$7,"On time","Late"))))</f>
        <v/>
      </c>
      <c r="H521" s="15"/>
      <c r="I521" s="16"/>
      <c r="J521" s="16"/>
      <c r="K521" s="17" t="str">
        <f>IF(J521="","",ROUND(J521*Settings!$B$8,2))</f>
        <v/>
      </c>
      <c r="L521" s="16"/>
      <c r="M521" s="8" t="str">
        <f t="shared" si="8"/>
        <v/>
      </c>
      <c r="N521" s="9"/>
    </row>
    <row r="522" spans="1:14" ht="15.75">
      <c r="A522" s="11"/>
      <c r="B522" s="9"/>
      <c r="C522" s="12" t="str">
        <f>IF(B522="","",IFERROR(INDEX('Cashier Roster'!$C$5:$C$64,MATCH(B522,'Cashier Roster'!$B$5:$B$64,0)),"Not on roster"))</f>
        <v/>
      </c>
      <c r="D522" s="12" t="str">
        <f>IF(B522="","",IFERROR(INDEX('Cashier Roster'!$D$5:$D$64,MATCH(B522,'Cashier Roster'!$B$5:$B$64,0)),""))</f>
        <v/>
      </c>
      <c r="E522" s="13"/>
      <c r="F522" s="14"/>
      <c r="G522" s="8" t="str">
        <f>IF(OR(B522="",E522=""),"",IF(E522="No","Missed",IF(F522="","",IF(F522&lt;=Settings!$B$7,"On time","Late"))))</f>
        <v/>
      </c>
      <c r="H522" s="15"/>
      <c r="I522" s="16"/>
      <c r="J522" s="16"/>
      <c r="K522" s="17" t="str">
        <f>IF(J522="","",ROUND(J522*Settings!$B$8,2))</f>
        <v/>
      </c>
      <c r="L522" s="16"/>
      <c r="M522" s="8" t="str">
        <f t="shared" si="8"/>
        <v/>
      </c>
      <c r="N522" s="9"/>
    </row>
    <row r="523" spans="1:14" ht="15.75">
      <c r="A523" s="11"/>
      <c r="B523" s="9"/>
      <c r="C523" s="12" t="str">
        <f>IF(B523="","",IFERROR(INDEX('Cashier Roster'!$C$5:$C$64,MATCH(B523,'Cashier Roster'!$B$5:$B$64,0)),"Not on roster"))</f>
        <v/>
      </c>
      <c r="D523" s="12" t="str">
        <f>IF(B523="","",IFERROR(INDEX('Cashier Roster'!$D$5:$D$64,MATCH(B523,'Cashier Roster'!$B$5:$B$64,0)),""))</f>
        <v/>
      </c>
      <c r="E523" s="13"/>
      <c r="F523" s="14"/>
      <c r="G523" s="8" t="str">
        <f>IF(OR(B523="",E523=""),"",IF(E523="No","Missed",IF(F523="","",IF(F523&lt;=Settings!$B$7,"On time","Late"))))</f>
        <v/>
      </c>
      <c r="H523" s="15"/>
      <c r="I523" s="16"/>
      <c r="J523" s="16"/>
      <c r="K523" s="17" t="str">
        <f>IF(J523="","",ROUND(J523*Settings!$B$8,2))</f>
        <v/>
      </c>
      <c r="L523" s="16"/>
      <c r="M523" s="8" t="str">
        <f t="shared" si="8"/>
        <v/>
      </c>
      <c r="N523" s="9"/>
    </row>
    <row r="524" spans="1:14" ht="15.75">
      <c r="A524" s="11"/>
      <c r="B524" s="9"/>
      <c r="C524" s="12" t="str">
        <f>IF(B524="","",IFERROR(INDEX('Cashier Roster'!$C$5:$C$64,MATCH(B524,'Cashier Roster'!$B$5:$B$64,0)),"Not on roster"))</f>
        <v/>
      </c>
      <c r="D524" s="12" t="str">
        <f>IF(B524="","",IFERROR(INDEX('Cashier Roster'!$D$5:$D$64,MATCH(B524,'Cashier Roster'!$B$5:$B$64,0)),""))</f>
        <v/>
      </c>
      <c r="E524" s="13"/>
      <c r="F524" s="14"/>
      <c r="G524" s="8" t="str">
        <f>IF(OR(B524="",E524=""),"",IF(E524="No","Missed",IF(F524="","",IF(F524&lt;=Settings!$B$7,"On time","Late"))))</f>
        <v/>
      </c>
      <c r="H524" s="15"/>
      <c r="I524" s="16"/>
      <c r="J524" s="16"/>
      <c r="K524" s="17" t="str">
        <f>IF(J524="","",ROUND(J524*Settings!$B$8,2))</f>
        <v/>
      </c>
      <c r="L524" s="16"/>
      <c r="M524" s="8" t="str">
        <f t="shared" si="8"/>
        <v/>
      </c>
      <c r="N524" s="9"/>
    </row>
    <row r="525" spans="1:14" ht="15.75">
      <c r="A525" s="11"/>
      <c r="B525" s="9"/>
      <c r="C525" s="12" t="str">
        <f>IF(B525="","",IFERROR(INDEX('Cashier Roster'!$C$5:$C$64,MATCH(B525,'Cashier Roster'!$B$5:$B$64,0)),"Not on roster"))</f>
        <v/>
      </c>
      <c r="D525" s="12" t="str">
        <f>IF(B525="","",IFERROR(INDEX('Cashier Roster'!$D$5:$D$64,MATCH(B525,'Cashier Roster'!$B$5:$B$64,0)),""))</f>
        <v/>
      </c>
      <c r="E525" s="13"/>
      <c r="F525" s="14"/>
      <c r="G525" s="8" t="str">
        <f>IF(OR(B525="",E525=""),"",IF(E525="No","Missed",IF(F525="","",IF(F525&lt;=Settings!$B$7,"On time","Late"))))</f>
        <v/>
      </c>
      <c r="H525" s="15"/>
      <c r="I525" s="16"/>
      <c r="J525" s="16"/>
      <c r="K525" s="17" t="str">
        <f>IF(J525="","",ROUND(J525*Settings!$B$8,2))</f>
        <v/>
      </c>
      <c r="L525" s="16"/>
      <c r="M525" s="8" t="str">
        <f t="shared" si="8"/>
        <v/>
      </c>
      <c r="N525" s="9"/>
    </row>
    <row r="526" spans="1:14" ht="15.75">
      <c r="A526" s="11"/>
      <c r="B526" s="9"/>
      <c r="C526" s="12" t="str">
        <f>IF(B526="","",IFERROR(INDEX('Cashier Roster'!$C$5:$C$64,MATCH(B526,'Cashier Roster'!$B$5:$B$64,0)),"Not on roster"))</f>
        <v/>
      </c>
      <c r="D526" s="12" t="str">
        <f>IF(B526="","",IFERROR(INDEX('Cashier Roster'!$D$5:$D$64,MATCH(B526,'Cashier Roster'!$B$5:$B$64,0)),""))</f>
        <v/>
      </c>
      <c r="E526" s="13"/>
      <c r="F526" s="14"/>
      <c r="G526" s="8" t="str">
        <f>IF(OR(B526="",E526=""),"",IF(E526="No","Missed",IF(F526="","",IF(F526&lt;=Settings!$B$7,"On time","Late"))))</f>
        <v/>
      </c>
      <c r="H526" s="15"/>
      <c r="I526" s="16"/>
      <c r="J526" s="16"/>
      <c r="K526" s="17" t="str">
        <f>IF(J526="","",ROUND(J526*Settings!$B$8,2))</f>
        <v/>
      </c>
      <c r="L526" s="16"/>
      <c r="M526" s="8" t="str">
        <f t="shared" si="8"/>
        <v/>
      </c>
      <c r="N526" s="9"/>
    </row>
    <row r="527" spans="1:14" ht="15.75">
      <c r="A527" s="11"/>
      <c r="B527" s="9"/>
      <c r="C527" s="12" t="str">
        <f>IF(B527="","",IFERROR(INDEX('Cashier Roster'!$C$5:$C$64,MATCH(B527,'Cashier Roster'!$B$5:$B$64,0)),"Not on roster"))</f>
        <v/>
      </c>
      <c r="D527" s="12" t="str">
        <f>IF(B527="","",IFERROR(INDEX('Cashier Roster'!$D$5:$D$64,MATCH(B527,'Cashier Roster'!$B$5:$B$64,0)),""))</f>
        <v/>
      </c>
      <c r="E527" s="13"/>
      <c r="F527" s="14"/>
      <c r="G527" s="8" t="str">
        <f>IF(OR(B527="",E527=""),"",IF(E527="No","Missed",IF(F527="","",IF(F527&lt;=Settings!$B$7,"On time","Late"))))</f>
        <v/>
      </c>
      <c r="H527" s="15"/>
      <c r="I527" s="16"/>
      <c r="J527" s="16"/>
      <c r="K527" s="17" t="str">
        <f>IF(J527="","",ROUND(J527*Settings!$B$8,2))</f>
        <v/>
      </c>
      <c r="L527" s="16"/>
      <c r="M527" s="8" t="str">
        <f t="shared" si="8"/>
        <v/>
      </c>
      <c r="N527" s="9"/>
    </row>
    <row r="528" spans="1:14" ht="15.75">
      <c r="A528" s="11"/>
      <c r="B528" s="9"/>
      <c r="C528" s="12" t="str">
        <f>IF(B528="","",IFERROR(INDEX('Cashier Roster'!$C$5:$C$64,MATCH(B528,'Cashier Roster'!$B$5:$B$64,0)),"Not on roster"))</f>
        <v/>
      </c>
      <c r="D528" s="12" t="str">
        <f>IF(B528="","",IFERROR(INDEX('Cashier Roster'!$D$5:$D$64,MATCH(B528,'Cashier Roster'!$B$5:$B$64,0)),""))</f>
        <v/>
      </c>
      <c r="E528" s="13"/>
      <c r="F528" s="14"/>
      <c r="G528" s="8" t="str">
        <f>IF(OR(B528="",E528=""),"",IF(E528="No","Missed",IF(F528="","",IF(F528&lt;=Settings!$B$7,"On time","Late"))))</f>
        <v/>
      </c>
      <c r="H528" s="15"/>
      <c r="I528" s="16"/>
      <c r="J528" s="16"/>
      <c r="K528" s="17" t="str">
        <f>IF(J528="","",ROUND(J528*Settings!$B$8,2))</f>
        <v/>
      </c>
      <c r="L528" s="16"/>
      <c r="M528" s="8" t="str">
        <f t="shared" si="8"/>
        <v/>
      </c>
      <c r="N528" s="9"/>
    </row>
    <row r="529" spans="1:14" ht="15.75">
      <c r="A529" s="11"/>
      <c r="B529" s="9"/>
      <c r="C529" s="12" t="str">
        <f>IF(B529="","",IFERROR(INDEX('Cashier Roster'!$C$5:$C$64,MATCH(B529,'Cashier Roster'!$B$5:$B$64,0)),"Not on roster"))</f>
        <v/>
      </c>
      <c r="D529" s="12" t="str">
        <f>IF(B529="","",IFERROR(INDEX('Cashier Roster'!$D$5:$D$64,MATCH(B529,'Cashier Roster'!$B$5:$B$64,0)),""))</f>
        <v/>
      </c>
      <c r="E529" s="13"/>
      <c r="F529" s="14"/>
      <c r="G529" s="8" t="str">
        <f>IF(OR(B529="",E529=""),"",IF(E529="No","Missed",IF(F529="","",IF(F529&lt;=Settings!$B$7,"On time","Late"))))</f>
        <v/>
      </c>
      <c r="H529" s="15"/>
      <c r="I529" s="16"/>
      <c r="J529" s="16"/>
      <c r="K529" s="17" t="str">
        <f>IF(J529="","",ROUND(J529*Settings!$B$8,2))</f>
        <v/>
      </c>
      <c r="L529" s="16"/>
      <c r="M529" s="8" t="str">
        <f t="shared" si="8"/>
        <v/>
      </c>
      <c r="N529" s="9"/>
    </row>
    <row r="530" spans="1:14" ht="15.75">
      <c r="A530" s="11"/>
      <c r="B530" s="9"/>
      <c r="C530" s="12" t="str">
        <f>IF(B530="","",IFERROR(INDEX('Cashier Roster'!$C$5:$C$64,MATCH(B530,'Cashier Roster'!$B$5:$B$64,0)),"Not on roster"))</f>
        <v/>
      </c>
      <c r="D530" s="12" t="str">
        <f>IF(B530="","",IFERROR(INDEX('Cashier Roster'!$D$5:$D$64,MATCH(B530,'Cashier Roster'!$B$5:$B$64,0)),""))</f>
        <v/>
      </c>
      <c r="E530" s="13"/>
      <c r="F530" s="14"/>
      <c r="G530" s="8" t="str">
        <f>IF(OR(B530="",E530=""),"",IF(E530="No","Missed",IF(F530="","",IF(F530&lt;=Settings!$B$7,"On time","Late"))))</f>
        <v/>
      </c>
      <c r="H530" s="15"/>
      <c r="I530" s="16"/>
      <c r="J530" s="16"/>
      <c r="K530" s="17" t="str">
        <f>IF(J530="","",ROUND(J530*Settings!$B$8,2))</f>
        <v/>
      </c>
      <c r="L530" s="16"/>
      <c r="M530" s="8" t="str">
        <f t="shared" si="8"/>
        <v/>
      </c>
      <c r="N530" s="9"/>
    </row>
    <row r="531" spans="1:14" ht="15.75">
      <c r="A531" s="11"/>
      <c r="B531" s="9"/>
      <c r="C531" s="12" t="str">
        <f>IF(B531="","",IFERROR(INDEX('Cashier Roster'!$C$5:$C$64,MATCH(B531,'Cashier Roster'!$B$5:$B$64,0)),"Not on roster"))</f>
        <v/>
      </c>
      <c r="D531" s="12" t="str">
        <f>IF(B531="","",IFERROR(INDEX('Cashier Roster'!$D$5:$D$64,MATCH(B531,'Cashier Roster'!$B$5:$B$64,0)),""))</f>
        <v/>
      </c>
      <c r="E531" s="13"/>
      <c r="F531" s="14"/>
      <c r="G531" s="8" t="str">
        <f>IF(OR(B531="",E531=""),"",IF(E531="No","Missed",IF(F531="","",IF(F531&lt;=Settings!$B$7,"On time","Late"))))</f>
        <v/>
      </c>
      <c r="H531" s="15"/>
      <c r="I531" s="16"/>
      <c r="J531" s="16"/>
      <c r="K531" s="17" t="str">
        <f>IF(J531="","",ROUND(J531*Settings!$B$8,2))</f>
        <v/>
      </c>
      <c r="L531" s="16"/>
      <c r="M531" s="8" t="str">
        <f t="shared" si="8"/>
        <v/>
      </c>
      <c r="N531" s="9"/>
    </row>
    <row r="532" spans="1:14" ht="15.75">
      <c r="A532" s="11"/>
      <c r="B532" s="9"/>
      <c r="C532" s="12" t="str">
        <f>IF(B532="","",IFERROR(INDEX('Cashier Roster'!$C$5:$C$64,MATCH(B532,'Cashier Roster'!$B$5:$B$64,0)),"Not on roster"))</f>
        <v/>
      </c>
      <c r="D532" s="12" t="str">
        <f>IF(B532="","",IFERROR(INDEX('Cashier Roster'!$D$5:$D$64,MATCH(B532,'Cashier Roster'!$B$5:$B$64,0)),""))</f>
        <v/>
      </c>
      <c r="E532" s="13"/>
      <c r="F532" s="14"/>
      <c r="G532" s="8" t="str">
        <f>IF(OR(B532="",E532=""),"",IF(E532="No","Missed",IF(F532="","",IF(F532&lt;=Settings!$B$7,"On time","Late"))))</f>
        <v/>
      </c>
      <c r="H532" s="15"/>
      <c r="I532" s="16"/>
      <c r="J532" s="16"/>
      <c r="K532" s="17" t="str">
        <f>IF(J532="","",ROUND(J532*Settings!$B$8,2))</f>
        <v/>
      </c>
      <c r="L532" s="16"/>
      <c r="M532" s="8" t="str">
        <f t="shared" si="8"/>
        <v/>
      </c>
      <c r="N532" s="9"/>
    </row>
    <row r="533" spans="1:14" ht="15.75">
      <c r="A533" s="11"/>
      <c r="B533" s="9"/>
      <c r="C533" s="12" t="str">
        <f>IF(B533="","",IFERROR(INDEX('Cashier Roster'!$C$5:$C$64,MATCH(B533,'Cashier Roster'!$B$5:$B$64,0)),"Not on roster"))</f>
        <v/>
      </c>
      <c r="D533" s="12" t="str">
        <f>IF(B533="","",IFERROR(INDEX('Cashier Roster'!$D$5:$D$64,MATCH(B533,'Cashier Roster'!$B$5:$B$64,0)),""))</f>
        <v/>
      </c>
      <c r="E533" s="13"/>
      <c r="F533" s="14"/>
      <c r="G533" s="8" t="str">
        <f>IF(OR(B533="",E533=""),"",IF(E533="No","Missed",IF(F533="","",IF(F533&lt;=Settings!$B$7,"On time","Late"))))</f>
        <v/>
      </c>
      <c r="H533" s="15"/>
      <c r="I533" s="16"/>
      <c r="J533" s="16"/>
      <c r="K533" s="17" t="str">
        <f>IF(J533="","",ROUND(J533*Settings!$B$8,2))</f>
        <v/>
      </c>
      <c r="L533" s="16"/>
      <c r="M533" s="8" t="str">
        <f t="shared" si="8"/>
        <v/>
      </c>
      <c r="N533" s="9"/>
    </row>
    <row r="534" spans="1:14" ht="15.75">
      <c r="A534" s="11"/>
      <c r="B534" s="9"/>
      <c r="C534" s="12" t="str">
        <f>IF(B534="","",IFERROR(INDEX('Cashier Roster'!$C$5:$C$64,MATCH(B534,'Cashier Roster'!$B$5:$B$64,0)),"Not on roster"))</f>
        <v/>
      </c>
      <c r="D534" s="12" t="str">
        <f>IF(B534="","",IFERROR(INDEX('Cashier Roster'!$D$5:$D$64,MATCH(B534,'Cashier Roster'!$B$5:$B$64,0)),""))</f>
        <v/>
      </c>
      <c r="E534" s="13"/>
      <c r="F534" s="14"/>
      <c r="G534" s="8" t="str">
        <f>IF(OR(B534="",E534=""),"",IF(E534="No","Missed",IF(F534="","",IF(F534&lt;=Settings!$B$7,"On time","Late"))))</f>
        <v/>
      </c>
      <c r="H534" s="15"/>
      <c r="I534" s="16"/>
      <c r="J534" s="16"/>
      <c r="K534" s="17" t="str">
        <f>IF(J534="","",ROUND(J534*Settings!$B$8,2))</f>
        <v/>
      </c>
      <c r="L534" s="16"/>
      <c r="M534" s="8" t="str">
        <f t="shared" si="8"/>
        <v/>
      </c>
      <c r="N534" s="9"/>
    </row>
    <row r="535" spans="1:14" ht="15.75">
      <c r="A535" s="11"/>
      <c r="B535" s="9"/>
      <c r="C535" s="12" t="str">
        <f>IF(B535="","",IFERROR(INDEX('Cashier Roster'!$C$5:$C$64,MATCH(B535,'Cashier Roster'!$B$5:$B$64,0)),"Not on roster"))</f>
        <v/>
      </c>
      <c r="D535" s="12" t="str">
        <f>IF(B535="","",IFERROR(INDEX('Cashier Roster'!$D$5:$D$64,MATCH(B535,'Cashier Roster'!$B$5:$B$64,0)),""))</f>
        <v/>
      </c>
      <c r="E535" s="13"/>
      <c r="F535" s="14"/>
      <c r="G535" s="8" t="str">
        <f>IF(OR(B535="",E535=""),"",IF(E535="No","Missed",IF(F535="","",IF(F535&lt;=Settings!$B$7,"On time","Late"))))</f>
        <v/>
      </c>
      <c r="H535" s="15"/>
      <c r="I535" s="16"/>
      <c r="J535" s="16"/>
      <c r="K535" s="17" t="str">
        <f>IF(J535="","",ROUND(J535*Settings!$B$8,2))</f>
        <v/>
      </c>
      <c r="L535" s="16"/>
      <c r="M535" s="8" t="str">
        <f t="shared" si="8"/>
        <v/>
      </c>
      <c r="N535" s="9"/>
    </row>
    <row r="536" spans="1:14" ht="15.75">
      <c r="A536" s="11"/>
      <c r="B536" s="9"/>
      <c r="C536" s="12" t="str">
        <f>IF(B536="","",IFERROR(INDEX('Cashier Roster'!$C$5:$C$64,MATCH(B536,'Cashier Roster'!$B$5:$B$64,0)),"Not on roster"))</f>
        <v/>
      </c>
      <c r="D536" s="12" t="str">
        <f>IF(B536="","",IFERROR(INDEX('Cashier Roster'!$D$5:$D$64,MATCH(B536,'Cashier Roster'!$B$5:$B$64,0)),""))</f>
        <v/>
      </c>
      <c r="E536" s="13"/>
      <c r="F536" s="14"/>
      <c r="G536" s="8" t="str">
        <f>IF(OR(B536="",E536=""),"",IF(E536="No","Missed",IF(F536="","",IF(F536&lt;=Settings!$B$7,"On time","Late"))))</f>
        <v/>
      </c>
      <c r="H536" s="15"/>
      <c r="I536" s="16"/>
      <c r="J536" s="16"/>
      <c r="K536" s="17" t="str">
        <f>IF(J536="","",ROUND(J536*Settings!$B$8,2))</f>
        <v/>
      </c>
      <c r="L536" s="16"/>
      <c r="M536" s="8" t="str">
        <f t="shared" si="8"/>
        <v/>
      </c>
      <c r="N536" s="9"/>
    </row>
    <row r="537" spans="1:14" ht="15.75">
      <c r="A537" s="11"/>
      <c r="B537" s="9"/>
      <c r="C537" s="12" t="str">
        <f>IF(B537="","",IFERROR(INDEX('Cashier Roster'!$C$5:$C$64,MATCH(B537,'Cashier Roster'!$B$5:$B$64,0)),"Not on roster"))</f>
        <v/>
      </c>
      <c r="D537" s="12" t="str">
        <f>IF(B537="","",IFERROR(INDEX('Cashier Roster'!$D$5:$D$64,MATCH(B537,'Cashier Roster'!$B$5:$B$64,0)),""))</f>
        <v/>
      </c>
      <c r="E537" s="13"/>
      <c r="F537" s="14"/>
      <c r="G537" s="8" t="str">
        <f>IF(OR(B537="",E537=""),"",IF(E537="No","Missed",IF(F537="","",IF(F537&lt;=Settings!$B$7,"On time","Late"))))</f>
        <v/>
      </c>
      <c r="H537" s="15"/>
      <c r="I537" s="16"/>
      <c r="J537" s="16"/>
      <c r="K537" s="17" t="str">
        <f>IF(J537="","",ROUND(J537*Settings!$B$8,2))</f>
        <v/>
      </c>
      <c r="L537" s="16"/>
      <c r="M537" s="8" t="str">
        <f t="shared" si="8"/>
        <v/>
      </c>
      <c r="N537" s="9"/>
    </row>
    <row r="538" spans="1:14" ht="15.75">
      <c r="A538" s="11"/>
      <c r="B538" s="9"/>
      <c r="C538" s="12" t="str">
        <f>IF(B538="","",IFERROR(INDEX('Cashier Roster'!$C$5:$C$64,MATCH(B538,'Cashier Roster'!$B$5:$B$64,0)),"Not on roster"))</f>
        <v/>
      </c>
      <c r="D538" s="12" t="str">
        <f>IF(B538="","",IFERROR(INDEX('Cashier Roster'!$D$5:$D$64,MATCH(B538,'Cashier Roster'!$B$5:$B$64,0)),""))</f>
        <v/>
      </c>
      <c r="E538" s="13"/>
      <c r="F538" s="14"/>
      <c r="G538" s="8" t="str">
        <f>IF(OR(B538="",E538=""),"",IF(E538="No","Missed",IF(F538="","",IF(F538&lt;=Settings!$B$7,"On time","Late"))))</f>
        <v/>
      </c>
      <c r="H538" s="15"/>
      <c r="I538" s="16"/>
      <c r="J538" s="16"/>
      <c r="K538" s="17" t="str">
        <f>IF(J538="","",ROUND(J538*Settings!$B$8,2))</f>
        <v/>
      </c>
      <c r="L538" s="16"/>
      <c r="M538" s="8" t="str">
        <f t="shared" si="8"/>
        <v/>
      </c>
      <c r="N538" s="9"/>
    </row>
    <row r="539" spans="1:14" ht="15.75">
      <c r="A539" s="11"/>
      <c r="B539" s="9"/>
      <c r="C539" s="12" t="str">
        <f>IF(B539="","",IFERROR(INDEX('Cashier Roster'!$C$5:$C$64,MATCH(B539,'Cashier Roster'!$B$5:$B$64,0)),"Not on roster"))</f>
        <v/>
      </c>
      <c r="D539" s="12" t="str">
        <f>IF(B539="","",IFERROR(INDEX('Cashier Roster'!$D$5:$D$64,MATCH(B539,'Cashier Roster'!$B$5:$B$64,0)),""))</f>
        <v/>
      </c>
      <c r="E539" s="13"/>
      <c r="F539" s="14"/>
      <c r="G539" s="8" t="str">
        <f>IF(OR(B539="",E539=""),"",IF(E539="No","Missed",IF(F539="","",IF(F539&lt;=Settings!$B$7,"On time","Late"))))</f>
        <v/>
      </c>
      <c r="H539" s="15"/>
      <c r="I539" s="16"/>
      <c r="J539" s="16"/>
      <c r="K539" s="17" t="str">
        <f>IF(J539="","",ROUND(J539*Settings!$B$8,2))</f>
        <v/>
      </c>
      <c r="L539" s="16"/>
      <c r="M539" s="8" t="str">
        <f t="shared" si="8"/>
        <v/>
      </c>
      <c r="N539" s="9"/>
    </row>
    <row r="540" spans="1:14" ht="15.75">
      <c r="A540" s="11"/>
      <c r="B540" s="9"/>
      <c r="C540" s="12" t="str">
        <f>IF(B540="","",IFERROR(INDEX('Cashier Roster'!$C$5:$C$64,MATCH(B540,'Cashier Roster'!$B$5:$B$64,0)),"Not on roster"))</f>
        <v/>
      </c>
      <c r="D540" s="12" t="str">
        <f>IF(B540="","",IFERROR(INDEX('Cashier Roster'!$D$5:$D$64,MATCH(B540,'Cashier Roster'!$B$5:$B$64,0)),""))</f>
        <v/>
      </c>
      <c r="E540" s="13"/>
      <c r="F540" s="14"/>
      <c r="G540" s="8" t="str">
        <f>IF(OR(B540="",E540=""),"",IF(E540="No","Missed",IF(F540="","",IF(F540&lt;=Settings!$B$7,"On time","Late"))))</f>
        <v/>
      </c>
      <c r="H540" s="15"/>
      <c r="I540" s="16"/>
      <c r="J540" s="16"/>
      <c r="K540" s="17" t="str">
        <f>IF(J540="","",ROUND(J540*Settings!$B$8,2))</f>
        <v/>
      </c>
      <c r="L540" s="16"/>
      <c r="M540" s="8" t="str">
        <f t="shared" si="8"/>
        <v/>
      </c>
      <c r="N540" s="9"/>
    </row>
    <row r="541" spans="1:14" ht="15.75">
      <c r="A541" s="11"/>
      <c r="B541" s="9"/>
      <c r="C541" s="12" t="str">
        <f>IF(B541="","",IFERROR(INDEX('Cashier Roster'!$C$5:$C$64,MATCH(B541,'Cashier Roster'!$B$5:$B$64,0)),"Not on roster"))</f>
        <v/>
      </c>
      <c r="D541" s="12" t="str">
        <f>IF(B541="","",IFERROR(INDEX('Cashier Roster'!$D$5:$D$64,MATCH(B541,'Cashier Roster'!$B$5:$B$64,0)),""))</f>
        <v/>
      </c>
      <c r="E541" s="13"/>
      <c r="F541" s="14"/>
      <c r="G541" s="8" t="str">
        <f>IF(OR(B541="",E541=""),"",IF(E541="No","Missed",IF(F541="","",IF(F541&lt;=Settings!$B$7,"On time","Late"))))</f>
        <v/>
      </c>
      <c r="H541" s="15"/>
      <c r="I541" s="16"/>
      <c r="J541" s="16"/>
      <c r="K541" s="17" t="str">
        <f>IF(J541="","",ROUND(J541*Settings!$B$8,2))</f>
        <v/>
      </c>
      <c r="L541" s="16"/>
      <c r="M541" s="8" t="str">
        <f t="shared" si="8"/>
        <v/>
      </c>
      <c r="N541" s="9"/>
    </row>
    <row r="542" spans="1:14" ht="15.75">
      <c r="A542" s="11"/>
      <c r="B542" s="9"/>
      <c r="C542" s="12" t="str">
        <f>IF(B542="","",IFERROR(INDEX('Cashier Roster'!$C$5:$C$64,MATCH(B542,'Cashier Roster'!$B$5:$B$64,0)),"Not on roster"))</f>
        <v/>
      </c>
      <c r="D542" s="12" t="str">
        <f>IF(B542="","",IFERROR(INDEX('Cashier Roster'!$D$5:$D$64,MATCH(B542,'Cashier Roster'!$B$5:$B$64,0)),""))</f>
        <v/>
      </c>
      <c r="E542" s="13"/>
      <c r="F542" s="14"/>
      <c r="G542" s="8" t="str">
        <f>IF(OR(B542="",E542=""),"",IF(E542="No","Missed",IF(F542="","",IF(F542&lt;=Settings!$B$7,"On time","Late"))))</f>
        <v/>
      </c>
      <c r="H542" s="15"/>
      <c r="I542" s="16"/>
      <c r="J542" s="16"/>
      <c r="K542" s="17" t="str">
        <f>IF(J542="","",ROUND(J542*Settings!$B$8,2))</f>
        <v/>
      </c>
      <c r="L542" s="16"/>
      <c r="M542" s="8" t="str">
        <f t="shared" si="8"/>
        <v/>
      </c>
      <c r="N542" s="9"/>
    </row>
    <row r="543" spans="1:14" ht="15.75">
      <c r="A543" s="11"/>
      <c r="B543" s="9"/>
      <c r="C543" s="12" t="str">
        <f>IF(B543="","",IFERROR(INDEX('Cashier Roster'!$C$5:$C$64,MATCH(B543,'Cashier Roster'!$B$5:$B$64,0)),"Not on roster"))</f>
        <v/>
      </c>
      <c r="D543" s="12" t="str">
        <f>IF(B543="","",IFERROR(INDEX('Cashier Roster'!$D$5:$D$64,MATCH(B543,'Cashier Roster'!$B$5:$B$64,0)),""))</f>
        <v/>
      </c>
      <c r="E543" s="13"/>
      <c r="F543" s="14"/>
      <c r="G543" s="8" t="str">
        <f>IF(OR(B543="",E543=""),"",IF(E543="No","Missed",IF(F543="","",IF(F543&lt;=Settings!$B$7,"On time","Late"))))</f>
        <v/>
      </c>
      <c r="H543" s="15"/>
      <c r="I543" s="16"/>
      <c r="J543" s="16"/>
      <c r="K543" s="17" t="str">
        <f>IF(J543="","",ROUND(J543*Settings!$B$8,2))</f>
        <v/>
      </c>
      <c r="L543" s="16"/>
      <c r="M543" s="8" t="str">
        <f t="shared" si="8"/>
        <v/>
      </c>
      <c r="N543" s="9"/>
    </row>
    <row r="544" spans="1:14" ht="15.75">
      <c r="A544" s="11"/>
      <c r="B544" s="9"/>
      <c r="C544" s="12" t="str">
        <f>IF(B544="","",IFERROR(INDEX('Cashier Roster'!$C$5:$C$64,MATCH(B544,'Cashier Roster'!$B$5:$B$64,0)),"Not on roster"))</f>
        <v/>
      </c>
      <c r="D544" s="12" t="str">
        <f>IF(B544="","",IFERROR(INDEX('Cashier Roster'!$D$5:$D$64,MATCH(B544,'Cashier Roster'!$B$5:$B$64,0)),""))</f>
        <v/>
      </c>
      <c r="E544" s="13"/>
      <c r="F544" s="14"/>
      <c r="G544" s="8" t="str">
        <f>IF(OR(B544="",E544=""),"",IF(E544="No","Missed",IF(F544="","",IF(F544&lt;=Settings!$B$7,"On time","Late"))))</f>
        <v/>
      </c>
      <c r="H544" s="15"/>
      <c r="I544" s="16"/>
      <c r="J544" s="16"/>
      <c r="K544" s="17" t="str">
        <f>IF(J544="","",ROUND(J544*Settings!$B$8,2))</f>
        <v/>
      </c>
      <c r="L544" s="16"/>
      <c r="M544" s="8" t="str">
        <f t="shared" si="8"/>
        <v/>
      </c>
      <c r="N544" s="9"/>
    </row>
    <row r="545" spans="1:14" ht="15.75">
      <c r="A545" s="11"/>
      <c r="B545" s="9"/>
      <c r="C545" s="12" t="str">
        <f>IF(B545="","",IFERROR(INDEX('Cashier Roster'!$C$5:$C$64,MATCH(B545,'Cashier Roster'!$B$5:$B$64,0)),"Not on roster"))</f>
        <v/>
      </c>
      <c r="D545" s="12" t="str">
        <f>IF(B545="","",IFERROR(INDEX('Cashier Roster'!$D$5:$D$64,MATCH(B545,'Cashier Roster'!$B$5:$B$64,0)),""))</f>
        <v/>
      </c>
      <c r="E545" s="13"/>
      <c r="F545" s="14"/>
      <c r="G545" s="8" t="str">
        <f>IF(OR(B545="",E545=""),"",IF(E545="No","Missed",IF(F545="","",IF(F545&lt;=Settings!$B$7,"On time","Late"))))</f>
        <v/>
      </c>
      <c r="H545" s="15"/>
      <c r="I545" s="16"/>
      <c r="J545" s="16"/>
      <c r="K545" s="17" t="str">
        <f>IF(J545="","",ROUND(J545*Settings!$B$8,2))</f>
        <v/>
      </c>
      <c r="L545" s="16"/>
      <c r="M545" s="8" t="str">
        <f t="shared" si="8"/>
        <v/>
      </c>
      <c r="N545" s="9"/>
    </row>
    <row r="546" spans="1:14" ht="15.75">
      <c r="A546" s="11"/>
      <c r="B546" s="9"/>
      <c r="C546" s="12" t="str">
        <f>IF(B546="","",IFERROR(INDEX('Cashier Roster'!$C$5:$C$64,MATCH(B546,'Cashier Roster'!$B$5:$B$64,0)),"Not on roster"))</f>
        <v/>
      </c>
      <c r="D546" s="12" t="str">
        <f>IF(B546="","",IFERROR(INDEX('Cashier Roster'!$D$5:$D$64,MATCH(B546,'Cashier Roster'!$B$5:$B$64,0)),""))</f>
        <v/>
      </c>
      <c r="E546" s="13"/>
      <c r="F546" s="14"/>
      <c r="G546" s="8" t="str">
        <f>IF(OR(B546="",E546=""),"",IF(E546="No","Missed",IF(F546="","",IF(F546&lt;=Settings!$B$7,"On time","Late"))))</f>
        <v/>
      </c>
      <c r="H546" s="15"/>
      <c r="I546" s="16"/>
      <c r="J546" s="16"/>
      <c r="K546" s="17" t="str">
        <f>IF(J546="","",ROUND(J546*Settings!$B$8,2))</f>
        <v/>
      </c>
      <c r="L546" s="16"/>
      <c r="M546" s="8" t="str">
        <f t="shared" si="8"/>
        <v/>
      </c>
      <c r="N546" s="9"/>
    </row>
    <row r="547" spans="1:14" ht="15.75">
      <c r="A547" s="11"/>
      <c r="B547" s="9"/>
      <c r="C547" s="12" t="str">
        <f>IF(B547="","",IFERROR(INDEX('Cashier Roster'!$C$5:$C$64,MATCH(B547,'Cashier Roster'!$B$5:$B$64,0)),"Not on roster"))</f>
        <v/>
      </c>
      <c r="D547" s="12" t="str">
        <f>IF(B547="","",IFERROR(INDEX('Cashier Roster'!$D$5:$D$64,MATCH(B547,'Cashier Roster'!$B$5:$B$64,0)),""))</f>
        <v/>
      </c>
      <c r="E547" s="13"/>
      <c r="F547" s="14"/>
      <c r="G547" s="8" t="str">
        <f>IF(OR(B547="",E547=""),"",IF(E547="No","Missed",IF(F547="","",IF(F547&lt;=Settings!$B$7,"On time","Late"))))</f>
        <v/>
      </c>
      <c r="H547" s="15"/>
      <c r="I547" s="16"/>
      <c r="J547" s="16"/>
      <c r="K547" s="17" t="str">
        <f>IF(J547="","",ROUND(J547*Settings!$B$8,2))</f>
        <v/>
      </c>
      <c r="L547" s="16"/>
      <c r="M547" s="8" t="str">
        <f t="shared" si="8"/>
        <v/>
      </c>
      <c r="N547" s="9"/>
    </row>
    <row r="548" spans="1:14" ht="15.75">
      <c r="A548" s="11"/>
      <c r="B548" s="9"/>
      <c r="C548" s="12" t="str">
        <f>IF(B548="","",IFERROR(INDEX('Cashier Roster'!$C$5:$C$64,MATCH(B548,'Cashier Roster'!$B$5:$B$64,0)),"Not on roster"))</f>
        <v/>
      </c>
      <c r="D548" s="12" t="str">
        <f>IF(B548="","",IFERROR(INDEX('Cashier Roster'!$D$5:$D$64,MATCH(B548,'Cashier Roster'!$B$5:$B$64,0)),""))</f>
        <v/>
      </c>
      <c r="E548" s="13"/>
      <c r="F548" s="14"/>
      <c r="G548" s="8" t="str">
        <f>IF(OR(B548="",E548=""),"",IF(E548="No","Missed",IF(F548="","",IF(F548&lt;=Settings!$B$7,"On time","Late"))))</f>
        <v/>
      </c>
      <c r="H548" s="15"/>
      <c r="I548" s="16"/>
      <c r="J548" s="16"/>
      <c r="K548" s="17" t="str">
        <f>IF(J548="","",ROUND(J548*Settings!$B$8,2))</f>
        <v/>
      </c>
      <c r="L548" s="16"/>
      <c r="M548" s="8" t="str">
        <f t="shared" si="8"/>
        <v/>
      </c>
      <c r="N548" s="9"/>
    </row>
    <row r="549" spans="1:14" ht="15.75">
      <c r="A549" s="11"/>
      <c r="B549" s="9"/>
      <c r="C549" s="12" t="str">
        <f>IF(B549="","",IFERROR(INDEX('Cashier Roster'!$C$5:$C$64,MATCH(B549,'Cashier Roster'!$B$5:$B$64,0)),"Not on roster"))</f>
        <v/>
      </c>
      <c r="D549" s="12" t="str">
        <f>IF(B549="","",IFERROR(INDEX('Cashier Roster'!$D$5:$D$64,MATCH(B549,'Cashier Roster'!$B$5:$B$64,0)),""))</f>
        <v/>
      </c>
      <c r="E549" s="13"/>
      <c r="F549" s="14"/>
      <c r="G549" s="8" t="str">
        <f>IF(OR(B549="",E549=""),"",IF(E549="No","Missed",IF(F549="","",IF(F549&lt;=Settings!$B$7,"On time","Late"))))</f>
        <v/>
      </c>
      <c r="H549" s="15"/>
      <c r="I549" s="16"/>
      <c r="J549" s="16"/>
      <c r="K549" s="17" t="str">
        <f>IF(J549="","",ROUND(J549*Settings!$B$8,2))</f>
        <v/>
      </c>
      <c r="L549" s="16"/>
      <c r="M549" s="8" t="str">
        <f t="shared" si="8"/>
        <v/>
      </c>
      <c r="N549" s="9"/>
    </row>
    <row r="550" spans="1:14" ht="15.75">
      <c r="A550" s="11"/>
      <c r="B550" s="9"/>
      <c r="C550" s="12" t="str">
        <f>IF(B550="","",IFERROR(INDEX('Cashier Roster'!$C$5:$C$64,MATCH(B550,'Cashier Roster'!$B$5:$B$64,0)),"Not on roster"))</f>
        <v/>
      </c>
      <c r="D550" s="12" t="str">
        <f>IF(B550="","",IFERROR(INDEX('Cashier Roster'!$D$5:$D$64,MATCH(B550,'Cashier Roster'!$B$5:$B$64,0)),""))</f>
        <v/>
      </c>
      <c r="E550" s="13"/>
      <c r="F550" s="14"/>
      <c r="G550" s="8" t="str">
        <f>IF(OR(B550="",E550=""),"",IF(E550="No","Missed",IF(F550="","",IF(F550&lt;=Settings!$B$7,"On time","Late"))))</f>
        <v/>
      </c>
      <c r="H550" s="15"/>
      <c r="I550" s="16"/>
      <c r="J550" s="16"/>
      <c r="K550" s="17" t="str">
        <f>IF(J550="","",ROUND(J550*Settings!$B$8,2))</f>
        <v/>
      </c>
      <c r="L550" s="16"/>
      <c r="M550" s="8" t="str">
        <f t="shared" si="8"/>
        <v/>
      </c>
      <c r="N550" s="9"/>
    </row>
    <row r="551" spans="1:14" ht="15.75">
      <c r="A551" s="11"/>
      <c r="B551" s="9"/>
      <c r="C551" s="12" t="str">
        <f>IF(B551="","",IFERROR(INDEX('Cashier Roster'!$C$5:$C$64,MATCH(B551,'Cashier Roster'!$B$5:$B$64,0)),"Not on roster"))</f>
        <v/>
      </c>
      <c r="D551" s="12" t="str">
        <f>IF(B551="","",IFERROR(INDEX('Cashier Roster'!$D$5:$D$64,MATCH(B551,'Cashier Roster'!$B$5:$B$64,0)),""))</f>
        <v/>
      </c>
      <c r="E551" s="13"/>
      <c r="F551" s="14"/>
      <c r="G551" s="8" t="str">
        <f>IF(OR(B551="",E551=""),"",IF(E551="No","Missed",IF(F551="","",IF(F551&lt;=Settings!$B$7,"On time","Late"))))</f>
        <v/>
      </c>
      <c r="H551" s="15"/>
      <c r="I551" s="16"/>
      <c r="J551" s="16"/>
      <c r="K551" s="17" t="str">
        <f>IF(J551="","",ROUND(J551*Settings!$B$8,2))</f>
        <v/>
      </c>
      <c r="L551" s="16"/>
      <c r="M551" s="8" t="str">
        <f t="shared" si="8"/>
        <v/>
      </c>
      <c r="N551" s="9"/>
    </row>
    <row r="552" spans="1:14" ht="15.75">
      <c r="A552" s="11"/>
      <c r="B552" s="9"/>
      <c r="C552" s="12" t="str">
        <f>IF(B552="","",IFERROR(INDEX('Cashier Roster'!$C$5:$C$64,MATCH(B552,'Cashier Roster'!$B$5:$B$64,0)),"Not on roster"))</f>
        <v/>
      </c>
      <c r="D552" s="12" t="str">
        <f>IF(B552="","",IFERROR(INDEX('Cashier Roster'!$D$5:$D$64,MATCH(B552,'Cashier Roster'!$B$5:$B$64,0)),""))</f>
        <v/>
      </c>
      <c r="E552" s="13"/>
      <c r="F552" s="14"/>
      <c r="G552" s="8" t="str">
        <f>IF(OR(B552="",E552=""),"",IF(E552="No","Missed",IF(F552="","",IF(F552&lt;=Settings!$B$7,"On time","Late"))))</f>
        <v/>
      </c>
      <c r="H552" s="15"/>
      <c r="I552" s="16"/>
      <c r="J552" s="16"/>
      <c r="K552" s="17" t="str">
        <f>IF(J552="","",ROUND(J552*Settings!$B$8,2))</f>
        <v/>
      </c>
      <c r="L552" s="16"/>
      <c r="M552" s="8" t="str">
        <f t="shared" si="8"/>
        <v/>
      </c>
      <c r="N552" s="9"/>
    </row>
    <row r="553" spans="1:14" ht="15.75">
      <c r="A553" s="11"/>
      <c r="B553" s="9"/>
      <c r="C553" s="12" t="str">
        <f>IF(B553="","",IFERROR(INDEX('Cashier Roster'!$C$5:$C$64,MATCH(B553,'Cashier Roster'!$B$5:$B$64,0)),"Not on roster"))</f>
        <v/>
      </c>
      <c r="D553" s="12" t="str">
        <f>IF(B553="","",IFERROR(INDEX('Cashier Roster'!$D$5:$D$64,MATCH(B553,'Cashier Roster'!$B$5:$B$64,0)),""))</f>
        <v/>
      </c>
      <c r="E553" s="13"/>
      <c r="F553" s="14"/>
      <c r="G553" s="8" t="str">
        <f>IF(OR(B553="",E553=""),"",IF(E553="No","Missed",IF(F553="","",IF(F553&lt;=Settings!$B$7,"On time","Late"))))</f>
        <v/>
      </c>
      <c r="H553" s="15"/>
      <c r="I553" s="16"/>
      <c r="J553" s="16"/>
      <c r="K553" s="17" t="str">
        <f>IF(J553="","",ROUND(J553*Settings!$B$8,2))</f>
        <v/>
      </c>
      <c r="L553" s="16"/>
      <c r="M553" s="8" t="str">
        <f t="shared" si="8"/>
        <v/>
      </c>
      <c r="N553" s="9"/>
    </row>
    <row r="554" spans="1:14" ht="15.75">
      <c r="A554" s="11"/>
      <c r="B554" s="9"/>
      <c r="C554" s="12" t="str">
        <f>IF(B554="","",IFERROR(INDEX('Cashier Roster'!$C$5:$C$64,MATCH(B554,'Cashier Roster'!$B$5:$B$64,0)),"Not on roster"))</f>
        <v/>
      </c>
      <c r="D554" s="12" t="str">
        <f>IF(B554="","",IFERROR(INDEX('Cashier Roster'!$D$5:$D$64,MATCH(B554,'Cashier Roster'!$B$5:$B$64,0)),""))</f>
        <v/>
      </c>
      <c r="E554" s="13"/>
      <c r="F554" s="14"/>
      <c r="G554" s="8" t="str">
        <f>IF(OR(B554="",E554=""),"",IF(E554="No","Missed",IF(F554="","",IF(F554&lt;=Settings!$B$7,"On time","Late"))))</f>
        <v/>
      </c>
      <c r="H554" s="15"/>
      <c r="I554" s="16"/>
      <c r="J554" s="16"/>
      <c r="K554" s="17" t="str">
        <f>IF(J554="","",ROUND(J554*Settings!$B$8,2))</f>
        <v/>
      </c>
      <c r="L554" s="16"/>
      <c r="M554" s="8" t="str">
        <f t="shared" si="8"/>
        <v/>
      </c>
      <c r="N554" s="9"/>
    </row>
    <row r="555" spans="1:14" ht="15.75">
      <c r="A555" s="11"/>
      <c r="B555" s="9"/>
      <c r="C555" s="12" t="str">
        <f>IF(B555="","",IFERROR(INDEX('Cashier Roster'!$C$5:$C$64,MATCH(B555,'Cashier Roster'!$B$5:$B$64,0)),"Not on roster"))</f>
        <v/>
      </c>
      <c r="D555" s="12" t="str">
        <f>IF(B555="","",IFERROR(INDEX('Cashier Roster'!$D$5:$D$64,MATCH(B555,'Cashier Roster'!$B$5:$B$64,0)),""))</f>
        <v/>
      </c>
      <c r="E555" s="13"/>
      <c r="F555" s="14"/>
      <c r="G555" s="8" t="str">
        <f>IF(OR(B555="",E555=""),"",IF(E555="No","Missed",IF(F555="","",IF(F555&lt;=Settings!$B$7,"On time","Late"))))</f>
        <v/>
      </c>
      <c r="H555" s="15"/>
      <c r="I555" s="16"/>
      <c r="J555" s="16"/>
      <c r="K555" s="17" t="str">
        <f>IF(J555="","",ROUND(J555*Settings!$B$8,2))</f>
        <v/>
      </c>
      <c r="L555" s="16"/>
      <c r="M555" s="8" t="str">
        <f t="shared" si="8"/>
        <v/>
      </c>
      <c r="N555" s="9"/>
    </row>
    <row r="556" spans="1:14" ht="15.75">
      <c r="A556" s="11"/>
      <c r="B556" s="9"/>
      <c r="C556" s="12" t="str">
        <f>IF(B556="","",IFERROR(INDEX('Cashier Roster'!$C$5:$C$64,MATCH(B556,'Cashier Roster'!$B$5:$B$64,0)),"Not on roster"))</f>
        <v/>
      </c>
      <c r="D556" s="12" t="str">
        <f>IF(B556="","",IFERROR(INDEX('Cashier Roster'!$D$5:$D$64,MATCH(B556,'Cashier Roster'!$B$5:$B$64,0)),""))</f>
        <v/>
      </c>
      <c r="E556" s="13"/>
      <c r="F556" s="14"/>
      <c r="G556" s="8" t="str">
        <f>IF(OR(B556="",E556=""),"",IF(E556="No","Missed",IF(F556="","",IF(F556&lt;=Settings!$B$7,"On time","Late"))))</f>
        <v/>
      </c>
      <c r="H556" s="15"/>
      <c r="I556" s="16"/>
      <c r="J556" s="16"/>
      <c r="K556" s="17" t="str">
        <f>IF(J556="","",ROUND(J556*Settings!$B$8,2))</f>
        <v/>
      </c>
      <c r="L556" s="16"/>
      <c r="M556" s="8" t="str">
        <f t="shared" si="8"/>
        <v/>
      </c>
      <c r="N556" s="9"/>
    </row>
    <row r="557" spans="1:14" ht="15.75">
      <c r="A557" s="11"/>
      <c r="B557" s="9"/>
      <c r="C557" s="12" t="str">
        <f>IF(B557="","",IFERROR(INDEX('Cashier Roster'!$C$5:$C$64,MATCH(B557,'Cashier Roster'!$B$5:$B$64,0)),"Not on roster"))</f>
        <v/>
      </c>
      <c r="D557" s="12" t="str">
        <f>IF(B557="","",IFERROR(INDEX('Cashier Roster'!$D$5:$D$64,MATCH(B557,'Cashier Roster'!$B$5:$B$64,0)),""))</f>
        <v/>
      </c>
      <c r="E557" s="13"/>
      <c r="F557" s="14"/>
      <c r="G557" s="8" t="str">
        <f>IF(OR(B557="",E557=""),"",IF(E557="No","Missed",IF(F557="","",IF(F557&lt;=Settings!$B$7,"On time","Late"))))</f>
        <v/>
      </c>
      <c r="H557" s="15"/>
      <c r="I557" s="16"/>
      <c r="J557" s="16"/>
      <c r="K557" s="17" t="str">
        <f>IF(J557="","",ROUND(J557*Settings!$B$8,2))</f>
        <v/>
      </c>
      <c r="L557" s="16"/>
      <c r="M557" s="8" t="str">
        <f t="shared" si="8"/>
        <v/>
      </c>
      <c r="N557" s="9"/>
    </row>
    <row r="558" spans="1:14" ht="15.75">
      <c r="A558" s="11"/>
      <c r="B558" s="9"/>
      <c r="C558" s="12" t="str">
        <f>IF(B558="","",IFERROR(INDEX('Cashier Roster'!$C$5:$C$64,MATCH(B558,'Cashier Roster'!$B$5:$B$64,0)),"Not on roster"))</f>
        <v/>
      </c>
      <c r="D558" s="12" t="str">
        <f>IF(B558="","",IFERROR(INDEX('Cashier Roster'!$D$5:$D$64,MATCH(B558,'Cashier Roster'!$B$5:$B$64,0)),""))</f>
        <v/>
      </c>
      <c r="E558" s="13"/>
      <c r="F558" s="14"/>
      <c r="G558" s="8" t="str">
        <f>IF(OR(B558="",E558=""),"",IF(E558="No","Missed",IF(F558="","",IF(F558&lt;=Settings!$B$7,"On time","Late"))))</f>
        <v/>
      </c>
      <c r="H558" s="15"/>
      <c r="I558" s="16"/>
      <c r="J558" s="16"/>
      <c r="K558" s="17" t="str">
        <f>IF(J558="","",ROUND(J558*Settings!$B$8,2))</f>
        <v/>
      </c>
      <c r="L558" s="16"/>
      <c r="M558" s="8" t="str">
        <f t="shared" si="8"/>
        <v/>
      </c>
      <c r="N558" s="9"/>
    </row>
    <row r="559" spans="1:14" ht="15.75">
      <c r="A559" s="11"/>
      <c r="B559" s="9"/>
      <c r="C559" s="12" t="str">
        <f>IF(B559="","",IFERROR(INDEX('Cashier Roster'!$C$5:$C$64,MATCH(B559,'Cashier Roster'!$B$5:$B$64,0)),"Not on roster"))</f>
        <v/>
      </c>
      <c r="D559" s="12" t="str">
        <f>IF(B559="","",IFERROR(INDEX('Cashier Roster'!$D$5:$D$64,MATCH(B559,'Cashier Roster'!$B$5:$B$64,0)),""))</f>
        <v/>
      </c>
      <c r="E559" s="13"/>
      <c r="F559" s="14"/>
      <c r="G559" s="8" t="str">
        <f>IF(OR(B559="",E559=""),"",IF(E559="No","Missed",IF(F559="","",IF(F559&lt;=Settings!$B$7,"On time","Late"))))</f>
        <v/>
      </c>
      <c r="H559" s="15"/>
      <c r="I559" s="16"/>
      <c r="J559" s="16"/>
      <c r="K559" s="17" t="str">
        <f>IF(J559="","",ROUND(J559*Settings!$B$8,2))</f>
        <v/>
      </c>
      <c r="L559" s="16"/>
      <c r="M559" s="8" t="str">
        <f t="shared" si="8"/>
        <v/>
      </c>
      <c r="N559" s="9"/>
    </row>
    <row r="560" spans="1:14" ht="15.75">
      <c r="A560" s="11"/>
      <c r="B560" s="9"/>
      <c r="C560" s="12" t="str">
        <f>IF(B560="","",IFERROR(INDEX('Cashier Roster'!$C$5:$C$64,MATCH(B560,'Cashier Roster'!$B$5:$B$64,0)),"Not on roster"))</f>
        <v/>
      </c>
      <c r="D560" s="12" t="str">
        <f>IF(B560="","",IFERROR(INDEX('Cashier Roster'!$D$5:$D$64,MATCH(B560,'Cashier Roster'!$B$5:$B$64,0)),""))</f>
        <v/>
      </c>
      <c r="E560" s="13"/>
      <c r="F560" s="14"/>
      <c r="G560" s="8" t="str">
        <f>IF(OR(B560="",E560=""),"",IF(E560="No","Missed",IF(F560="","",IF(F560&lt;=Settings!$B$7,"On time","Late"))))</f>
        <v/>
      </c>
      <c r="H560" s="15"/>
      <c r="I560" s="16"/>
      <c r="J560" s="16"/>
      <c r="K560" s="17" t="str">
        <f>IF(J560="","",ROUND(J560*Settings!$B$8,2))</f>
        <v/>
      </c>
      <c r="L560" s="16"/>
      <c r="M560" s="8" t="str">
        <f t="shared" si="8"/>
        <v/>
      </c>
      <c r="N560" s="9"/>
    </row>
    <row r="561" spans="1:14" ht="15.75">
      <c r="A561" s="11"/>
      <c r="B561" s="9"/>
      <c r="C561" s="12" t="str">
        <f>IF(B561="","",IFERROR(INDEX('Cashier Roster'!$C$5:$C$64,MATCH(B561,'Cashier Roster'!$B$5:$B$64,0)),"Not on roster"))</f>
        <v/>
      </c>
      <c r="D561" s="12" t="str">
        <f>IF(B561="","",IFERROR(INDEX('Cashier Roster'!$D$5:$D$64,MATCH(B561,'Cashier Roster'!$B$5:$B$64,0)),""))</f>
        <v/>
      </c>
      <c r="E561" s="13"/>
      <c r="F561" s="14"/>
      <c r="G561" s="8" t="str">
        <f>IF(OR(B561="",E561=""),"",IF(E561="No","Missed",IF(F561="","",IF(F561&lt;=Settings!$B$7,"On time","Late"))))</f>
        <v/>
      </c>
      <c r="H561" s="15"/>
      <c r="I561" s="16"/>
      <c r="J561" s="16"/>
      <c r="K561" s="17" t="str">
        <f>IF(J561="","",ROUND(J561*Settings!$B$8,2))</f>
        <v/>
      </c>
      <c r="L561" s="16"/>
      <c r="M561" s="8" t="str">
        <f t="shared" si="8"/>
        <v/>
      </c>
      <c r="N561" s="9"/>
    </row>
    <row r="562" spans="1:14" ht="15.75">
      <c r="A562" s="11"/>
      <c r="B562" s="9"/>
      <c r="C562" s="12" t="str">
        <f>IF(B562="","",IFERROR(INDEX('Cashier Roster'!$C$5:$C$64,MATCH(B562,'Cashier Roster'!$B$5:$B$64,0)),"Not on roster"))</f>
        <v/>
      </c>
      <c r="D562" s="12" t="str">
        <f>IF(B562="","",IFERROR(INDEX('Cashier Roster'!$D$5:$D$64,MATCH(B562,'Cashier Roster'!$B$5:$B$64,0)),""))</f>
        <v/>
      </c>
      <c r="E562" s="13"/>
      <c r="F562" s="14"/>
      <c r="G562" s="8" t="str">
        <f>IF(OR(B562="",E562=""),"",IF(E562="No","Missed",IF(F562="","",IF(F562&lt;=Settings!$B$7,"On time","Late"))))</f>
        <v/>
      </c>
      <c r="H562" s="15"/>
      <c r="I562" s="16"/>
      <c r="J562" s="16"/>
      <c r="K562" s="17" t="str">
        <f>IF(J562="","",ROUND(J562*Settings!$B$8,2))</f>
        <v/>
      </c>
      <c r="L562" s="16"/>
      <c r="M562" s="8" t="str">
        <f t="shared" si="8"/>
        <v/>
      </c>
      <c r="N562" s="9"/>
    </row>
    <row r="563" spans="1:14" ht="15.75">
      <c r="A563" s="11"/>
      <c r="B563" s="9"/>
      <c r="C563" s="12" t="str">
        <f>IF(B563="","",IFERROR(INDEX('Cashier Roster'!$C$5:$C$64,MATCH(B563,'Cashier Roster'!$B$5:$B$64,0)),"Not on roster"))</f>
        <v/>
      </c>
      <c r="D563" s="12" t="str">
        <f>IF(B563="","",IFERROR(INDEX('Cashier Roster'!$D$5:$D$64,MATCH(B563,'Cashier Roster'!$B$5:$B$64,0)),""))</f>
        <v/>
      </c>
      <c r="E563" s="13"/>
      <c r="F563" s="14"/>
      <c r="G563" s="8" t="str">
        <f>IF(OR(B563="",E563=""),"",IF(E563="No","Missed",IF(F563="","",IF(F563&lt;=Settings!$B$7,"On time","Late"))))</f>
        <v/>
      </c>
      <c r="H563" s="15"/>
      <c r="I563" s="16"/>
      <c r="J563" s="16"/>
      <c r="K563" s="17" t="str">
        <f>IF(J563="","",ROUND(J563*Settings!$B$8,2))</f>
        <v/>
      </c>
      <c r="L563" s="16"/>
      <c r="M563" s="8" t="str">
        <f t="shared" si="8"/>
        <v/>
      </c>
      <c r="N563" s="9"/>
    </row>
    <row r="564" spans="1:14" ht="15.75">
      <c r="A564" s="11"/>
      <c r="B564" s="9"/>
      <c r="C564" s="12" t="str">
        <f>IF(B564="","",IFERROR(INDEX('Cashier Roster'!$C$5:$C$64,MATCH(B564,'Cashier Roster'!$B$5:$B$64,0)),"Not on roster"))</f>
        <v/>
      </c>
      <c r="D564" s="12" t="str">
        <f>IF(B564="","",IFERROR(INDEX('Cashier Roster'!$D$5:$D$64,MATCH(B564,'Cashier Roster'!$B$5:$B$64,0)),""))</f>
        <v/>
      </c>
      <c r="E564" s="13"/>
      <c r="F564" s="14"/>
      <c r="G564" s="8" t="str">
        <f>IF(OR(B564="",E564=""),"",IF(E564="No","Missed",IF(F564="","",IF(F564&lt;=Settings!$B$7,"On time","Late"))))</f>
        <v/>
      </c>
      <c r="H564" s="15"/>
      <c r="I564" s="16"/>
      <c r="J564" s="16"/>
      <c r="K564" s="17" t="str">
        <f>IF(J564="","",ROUND(J564*Settings!$B$8,2))</f>
        <v/>
      </c>
      <c r="L564" s="16"/>
      <c r="M564" s="8" t="str">
        <f t="shared" si="8"/>
        <v/>
      </c>
      <c r="N564" s="9"/>
    </row>
    <row r="565" spans="1:14" ht="15.75">
      <c r="A565" s="11"/>
      <c r="B565" s="9"/>
      <c r="C565" s="12" t="str">
        <f>IF(B565="","",IFERROR(INDEX('Cashier Roster'!$C$5:$C$64,MATCH(B565,'Cashier Roster'!$B$5:$B$64,0)),"Not on roster"))</f>
        <v/>
      </c>
      <c r="D565" s="12" t="str">
        <f>IF(B565="","",IFERROR(INDEX('Cashier Roster'!$D$5:$D$64,MATCH(B565,'Cashier Roster'!$B$5:$B$64,0)),""))</f>
        <v/>
      </c>
      <c r="E565" s="13"/>
      <c r="F565" s="14"/>
      <c r="G565" s="8" t="str">
        <f>IF(OR(B565="",E565=""),"",IF(E565="No","Missed",IF(F565="","",IF(F565&lt;=Settings!$B$7,"On time","Late"))))</f>
        <v/>
      </c>
      <c r="H565" s="15"/>
      <c r="I565" s="16"/>
      <c r="J565" s="16"/>
      <c r="K565" s="17" t="str">
        <f>IF(J565="","",ROUND(J565*Settings!$B$8,2))</f>
        <v/>
      </c>
      <c r="L565" s="16"/>
      <c r="M565" s="8" t="str">
        <f t="shared" si="8"/>
        <v/>
      </c>
      <c r="N565" s="9"/>
    </row>
    <row r="566" spans="1:14" ht="15.75">
      <c r="A566" s="11"/>
      <c r="B566" s="9"/>
      <c r="C566" s="12" t="str">
        <f>IF(B566="","",IFERROR(INDEX('Cashier Roster'!$C$5:$C$64,MATCH(B566,'Cashier Roster'!$B$5:$B$64,0)),"Not on roster"))</f>
        <v/>
      </c>
      <c r="D566" s="12" t="str">
        <f>IF(B566="","",IFERROR(INDEX('Cashier Roster'!$D$5:$D$64,MATCH(B566,'Cashier Roster'!$B$5:$B$64,0)),""))</f>
        <v/>
      </c>
      <c r="E566" s="13"/>
      <c r="F566" s="14"/>
      <c r="G566" s="8" t="str">
        <f>IF(OR(B566="",E566=""),"",IF(E566="No","Missed",IF(F566="","",IF(F566&lt;=Settings!$B$7,"On time","Late"))))</f>
        <v/>
      </c>
      <c r="H566" s="15"/>
      <c r="I566" s="16"/>
      <c r="J566" s="16"/>
      <c r="K566" s="17" t="str">
        <f>IF(J566="","",ROUND(J566*Settings!$B$8,2))</f>
        <v/>
      </c>
      <c r="L566" s="16"/>
      <c r="M566" s="8" t="str">
        <f t="shared" si="8"/>
        <v/>
      </c>
      <c r="N566" s="9"/>
    </row>
    <row r="567" spans="1:14" ht="15.75">
      <c r="A567" s="11"/>
      <c r="B567" s="9"/>
      <c r="C567" s="12" t="str">
        <f>IF(B567="","",IFERROR(INDEX('Cashier Roster'!$C$5:$C$64,MATCH(B567,'Cashier Roster'!$B$5:$B$64,0)),"Not on roster"))</f>
        <v/>
      </c>
      <c r="D567" s="12" t="str">
        <f>IF(B567="","",IFERROR(INDEX('Cashier Roster'!$D$5:$D$64,MATCH(B567,'Cashier Roster'!$B$5:$B$64,0)),""))</f>
        <v/>
      </c>
      <c r="E567" s="13"/>
      <c r="F567" s="14"/>
      <c r="G567" s="8" t="str">
        <f>IF(OR(B567="",E567=""),"",IF(E567="No","Missed",IF(F567="","",IF(F567&lt;=Settings!$B$7,"On time","Late"))))</f>
        <v/>
      </c>
      <c r="H567" s="15"/>
      <c r="I567" s="16"/>
      <c r="J567" s="16"/>
      <c r="K567" s="17" t="str">
        <f>IF(J567="","",ROUND(J567*Settings!$B$8,2))</f>
        <v/>
      </c>
      <c r="L567" s="16"/>
      <c r="M567" s="8" t="str">
        <f t="shared" si="8"/>
        <v/>
      </c>
      <c r="N567" s="9"/>
    </row>
    <row r="568" spans="1:14" ht="15.75">
      <c r="A568" s="11"/>
      <c r="B568" s="9"/>
      <c r="C568" s="12" t="str">
        <f>IF(B568="","",IFERROR(INDEX('Cashier Roster'!$C$5:$C$64,MATCH(B568,'Cashier Roster'!$B$5:$B$64,0)),"Not on roster"))</f>
        <v/>
      </c>
      <c r="D568" s="12" t="str">
        <f>IF(B568="","",IFERROR(INDEX('Cashier Roster'!$D$5:$D$64,MATCH(B568,'Cashier Roster'!$B$5:$B$64,0)),""))</f>
        <v/>
      </c>
      <c r="E568" s="13"/>
      <c r="F568" s="14"/>
      <c r="G568" s="8" t="str">
        <f>IF(OR(B568="",E568=""),"",IF(E568="No","Missed",IF(F568="","",IF(F568&lt;=Settings!$B$7,"On time","Late"))))</f>
        <v/>
      </c>
      <c r="H568" s="15"/>
      <c r="I568" s="16"/>
      <c r="J568" s="16"/>
      <c r="K568" s="17" t="str">
        <f>IF(J568="","",ROUND(J568*Settings!$B$8,2))</f>
        <v/>
      </c>
      <c r="L568" s="16"/>
      <c r="M568" s="8" t="str">
        <f t="shared" si="8"/>
        <v/>
      </c>
      <c r="N568" s="9"/>
    </row>
    <row r="569" spans="1:14" ht="15.75">
      <c r="A569" s="11"/>
      <c r="B569" s="9"/>
      <c r="C569" s="12" t="str">
        <f>IF(B569="","",IFERROR(INDEX('Cashier Roster'!$C$5:$C$64,MATCH(B569,'Cashier Roster'!$B$5:$B$64,0)),"Not on roster"))</f>
        <v/>
      </c>
      <c r="D569" s="12" t="str">
        <f>IF(B569="","",IFERROR(INDEX('Cashier Roster'!$D$5:$D$64,MATCH(B569,'Cashier Roster'!$B$5:$B$64,0)),""))</f>
        <v/>
      </c>
      <c r="E569" s="13"/>
      <c r="F569" s="14"/>
      <c r="G569" s="8" t="str">
        <f>IF(OR(B569="",E569=""),"",IF(E569="No","Missed",IF(F569="","",IF(F569&lt;=Settings!$B$7,"On time","Late"))))</f>
        <v/>
      </c>
      <c r="H569" s="15"/>
      <c r="I569" s="16"/>
      <c r="J569" s="16"/>
      <c r="K569" s="17" t="str">
        <f>IF(J569="","",ROUND(J569*Settings!$B$8,2))</f>
        <v/>
      </c>
      <c r="L569" s="16"/>
      <c r="M569" s="8" t="str">
        <f t="shared" si="8"/>
        <v/>
      </c>
      <c r="N569" s="9"/>
    </row>
    <row r="570" spans="1:14" ht="15.75">
      <c r="A570" s="11"/>
      <c r="B570" s="9"/>
      <c r="C570" s="12" t="str">
        <f>IF(B570="","",IFERROR(INDEX('Cashier Roster'!$C$5:$C$64,MATCH(B570,'Cashier Roster'!$B$5:$B$64,0)),"Not on roster"))</f>
        <v/>
      </c>
      <c r="D570" s="12" t="str">
        <f>IF(B570="","",IFERROR(INDEX('Cashier Roster'!$D$5:$D$64,MATCH(B570,'Cashier Roster'!$B$5:$B$64,0)),""))</f>
        <v/>
      </c>
      <c r="E570" s="13"/>
      <c r="F570" s="14"/>
      <c r="G570" s="8" t="str">
        <f>IF(OR(B570="",E570=""),"",IF(E570="No","Missed",IF(F570="","",IF(F570&lt;=Settings!$B$7,"On time","Late"))))</f>
        <v/>
      </c>
      <c r="H570" s="15"/>
      <c r="I570" s="16"/>
      <c r="J570" s="16"/>
      <c r="K570" s="17" t="str">
        <f>IF(J570="","",ROUND(J570*Settings!$B$8,2))</f>
        <v/>
      </c>
      <c r="L570" s="16"/>
      <c r="M570" s="8" t="str">
        <f t="shared" si="8"/>
        <v/>
      </c>
      <c r="N570" s="9"/>
    </row>
    <row r="571" spans="1:14" ht="15.75">
      <c r="A571" s="11"/>
      <c r="B571" s="9"/>
      <c r="C571" s="12" t="str">
        <f>IF(B571="","",IFERROR(INDEX('Cashier Roster'!$C$5:$C$64,MATCH(B571,'Cashier Roster'!$B$5:$B$64,0)),"Not on roster"))</f>
        <v/>
      </c>
      <c r="D571" s="12" t="str">
        <f>IF(B571="","",IFERROR(INDEX('Cashier Roster'!$D$5:$D$64,MATCH(B571,'Cashier Roster'!$B$5:$B$64,0)),""))</f>
        <v/>
      </c>
      <c r="E571" s="13"/>
      <c r="F571" s="14"/>
      <c r="G571" s="8" t="str">
        <f>IF(OR(B571="",E571=""),"",IF(E571="No","Missed",IF(F571="","",IF(F571&lt;=Settings!$B$7,"On time","Late"))))</f>
        <v/>
      </c>
      <c r="H571" s="15"/>
      <c r="I571" s="16"/>
      <c r="J571" s="16"/>
      <c r="K571" s="17" t="str">
        <f>IF(J571="","",ROUND(J571*Settings!$B$8,2))</f>
        <v/>
      </c>
      <c r="L571" s="16"/>
      <c r="M571" s="8" t="str">
        <f t="shared" si="8"/>
        <v/>
      </c>
      <c r="N571" s="9"/>
    </row>
    <row r="572" spans="1:14" ht="15.75">
      <c r="A572" s="11"/>
      <c r="B572" s="9"/>
      <c r="C572" s="12" t="str">
        <f>IF(B572="","",IFERROR(INDEX('Cashier Roster'!$C$5:$C$64,MATCH(B572,'Cashier Roster'!$B$5:$B$64,0)),"Not on roster"))</f>
        <v/>
      </c>
      <c r="D572" s="12" t="str">
        <f>IF(B572="","",IFERROR(INDEX('Cashier Roster'!$D$5:$D$64,MATCH(B572,'Cashier Roster'!$B$5:$B$64,0)),""))</f>
        <v/>
      </c>
      <c r="E572" s="13"/>
      <c r="F572" s="14"/>
      <c r="G572" s="8" t="str">
        <f>IF(OR(B572="",E572=""),"",IF(E572="No","Missed",IF(F572="","",IF(F572&lt;=Settings!$B$7,"On time","Late"))))</f>
        <v/>
      </c>
      <c r="H572" s="15"/>
      <c r="I572" s="16"/>
      <c r="J572" s="16"/>
      <c r="K572" s="17" t="str">
        <f>IF(J572="","",ROUND(J572*Settings!$B$8,2))</f>
        <v/>
      </c>
      <c r="L572" s="16"/>
      <c r="M572" s="8" t="str">
        <f t="shared" si="8"/>
        <v/>
      </c>
      <c r="N572" s="9"/>
    </row>
    <row r="573" spans="1:14" ht="15.75">
      <c r="A573" s="11"/>
      <c r="B573" s="9"/>
      <c r="C573" s="12" t="str">
        <f>IF(B573="","",IFERROR(INDEX('Cashier Roster'!$C$5:$C$64,MATCH(B573,'Cashier Roster'!$B$5:$B$64,0)),"Not on roster"))</f>
        <v/>
      </c>
      <c r="D573" s="12" t="str">
        <f>IF(B573="","",IFERROR(INDEX('Cashier Roster'!$D$5:$D$64,MATCH(B573,'Cashier Roster'!$B$5:$B$64,0)),""))</f>
        <v/>
      </c>
      <c r="E573" s="13"/>
      <c r="F573" s="14"/>
      <c r="G573" s="8" t="str">
        <f>IF(OR(B573="",E573=""),"",IF(E573="No","Missed",IF(F573="","",IF(F573&lt;=Settings!$B$7,"On time","Late"))))</f>
        <v/>
      </c>
      <c r="H573" s="15"/>
      <c r="I573" s="16"/>
      <c r="J573" s="16"/>
      <c r="K573" s="17" t="str">
        <f>IF(J573="","",ROUND(J573*Settings!$B$8,2))</f>
        <v/>
      </c>
      <c r="L573" s="16"/>
      <c r="M573" s="8" t="str">
        <f t="shared" si="8"/>
        <v/>
      </c>
      <c r="N573" s="9"/>
    </row>
    <row r="574" spans="1:14" ht="15.75">
      <c r="A574" s="11"/>
      <c r="B574" s="9"/>
      <c r="C574" s="12" t="str">
        <f>IF(B574="","",IFERROR(INDEX('Cashier Roster'!$C$5:$C$64,MATCH(B574,'Cashier Roster'!$B$5:$B$64,0)),"Not on roster"))</f>
        <v/>
      </c>
      <c r="D574" s="12" t="str">
        <f>IF(B574="","",IFERROR(INDEX('Cashier Roster'!$D$5:$D$64,MATCH(B574,'Cashier Roster'!$B$5:$B$64,0)),""))</f>
        <v/>
      </c>
      <c r="E574" s="13"/>
      <c r="F574" s="14"/>
      <c r="G574" s="8" t="str">
        <f>IF(OR(B574="",E574=""),"",IF(E574="No","Missed",IF(F574="","",IF(F574&lt;=Settings!$B$7,"On time","Late"))))</f>
        <v/>
      </c>
      <c r="H574" s="15"/>
      <c r="I574" s="16"/>
      <c r="J574" s="16"/>
      <c r="K574" s="17" t="str">
        <f>IF(J574="","",ROUND(J574*Settings!$B$8,2))</f>
        <v/>
      </c>
      <c r="L574" s="16"/>
      <c r="M574" s="8" t="str">
        <f t="shared" si="8"/>
        <v/>
      </c>
      <c r="N574" s="9"/>
    </row>
    <row r="575" spans="1:14" ht="15.75">
      <c r="A575" s="11"/>
      <c r="B575" s="9"/>
      <c r="C575" s="12" t="str">
        <f>IF(B575="","",IFERROR(INDEX('Cashier Roster'!$C$5:$C$64,MATCH(B575,'Cashier Roster'!$B$5:$B$64,0)),"Not on roster"))</f>
        <v/>
      </c>
      <c r="D575" s="12" t="str">
        <f>IF(B575="","",IFERROR(INDEX('Cashier Roster'!$D$5:$D$64,MATCH(B575,'Cashier Roster'!$B$5:$B$64,0)),""))</f>
        <v/>
      </c>
      <c r="E575" s="13"/>
      <c r="F575" s="14"/>
      <c r="G575" s="8" t="str">
        <f>IF(OR(B575="",E575=""),"",IF(E575="No","Missed",IF(F575="","",IF(F575&lt;=Settings!$B$7,"On time","Late"))))</f>
        <v/>
      </c>
      <c r="H575" s="15"/>
      <c r="I575" s="16"/>
      <c r="J575" s="16"/>
      <c r="K575" s="17" t="str">
        <f>IF(J575="","",ROUND(J575*Settings!$B$8,2))</f>
        <v/>
      </c>
      <c r="L575" s="16"/>
      <c r="M575" s="8" t="str">
        <f t="shared" si="8"/>
        <v/>
      </c>
      <c r="N575" s="9"/>
    </row>
    <row r="576" spans="1:14" ht="15.75">
      <c r="A576" s="11"/>
      <c r="B576" s="9"/>
      <c r="C576" s="12" t="str">
        <f>IF(B576="","",IFERROR(INDEX('Cashier Roster'!$C$5:$C$64,MATCH(B576,'Cashier Roster'!$B$5:$B$64,0)),"Not on roster"))</f>
        <v/>
      </c>
      <c r="D576" s="12" t="str">
        <f>IF(B576="","",IFERROR(INDEX('Cashier Roster'!$D$5:$D$64,MATCH(B576,'Cashier Roster'!$B$5:$B$64,0)),""))</f>
        <v/>
      </c>
      <c r="E576" s="13"/>
      <c r="F576" s="14"/>
      <c r="G576" s="8" t="str">
        <f>IF(OR(B576="",E576=""),"",IF(E576="No","Missed",IF(F576="","",IF(F576&lt;=Settings!$B$7,"On time","Late"))))</f>
        <v/>
      </c>
      <c r="H576" s="15"/>
      <c r="I576" s="16"/>
      <c r="J576" s="16"/>
      <c r="K576" s="17" t="str">
        <f>IF(J576="","",ROUND(J576*Settings!$B$8,2))</f>
        <v/>
      </c>
      <c r="L576" s="16"/>
      <c r="M576" s="8" t="str">
        <f t="shared" si="8"/>
        <v/>
      </c>
      <c r="N576" s="9"/>
    </row>
    <row r="577" spans="1:14" ht="15.75">
      <c r="A577" s="11"/>
      <c r="B577" s="9"/>
      <c r="C577" s="12" t="str">
        <f>IF(B577="","",IFERROR(INDEX('Cashier Roster'!$C$5:$C$64,MATCH(B577,'Cashier Roster'!$B$5:$B$64,0)),"Not on roster"))</f>
        <v/>
      </c>
      <c r="D577" s="12" t="str">
        <f>IF(B577="","",IFERROR(INDEX('Cashier Roster'!$D$5:$D$64,MATCH(B577,'Cashier Roster'!$B$5:$B$64,0)),""))</f>
        <v/>
      </c>
      <c r="E577" s="13"/>
      <c r="F577" s="14"/>
      <c r="G577" s="8" t="str">
        <f>IF(OR(B577="",E577=""),"",IF(E577="No","Missed",IF(F577="","",IF(F577&lt;=Settings!$B$7,"On time","Late"))))</f>
        <v/>
      </c>
      <c r="H577" s="15"/>
      <c r="I577" s="16"/>
      <c r="J577" s="16"/>
      <c r="K577" s="17" t="str">
        <f>IF(J577="","",ROUND(J577*Settings!$B$8,2))</f>
        <v/>
      </c>
      <c r="L577" s="16"/>
      <c r="M577" s="8" t="str">
        <f t="shared" si="8"/>
        <v/>
      </c>
      <c r="N577" s="9"/>
    </row>
    <row r="578" spans="1:14" ht="15.75">
      <c r="A578" s="11"/>
      <c r="B578" s="9"/>
      <c r="C578" s="12" t="str">
        <f>IF(B578="","",IFERROR(INDEX('Cashier Roster'!$C$5:$C$64,MATCH(B578,'Cashier Roster'!$B$5:$B$64,0)),"Not on roster"))</f>
        <v/>
      </c>
      <c r="D578" s="12" t="str">
        <f>IF(B578="","",IFERROR(INDEX('Cashier Roster'!$D$5:$D$64,MATCH(B578,'Cashier Roster'!$B$5:$B$64,0)),""))</f>
        <v/>
      </c>
      <c r="E578" s="13"/>
      <c r="F578" s="14"/>
      <c r="G578" s="8" t="str">
        <f>IF(OR(B578="",E578=""),"",IF(E578="No","Missed",IF(F578="","",IF(F578&lt;=Settings!$B$7,"On time","Late"))))</f>
        <v/>
      </c>
      <c r="H578" s="15"/>
      <c r="I578" s="16"/>
      <c r="J578" s="16"/>
      <c r="K578" s="17" t="str">
        <f>IF(J578="","",ROUND(J578*Settings!$B$8,2))</f>
        <v/>
      </c>
      <c r="L578" s="16"/>
      <c r="M578" s="8" t="str">
        <f t="shared" si="8"/>
        <v/>
      </c>
      <c r="N578" s="9"/>
    </row>
    <row r="579" spans="1:14" ht="15.75">
      <c r="A579" s="11"/>
      <c r="B579" s="9"/>
      <c r="C579" s="12" t="str">
        <f>IF(B579="","",IFERROR(INDEX('Cashier Roster'!$C$5:$C$64,MATCH(B579,'Cashier Roster'!$B$5:$B$64,0)),"Not on roster"))</f>
        <v/>
      </c>
      <c r="D579" s="12" t="str">
        <f>IF(B579="","",IFERROR(INDEX('Cashier Roster'!$D$5:$D$64,MATCH(B579,'Cashier Roster'!$B$5:$B$64,0)),""))</f>
        <v/>
      </c>
      <c r="E579" s="13"/>
      <c r="F579" s="14"/>
      <c r="G579" s="8" t="str">
        <f>IF(OR(B579="",E579=""),"",IF(E579="No","Missed",IF(F579="","",IF(F579&lt;=Settings!$B$7,"On time","Late"))))</f>
        <v/>
      </c>
      <c r="H579" s="15"/>
      <c r="I579" s="16"/>
      <c r="J579" s="16"/>
      <c r="K579" s="17" t="str">
        <f>IF(J579="","",ROUND(J579*Settings!$B$8,2))</f>
        <v/>
      </c>
      <c r="L579" s="16"/>
      <c r="M579" s="8" t="str">
        <f t="shared" si="8"/>
        <v/>
      </c>
      <c r="N579" s="9"/>
    </row>
    <row r="580" spans="1:14" ht="15.75">
      <c r="A580" s="11"/>
      <c r="B580" s="9"/>
      <c r="C580" s="12" t="str">
        <f>IF(B580="","",IFERROR(INDEX('Cashier Roster'!$C$5:$C$64,MATCH(B580,'Cashier Roster'!$B$5:$B$64,0)),"Not on roster"))</f>
        <v/>
      </c>
      <c r="D580" s="12" t="str">
        <f>IF(B580="","",IFERROR(INDEX('Cashier Roster'!$D$5:$D$64,MATCH(B580,'Cashier Roster'!$B$5:$B$64,0)),""))</f>
        <v/>
      </c>
      <c r="E580" s="13"/>
      <c r="F580" s="14"/>
      <c r="G580" s="8" t="str">
        <f>IF(OR(B580="",E580=""),"",IF(E580="No","Missed",IF(F580="","",IF(F580&lt;=Settings!$B$7,"On time","Late"))))</f>
        <v/>
      </c>
      <c r="H580" s="15"/>
      <c r="I580" s="16"/>
      <c r="J580" s="16"/>
      <c r="K580" s="17" t="str">
        <f>IF(J580="","",ROUND(J580*Settings!$B$8,2))</f>
        <v/>
      </c>
      <c r="L580" s="16"/>
      <c r="M580" s="8" t="str">
        <f t="shared" si="8"/>
        <v/>
      </c>
      <c r="N580" s="9"/>
    </row>
    <row r="581" spans="1:14" ht="15.75">
      <c r="A581" s="11"/>
      <c r="B581" s="9"/>
      <c r="C581" s="12" t="str">
        <f>IF(B581="","",IFERROR(INDEX('Cashier Roster'!$C$5:$C$64,MATCH(B581,'Cashier Roster'!$B$5:$B$64,0)),"Not on roster"))</f>
        <v/>
      </c>
      <c r="D581" s="12" t="str">
        <f>IF(B581="","",IFERROR(INDEX('Cashier Roster'!$D$5:$D$64,MATCH(B581,'Cashier Roster'!$B$5:$B$64,0)),""))</f>
        <v/>
      </c>
      <c r="E581" s="13"/>
      <c r="F581" s="14"/>
      <c r="G581" s="8" t="str">
        <f>IF(OR(B581="",E581=""),"",IF(E581="No","Missed",IF(F581="","",IF(F581&lt;=Settings!$B$7,"On time","Late"))))</f>
        <v/>
      </c>
      <c r="H581" s="15"/>
      <c r="I581" s="16"/>
      <c r="J581" s="16"/>
      <c r="K581" s="17" t="str">
        <f>IF(J581="","",ROUND(J581*Settings!$B$8,2))</f>
        <v/>
      </c>
      <c r="L581" s="16"/>
      <c r="M581" s="8" t="str">
        <f t="shared" ref="M581:M644" si="9">IF(L581="","",IF(L581&lt;=0,"Yes","No"))</f>
        <v/>
      </c>
      <c r="N581" s="9"/>
    </row>
    <row r="582" spans="1:14" ht="15.75">
      <c r="A582" s="11"/>
      <c r="B582" s="9"/>
      <c r="C582" s="12" t="str">
        <f>IF(B582="","",IFERROR(INDEX('Cashier Roster'!$C$5:$C$64,MATCH(B582,'Cashier Roster'!$B$5:$B$64,0)),"Not on roster"))</f>
        <v/>
      </c>
      <c r="D582" s="12" t="str">
        <f>IF(B582="","",IFERROR(INDEX('Cashier Roster'!$D$5:$D$64,MATCH(B582,'Cashier Roster'!$B$5:$B$64,0)),""))</f>
        <v/>
      </c>
      <c r="E582" s="13"/>
      <c r="F582" s="14"/>
      <c r="G582" s="8" t="str">
        <f>IF(OR(B582="",E582=""),"",IF(E582="No","Missed",IF(F582="","",IF(F582&lt;=Settings!$B$7,"On time","Late"))))</f>
        <v/>
      </c>
      <c r="H582" s="15"/>
      <c r="I582" s="16"/>
      <c r="J582" s="16"/>
      <c r="K582" s="17" t="str">
        <f>IF(J582="","",ROUND(J582*Settings!$B$8,2))</f>
        <v/>
      </c>
      <c r="L582" s="16"/>
      <c r="M582" s="8" t="str">
        <f t="shared" si="9"/>
        <v/>
      </c>
      <c r="N582" s="9"/>
    </row>
    <row r="583" spans="1:14" ht="15.75">
      <c r="A583" s="11"/>
      <c r="B583" s="9"/>
      <c r="C583" s="12" t="str">
        <f>IF(B583="","",IFERROR(INDEX('Cashier Roster'!$C$5:$C$64,MATCH(B583,'Cashier Roster'!$B$5:$B$64,0)),"Not on roster"))</f>
        <v/>
      </c>
      <c r="D583" s="12" t="str">
        <f>IF(B583="","",IFERROR(INDEX('Cashier Roster'!$D$5:$D$64,MATCH(B583,'Cashier Roster'!$B$5:$B$64,0)),""))</f>
        <v/>
      </c>
      <c r="E583" s="13"/>
      <c r="F583" s="14"/>
      <c r="G583" s="8" t="str">
        <f>IF(OR(B583="",E583=""),"",IF(E583="No","Missed",IF(F583="","",IF(F583&lt;=Settings!$B$7,"On time","Late"))))</f>
        <v/>
      </c>
      <c r="H583" s="15"/>
      <c r="I583" s="16"/>
      <c r="J583" s="16"/>
      <c r="K583" s="17" t="str">
        <f>IF(J583="","",ROUND(J583*Settings!$B$8,2))</f>
        <v/>
      </c>
      <c r="L583" s="16"/>
      <c r="M583" s="8" t="str">
        <f t="shared" si="9"/>
        <v/>
      </c>
      <c r="N583" s="9"/>
    </row>
    <row r="584" spans="1:14" ht="15.75">
      <c r="A584" s="11"/>
      <c r="B584" s="9"/>
      <c r="C584" s="12" t="str">
        <f>IF(B584="","",IFERROR(INDEX('Cashier Roster'!$C$5:$C$64,MATCH(B584,'Cashier Roster'!$B$5:$B$64,0)),"Not on roster"))</f>
        <v/>
      </c>
      <c r="D584" s="12" t="str">
        <f>IF(B584="","",IFERROR(INDEX('Cashier Roster'!$D$5:$D$64,MATCH(B584,'Cashier Roster'!$B$5:$B$64,0)),""))</f>
        <v/>
      </c>
      <c r="E584" s="13"/>
      <c r="F584" s="14"/>
      <c r="G584" s="8" t="str">
        <f>IF(OR(B584="",E584=""),"",IF(E584="No","Missed",IF(F584="","",IF(F584&lt;=Settings!$B$7,"On time","Late"))))</f>
        <v/>
      </c>
      <c r="H584" s="15"/>
      <c r="I584" s="16"/>
      <c r="J584" s="16"/>
      <c r="K584" s="17" t="str">
        <f>IF(J584="","",ROUND(J584*Settings!$B$8,2))</f>
        <v/>
      </c>
      <c r="L584" s="16"/>
      <c r="M584" s="8" t="str">
        <f t="shared" si="9"/>
        <v/>
      </c>
      <c r="N584" s="9"/>
    </row>
    <row r="585" spans="1:14" ht="15.75">
      <c r="A585" s="11"/>
      <c r="B585" s="9"/>
      <c r="C585" s="12" t="str">
        <f>IF(B585="","",IFERROR(INDEX('Cashier Roster'!$C$5:$C$64,MATCH(B585,'Cashier Roster'!$B$5:$B$64,0)),"Not on roster"))</f>
        <v/>
      </c>
      <c r="D585" s="12" t="str">
        <f>IF(B585="","",IFERROR(INDEX('Cashier Roster'!$D$5:$D$64,MATCH(B585,'Cashier Roster'!$B$5:$B$64,0)),""))</f>
        <v/>
      </c>
      <c r="E585" s="13"/>
      <c r="F585" s="14"/>
      <c r="G585" s="8" t="str">
        <f>IF(OR(B585="",E585=""),"",IF(E585="No","Missed",IF(F585="","",IF(F585&lt;=Settings!$B$7,"On time","Late"))))</f>
        <v/>
      </c>
      <c r="H585" s="15"/>
      <c r="I585" s="16"/>
      <c r="J585" s="16"/>
      <c r="K585" s="17" t="str">
        <f>IF(J585="","",ROUND(J585*Settings!$B$8,2))</f>
        <v/>
      </c>
      <c r="L585" s="16"/>
      <c r="M585" s="8" t="str">
        <f t="shared" si="9"/>
        <v/>
      </c>
      <c r="N585" s="9"/>
    </row>
    <row r="586" spans="1:14" ht="15.75">
      <c r="A586" s="11"/>
      <c r="B586" s="9"/>
      <c r="C586" s="12" t="str">
        <f>IF(B586="","",IFERROR(INDEX('Cashier Roster'!$C$5:$C$64,MATCH(B586,'Cashier Roster'!$B$5:$B$64,0)),"Not on roster"))</f>
        <v/>
      </c>
      <c r="D586" s="12" t="str">
        <f>IF(B586="","",IFERROR(INDEX('Cashier Roster'!$D$5:$D$64,MATCH(B586,'Cashier Roster'!$B$5:$B$64,0)),""))</f>
        <v/>
      </c>
      <c r="E586" s="13"/>
      <c r="F586" s="14"/>
      <c r="G586" s="8" t="str">
        <f>IF(OR(B586="",E586=""),"",IF(E586="No","Missed",IF(F586="","",IF(F586&lt;=Settings!$B$7,"On time","Late"))))</f>
        <v/>
      </c>
      <c r="H586" s="15"/>
      <c r="I586" s="16"/>
      <c r="J586" s="16"/>
      <c r="K586" s="17" t="str">
        <f>IF(J586="","",ROUND(J586*Settings!$B$8,2))</f>
        <v/>
      </c>
      <c r="L586" s="16"/>
      <c r="M586" s="8" t="str">
        <f t="shared" si="9"/>
        <v/>
      </c>
      <c r="N586" s="9"/>
    </row>
    <row r="587" spans="1:14" ht="15.75">
      <c r="A587" s="11"/>
      <c r="B587" s="9"/>
      <c r="C587" s="12" t="str">
        <f>IF(B587="","",IFERROR(INDEX('Cashier Roster'!$C$5:$C$64,MATCH(B587,'Cashier Roster'!$B$5:$B$64,0)),"Not on roster"))</f>
        <v/>
      </c>
      <c r="D587" s="12" t="str">
        <f>IF(B587="","",IFERROR(INDEX('Cashier Roster'!$D$5:$D$64,MATCH(B587,'Cashier Roster'!$B$5:$B$64,0)),""))</f>
        <v/>
      </c>
      <c r="E587" s="13"/>
      <c r="F587" s="14"/>
      <c r="G587" s="8" t="str">
        <f>IF(OR(B587="",E587=""),"",IF(E587="No","Missed",IF(F587="","",IF(F587&lt;=Settings!$B$7,"On time","Late"))))</f>
        <v/>
      </c>
      <c r="H587" s="15"/>
      <c r="I587" s="16"/>
      <c r="J587" s="16"/>
      <c r="K587" s="17" t="str">
        <f>IF(J587="","",ROUND(J587*Settings!$B$8,2))</f>
        <v/>
      </c>
      <c r="L587" s="16"/>
      <c r="M587" s="8" t="str">
        <f t="shared" si="9"/>
        <v/>
      </c>
      <c r="N587" s="9"/>
    </row>
    <row r="588" spans="1:14" ht="15.75">
      <c r="A588" s="11"/>
      <c r="B588" s="9"/>
      <c r="C588" s="12" t="str">
        <f>IF(B588="","",IFERROR(INDEX('Cashier Roster'!$C$5:$C$64,MATCH(B588,'Cashier Roster'!$B$5:$B$64,0)),"Not on roster"))</f>
        <v/>
      </c>
      <c r="D588" s="12" t="str">
        <f>IF(B588="","",IFERROR(INDEX('Cashier Roster'!$D$5:$D$64,MATCH(B588,'Cashier Roster'!$B$5:$B$64,0)),""))</f>
        <v/>
      </c>
      <c r="E588" s="13"/>
      <c r="F588" s="14"/>
      <c r="G588" s="8" t="str">
        <f>IF(OR(B588="",E588=""),"",IF(E588="No","Missed",IF(F588="","",IF(F588&lt;=Settings!$B$7,"On time","Late"))))</f>
        <v/>
      </c>
      <c r="H588" s="15"/>
      <c r="I588" s="16"/>
      <c r="J588" s="16"/>
      <c r="K588" s="17" t="str">
        <f>IF(J588="","",ROUND(J588*Settings!$B$8,2))</f>
        <v/>
      </c>
      <c r="L588" s="16"/>
      <c r="M588" s="8" t="str">
        <f t="shared" si="9"/>
        <v/>
      </c>
      <c r="N588" s="9"/>
    </row>
    <row r="589" spans="1:14" ht="15.75">
      <c r="A589" s="11"/>
      <c r="B589" s="9"/>
      <c r="C589" s="12" t="str">
        <f>IF(B589="","",IFERROR(INDEX('Cashier Roster'!$C$5:$C$64,MATCH(B589,'Cashier Roster'!$B$5:$B$64,0)),"Not on roster"))</f>
        <v/>
      </c>
      <c r="D589" s="12" t="str">
        <f>IF(B589="","",IFERROR(INDEX('Cashier Roster'!$D$5:$D$64,MATCH(B589,'Cashier Roster'!$B$5:$B$64,0)),""))</f>
        <v/>
      </c>
      <c r="E589" s="13"/>
      <c r="F589" s="14"/>
      <c r="G589" s="8" t="str">
        <f>IF(OR(B589="",E589=""),"",IF(E589="No","Missed",IF(F589="","",IF(F589&lt;=Settings!$B$7,"On time","Late"))))</f>
        <v/>
      </c>
      <c r="H589" s="15"/>
      <c r="I589" s="16"/>
      <c r="J589" s="16"/>
      <c r="K589" s="17" t="str">
        <f>IF(J589="","",ROUND(J589*Settings!$B$8,2))</f>
        <v/>
      </c>
      <c r="L589" s="16"/>
      <c r="M589" s="8" t="str">
        <f t="shared" si="9"/>
        <v/>
      </c>
      <c r="N589" s="9"/>
    </row>
    <row r="590" spans="1:14" ht="15.75">
      <c r="A590" s="11"/>
      <c r="B590" s="9"/>
      <c r="C590" s="12" t="str">
        <f>IF(B590="","",IFERROR(INDEX('Cashier Roster'!$C$5:$C$64,MATCH(B590,'Cashier Roster'!$B$5:$B$64,0)),"Not on roster"))</f>
        <v/>
      </c>
      <c r="D590" s="12" t="str">
        <f>IF(B590="","",IFERROR(INDEX('Cashier Roster'!$D$5:$D$64,MATCH(B590,'Cashier Roster'!$B$5:$B$64,0)),""))</f>
        <v/>
      </c>
      <c r="E590" s="13"/>
      <c r="F590" s="14"/>
      <c r="G590" s="8" t="str">
        <f>IF(OR(B590="",E590=""),"",IF(E590="No","Missed",IF(F590="","",IF(F590&lt;=Settings!$B$7,"On time","Late"))))</f>
        <v/>
      </c>
      <c r="H590" s="15"/>
      <c r="I590" s="16"/>
      <c r="J590" s="16"/>
      <c r="K590" s="17" t="str">
        <f>IF(J590="","",ROUND(J590*Settings!$B$8,2))</f>
        <v/>
      </c>
      <c r="L590" s="16"/>
      <c r="M590" s="8" t="str">
        <f t="shared" si="9"/>
        <v/>
      </c>
      <c r="N590" s="9"/>
    </row>
    <row r="591" spans="1:14" ht="15.75">
      <c r="A591" s="11"/>
      <c r="B591" s="9"/>
      <c r="C591" s="12" t="str">
        <f>IF(B591="","",IFERROR(INDEX('Cashier Roster'!$C$5:$C$64,MATCH(B591,'Cashier Roster'!$B$5:$B$64,0)),"Not on roster"))</f>
        <v/>
      </c>
      <c r="D591" s="12" t="str">
        <f>IF(B591="","",IFERROR(INDEX('Cashier Roster'!$D$5:$D$64,MATCH(B591,'Cashier Roster'!$B$5:$B$64,0)),""))</f>
        <v/>
      </c>
      <c r="E591" s="13"/>
      <c r="F591" s="14"/>
      <c r="G591" s="8" t="str">
        <f>IF(OR(B591="",E591=""),"",IF(E591="No","Missed",IF(F591="","",IF(F591&lt;=Settings!$B$7,"On time","Late"))))</f>
        <v/>
      </c>
      <c r="H591" s="15"/>
      <c r="I591" s="16"/>
      <c r="J591" s="16"/>
      <c r="K591" s="17" t="str">
        <f>IF(J591="","",ROUND(J591*Settings!$B$8,2))</f>
        <v/>
      </c>
      <c r="L591" s="16"/>
      <c r="M591" s="8" t="str">
        <f t="shared" si="9"/>
        <v/>
      </c>
      <c r="N591" s="9"/>
    </row>
    <row r="592" spans="1:14" ht="15.75">
      <c r="A592" s="11"/>
      <c r="B592" s="9"/>
      <c r="C592" s="12" t="str">
        <f>IF(B592="","",IFERROR(INDEX('Cashier Roster'!$C$5:$C$64,MATCH(B592,'Cashier Roster'!$B$5:$B$64,0)),"Not on roster"))</f>
        <v/>
      </c>
      <c r="D592" s="12" t="str">
        <f>IF(B592="","",IFERROR(INDEX('Cashier Roster'!$D$5:$D$64,MATCH(B592,'Cashier Roster'!$B$5:$B$64,0)),""))</f>
        <v/>
      </c>
      <c r="E592" s="13"/>
      <c r="F592" s="14"/>
      <c r="G592" s="8" t="str">
        <f>IF(OR(B592="",E592=""),"",IF(E592="No","Missed",IF(F592="","",IF(F592&lt;=Settings!$B$7,"On time","Late"))))</f>
        <v/>
      </c>
      <c r="H592" s="15"/>
      <c r="I592" s="16"/>
      <c r="J592" s="16"/>
      <c r="K592" s="17" t="str">
        <f>IF(J592="","",ROUND(J592*Settings!$B$8,2))</f>
        <v/>
      </c>
      <c r="L592" s="16"/>
      <c r="M592" s="8" t="str">
        <f t="shared" si="9"/>
        <v/>
      </c>
      <c r="N592" s="9"/>
    </row>
    <row r="593" spans="1:14" ht="15.75">
      <c r="A593" s="11"/>
      <c r="B593" s="9"/>
      <c r="C593" s="12" t="str">
        <f>IF(B593="","",IFERROR(INDEX('Cashier Roster'!$C$5:$C$64,MATCH(B593,'Cashier Roster'!$B$5:$B$64,0)),"Not on roster"))</f>
        <v/>
      </c>
      <c r="D593" s="12" t="str">
        <f>IF(B593="","",IFERROR(INDEX('Cashier Roster'!$D$5:$D$64,MATCH(B593,'Cashier Roster'!$B$5:$B$64,0)),""))</f>
        <v/>
      </c>
      <c r="E593" s="13"/>
      <c r="F593" s="14"/>
      <c r="G593" s="8" t="str">
        <f>IF(OR(B593="",E593=""),"",IF(E593="No","Missed",IF(F593="","",IF(F593&lt;=Settings!$B$7,"On time","Late"))))</f>
        <v/>
      </c>
      <c r="H593" s="15"/>
      <c r="I593" s="16"/>
      <c r="J593" s="16"/>
      <c r="K593" s="17" t="str">
        <f>IF(J593="","",ROUND(J593*Settings!$B$8,2))</f>
        <v/>
      </c>
      <c r="L593" s="16"/>
      <c r="M593" s="8" t="str">
        <f t="shared" si="9"/>
        <v/>
      </c>
      <c r="N593" s="9"/>
    </row>
    <row r="594" spans="1:14" ht="15.75">
      <c r="A594" s="11"/>
      <c r="B594" s="9"/>
      <c r="C594" s="12" t="str">
        <f>IF(B594="","",IFERROR(INDEX('Cashier Roster'!$C$5:$C$64,MATCH(B594,'Cashier Roster'!$B$5:$B$64,0)),"Not on roster"))</f>
        <v/>
      </c>
      <c r="D594" s="12" t="str">
        <f>IF(B594="","",IFERROR(INDEX('Cashier Roster'!$D$5:$D$64,MATCH(B594,'Cashier Roster'!$B$5:$B$64,0)),""))</f>
        <v/>
      </c>
      <c r="E594" s="13"/>
      <c r="F594" s="14"/>
      <c r="G594" s="8" t="str">
        <f>IF(OR(B594="",E594=""),"",IF(E594="No","Missed",IF(F594="","",IF(F594&lt;=Settings!$B$7,"On time","Late"))))</f>
        <v/>
      </c>
      <c r="H594" s="15"/>
      <c r="I594" s="16"/>
      <c r="J594" s="16"/>
      <c r="K594" s="17" t="str">
        <f>IF(J594="","",ROUND(J594*Settings!$B$8,2))</f>
        <v/>
      </c>
      <c r="L594" s="16"/>
      <c r="M594" s="8" t="str">
        <f t="shared" si="9"/>
        <v/>
      </c>
      <c r="N594" s="9"/>
    </row>
    <row r="595" spans="1:14" ht="15.75">
      <c r="A595" s="11"/>
      <c r="B595" s="9"/>
      <c r="C595" s="12" t="str">
        <f>IF(B595="","",IFERROR(INDEX('Cashier Roster'!$C$5:$C$64,MATCH(B595,'Cashier Roster'!$B$5:$B$64,0)),"Not on roster"))</f>
        <v/>
      </c>
      <c r="D595" s="12" t="str">
        <f>IF(B595="","",IFERROR(INDEX('Cashier Roster'!$D$5:$D$64,MATCH(B595,'Cashier Roster'!$B$5:$B$64,0)),""))</f>
        <v/>
      </c>
      <c r="E595" s="13"/>
      <c r="F595" s="14"/>
      <c r="G595" s="8" t="str">
        <f>IF(OR(B595="",E595=""),"",IF(E595="No","Missed",IF(F595="","",IF(F595&lt;=Settings!$B$7,"On time","Late"))))</f>
        <v/>
      </c>
      <c r="H595" s="15"/>
      <c r="I595" s="16"/>
      <c r="J595" s="16"/>
      <c r="K595" s="17" t="str">
        <f>IF(J595="","",ROUND(J595*Settings!$B$8,2))</f>
        <v/>
      </c>
      <c r="L595" s="16"/>
      <c r="M595" s="8" t="str">
        <f t="shared" si="9"/>
        <v/>
      </c>
      <c r="N595" s="9"/>
    </row>
    <row r="596" spans="1:14" ht="15.75">
      <c r="A596" s="11"/>
      <c r="B596" s="9"/>
      <c r="C596" s="12" t="str">
        <f>IF(B596="","",IFERROR(INDEX('Cashier Roster'!$C$5:$C$64,MATCH(B596,'Cashier Roster'!$B$5:$B$64,0)),"Not on roster"))</f>
        <v/>
      </c>
      <c r="D596" s="12" t="str">
        <f>IF(B596="","",IFERROR(INDEX('Cashier Roster'!$D$5:$D$64,MATCH(B596,'Cashier Roster'!$B$5:$B$64,0)),""))</f>
        <v/>
      </c>
      <c r="E596" s="13"/>
      <c r="F596" s="14"/>
      <c r="G596" s="8" t="str">
        <f>IF(OR(B596="",E596=""),"",IF(E596="No","Missed",IF(F596="","",IF(F596&lt;=Settings!$B$7,"On time","Late"))))</f>
        <v/>
      </c>
      <c r="H596" s="15"/>
      <c r="I596" s="16"/>
      <c r="J596" s="16"/>
      <c r="K596" s="17" t="str">
        <f>IF(J596="","",ROUND(J596*Settings!$B$8,2))</f>
        <v/>
      </c>
      <c r="L596" s="16"/>
      <c r="M596" s="8" t="str">
        <f t="shared" si="9"/>
        <v/>
      </c>
      <c r="N596" s="9"/>
    </row>
    <row r="597" spans="1:14" ht="15.75">
      <c r="A597" s="11"/>
      <c r="B597" s="9"/>
      <c r="C597" s="12" t="str">
        <f>IF(B597="","",IFERROR(INDEX('Cashier Roster'!$C$5:$C$64,MATCH(B597,'Cashier Roster'!$B$5:$B$64,0)),"Not on roster"))</f>
        <v/>
      </c>
      <c r="D597" s="12" t="str">
        <f>IF(B597="","",IFERROR(INDEX('Cashier Roster'!$D$5:$D$64,MATCH(B597,'Cashier Roster'!$B$5:$B$64,0)),""))</f>
        <v/>
      </c>
      <c r="E597" s="13"/>
      <c r="F597" s="14"/>
      <c r="G597" s="8" t="str">
        <f>IF(OR(B597="",E597=""),"",IF(E597="No","Missed",IF(F597="","",IF(F597&lt;=Settings!$B$7,"On time","Late"))))</f>
        <v/>
      </c>
      <c r="H597" s="15"/>
      <c r="I597" s="16"/>
      <c r="J597" s="16"/>
      <c r="K597" s="17" t="str">
        <f>IF(J597="","",ROUND(J597*Settings!$B$8,2))</f>
        <v/>
      </c>
      <c r="L597" s="16"/>
      <c r="M597" s="8" t="str">
        <f t="shared" si="9"/>
        <v/>
      </c>
      <c r="N597" s="9"/>
    </row>
    <row r="598" spans="1:14" ht="15.75">
      <c r="A598" s="11"/>
      <c r="B598" s="9"/>
      <c r="C598" s="12" t="str">
        <f>IF(B598="","",IFERROR(INDEX('Cashier Roster'!$C$5:$C$64,MATCH(B598,'Cashier Roster'!$B$5:$B$64,0)),"Not on roster"))</f>
        <v/>
      </c>
      <c r="D598" s="12" t="str">
        <f>IF(B598="","",IFERROR(INDEX('Cashier Roster'!$D$5:$D$64,MATCH(B598,'Cashier Roster'!$B$5:$B$64,0)),""))</f>
        <v/>
      </c>
      <c r="E598" s="13"/>
      <c r="F598" s="14"/>
      <c r="G598" s="8" t="str">
        <f>IF(OR(B598="",E598=""),"",IF(E598="No","Missed",IF(F598="","",IF(F598&lt;=Settings!$B$7,"On time","Late"))))</f>
        <v/>
      </c>
      <c r="H598" s="15"/>
      <c r="I598" s="16"/>
      <c r="J598" s="16"/>
      <c r="K598" s="17" t="str">
        <f>IF(J598="","",ROUND(J598*Settings!$B$8,2))</f>
        <v/>
      </c>
      <c r="L598" s="16"/>
      <c r="M598" s="8" t="str">
        <f t="shared" si="9"/>
        <v/>
      </c>
      <c r="N598" s="9"/>
    </row>
    <row r="599" spans="1:14" ht="15.75">
      <c r="A599" s="11"/>
      <c r="B599" s="9"/>
      <c r="C599" s="12" t="str">
        <f>IF(B599="","",IFERROR(INDEX('Cashier Roster'!$C$5:$C$64,MATCH(B599,'Cashier Roster'!$B$5:$B$64,0)),"Not on roster"))</f>
        <v/>
      </c>
      <c r="D599" s="12" t="str">
        <f>IF(B599="","",IFERROR(INDEX('Cashier Roster'!$D$5:$D$64,MATCH(B599,'Cashier Roster'!$B$5:$B$64,0)),""))</f>
        <v/>
      </c>
      <c r="E599" s="13"/>
      <c r="F599" s="14"/>
      <c r="G599" s="8" t="str">
        <f>IF(OR(B599="",E599=""),"",IF(E599="No","Missed",IF(F599="","",IF(F599&lt;=Settings!$B$7,"On time","Late"))))</f>
        <v/>
      </c>
      <c r="H599" s="15"/>
      <c r="I599" s="16"/>
      <c r="J599" s="16"/>
      <c r="K599" s="17" t="str">
        <f>IF(J599="","",ROUND(J599*Settings!$B$8,2))</f>
        <v/>
      </c>
      <c r="L599" s="16"/>
      <c r="M599" s="8" t="str">
        <f t="shared" si="9"/>
        <v/>
      </c>
      <c r="N599" s="9"/>
    </row>
    <row r="600" spans="1:14" ht="15.75">
      <c r="A600" s="11"/>
      <c r="B600" s="9"/>
      <c r="C600" s="12" t="str">
        <f>IF(B600="","",IFERROR(INDEX('Cashier Roster'!$C$5:$C$64,MATCH(B600,'Cashier Roster'!$B$5:$B$64,0)),"Not on roster"))</f>
        <v/>
      </c>
      <c r="D600" s="12" t="str">
        <f>IF(B600="","",IFERROR(INDEX('Cashier Roster'!$D$5:$D$64,MATCH(B600,'Cashier Roster'!$B$5:$B$64,0)),""))</f>
        <v/>
      </c>
      <c r="E600" s="13"/>
      <c r="F600" s="14"/>
      <c r="G600" s="8" t="str">
        <f>IF(OR(B600="",E600=""),"",IF(E600="No","Missed",IF(F600="","",IF(F600&lt;=Settings!$B$7,"On time","Late"))))</f>
        <v/>
      </c>
      <c r="H600" s="15"/>
      <c r="I600" s="16"/>
      <c r="J600" s="16"/>
      <c r="K600" s="17" t="str">
        <f>IF(J600="","",ROUND(J600*Settings!$B$8,2))</f>
        <v/>
      </c>
      <c r="L600" s="16"/>
      <c r="M600" s="8" t="str">
        <f t="shared" si="9"/>
        <v/>
      </c>
      <c r="N600" s="9"/>
    </row>
    <row r="601" spans="1:14" ht="15.75">
      <c r="A601" s="11"/>
      <c r="B601" s="9"/>
      <c r="C601" s="12" t="str">
        <f>IF(B601="","",IFERROR(INDEX('Cashier Roster'!$C$5:$C$64,MATCH(B601,'Cashier Roster'!$B$5:$B$64,0)),"Not on roster"))</f>
        <v/>
      </c>
      <c r="D601" s="12" t="str">
        <f>IF(B601="","",IFERROR(INDEX('Cashier Roster'!$D$5:$D$64,MATCH(B601,'Cashier Roster'!$B$5:$B$64,0)),""))</f>
        <v/>
      </c>
      <c r="E601" s="13"/>
      <c r="F601" s="14"/>
      <c r="G601" s="8" t="str">
        <f>IF(OR(B601="",E601=""),"",IF(E601="No","Missed",IF(F601="","",IF(F601&lt;=Settings!$B$7,"On time","Late"))))</f>
        <v/>
      </c>
      <c r="H601" s="15"/>
      <c r="I601" s="16"/>
      <c r="J601" s="16"/>
      <c r="K601" s="17" t="str">
        <f>IF(J601="","",ROUND(J601*Settings!$B$8,2))</f>
        <v/>
      </c>
      <c r="L601" s="16"/>
      <c r="M601" s="8" t="str">
        <f t="shared" si="9"/>
        <v/>
      </c>
      <c r="N601" s="9"/>
    </row>
    <row r="602" spans="1:14" ht="15.75">
      <c r="A602" s="11"/>
      <c r="B602" s="9"/>
      <c r="C602" s="12" t="str">
        <f>IF(B602="","",IFERROR(INDEX('Cashier Roster'!$C$5:$C$64,MATCH(B602,'Cashier Roster'!$B$5:$B$64,0)),"Not on roster"))</f>
        <v/>
      </c>
      <c r="D602" s="12" t="str">
        <f>IF(B602="","",IFERROR(INDEX('Cashier Roster'!$D$5:$D$64,MATCH(B602,'Cashier Roster'!$B$5:$B$64,0)),""))</f>
        <v/>
      </c>
      <c r="E602" s="13"/>
      <c r="F602" s="14"/>
      <c r="G602" s="8" t="str">
        <f>IF(OR(B602="",E602=""),"",IF(E602="No","Missed",IF(F602="","",IF(F602&lt;=Settings!$B$7,"On time","Late"))))</f>
        <v/>
      </c>
      <c r="H602" s="15"/>
      <c r="I602" s="16"/>
      <c r="J602" s="16"/>
      <c r="K602" s="17" t="str">
        <f>IF(J602="","",ROUND(J602*Settings!$B$8,2))</f>
        <v/>
      </c>
      <c r="L602" s="16"/>
      <c r="M602" s="8" t="str">
        <f t="shared" si="9"/>
        <v/>
      </c>
      <c r="N602" s="9"/>
    </row>
    <row r="603" spans="1:14" ht="15.75">
      <c r="A603" s="11"/>
      <c r="B603" s="9"/>
      <c r="C603" s="12" t="str">
        <f>IF(B603="","",IFERROR(INDEX('Cashier Roster'!$C$5:$C$64,MATCH(B603,'Cashier Roster'!$B$5:$B$64,0)),"Not on roster"))</f>
        <v/>
      </c>
      <c r="D603" s="12" t="str">
        <f>IF(B603="","",IFERROR(INDEX('Cashier Roster'!$D$5:$D$64,MATCH(B603,'Cashier Roster'!$B$5:$B$64,0)),""))</f>
        <v/>
      </c>
      <c r="E603" s="13"/>
      <c r="F603" s="14"/>
      <c r="G603" s="8" t="str">
        <f>IF(OR(B603="",E603=""),"",IF(E603="No","Missed",IF(F603="","",IF(F603&lt;=Settings!$B$7,"On time","Late"))))</f>
        <v/>
      </c>
      <c r="H603" s="15"/>
      <c r="I603" s="16"/>
      <c r="J603" s="16"/>
      <c r="K603" s="17" t="str">
        <f>IF(J603="","",ROUND(J603*Settings!$B$8,2))</f>
        <v/>
      </c>
      <c r="L603" s="16"/>
      <c r="M603" s="8" t="str">
        <f t="shared" si="9"/>
        <v/>
      </c>
      <c r="N603" s="9"/>
    </row>
    <row r="604" spans="1:14" ht="15.75">
      <c r="A604" s="11"/>
      <c r="B604" s="9"/>
      <c r="C604" s="12" t="str">
        <f>IF(B604="","",IFERROR(INDEX('Cashier Roster'!$C$5:$C$64,MATCH(B604,'Cashier Roster'!$B$5:$B$64,0)),"Not on roster"))</f>
        <v/>
      </c>
      <c r="D604" s="12" t="str">
        <f>IF(B604="","",IFERROR(INDEX('Cashier Roster'!$D$5:$D$64,MATCH(B604,'Cashier Roster'!$B$5:$B$64,0)),""))</f>
        <v/>
      </c>
      <c r="E604" s="13"/>
      <c r="F604" s="14"/>
      <c r="G604" s="8" t="str">
        <f>IF(OR(B604="",E604=""),"",IF(E604="No","Missed",IF(F604="","",IF(F604&lt;=Settings!$B$7,"On time","Late"))))</f>
        <v/>
      </c>
      <c r="H604" s="15"/>
      <c r="I604" s="16"/>
      <c r="J604" s="16"/>
      <c r="K604" s="17" t="str">
        <f>IF(J604="","",ROUND(J604*Settings!$B$8,2))</f>
        <v/>
      </c>
      <c r="L604" s="16"/>
      <c r="M604" s="8" t="str">
        <f t="shared" si="9"/>
        <v/>
      </c>
      <c r="N604" s="9"/>
    </row>
    <row r="605" spans="1:14" ht="15.75">
      <c r="A605" s="11"/>
      <c r="B605" s="9"/>
      <c r="C605" s="12" t="str">
        <f>IF(B605="","",IFERROR(INDEX('Cashier Roster'!$C$5:$C$64,MATCH(B605,'Cashier Roster'!$B$5:$B$64,0)),"Not on roster"))</f>
        <v/>
      </c>
      <c r="D605" s="12" t="str">
        <f>IF(B605="","",IFERROR(INDEX('Cashier Roster'!$D$5:$D$64,MATCH(B605,'Cashier Roster'!$B$5:$B$64,0)),""))</f>
        <v/>
      </c>
      <c r="E605" s="13"/>
      <c r="F605" s="14"/>
      <c r="G605" s="8" t="str">
        <f>IF(OR(B605="",E605=""),"",IF(E605="No","Missed",IF(F605="","",IF(F605&lt;=Settings!$B$7,"On time","Late"))))</f>
        <v/>
      </c>
      <c r="H605" s="15"/>
      <c r="I605" s="16"/>
      <c r="J605" s="16"/>
      <c r="K605" s="17" t="str">
        <f>IF(J605="","",ROUND(J605*Settings!$B$8,2))</f>
        <v/>
      </c>
      <c r="L605" s="16"/>
      <c r="M605" s="8" t="str">
        <f t="shared" si="9"/>
        <v/>
      </c>
      <c r="N605" s="9"/>
    </row>
    <row r="606" spans="1:14" ht="15.75">
      <c r="A606" s="11"/>
      <c r="B606" s="9"/>
      <c r="C606" s="12" t="str">
        <f>IF(B606="","",IFERROR(INDEX('Cashier Roster'!$C$5:$C$64,MATCH(B606,'Cashier Roster'!$B$5:$B$64,0)),"Not on roster"))</f>
        <v/>
      </c>
      <c r="D606" s="12" t="str">
        <f>IF(B606="","",IFERROR(INDEX('Cashier Roster'!$D$5:$D$64,MATCH(B606,'Cashier Roster'!$B$5:$B$64,0)),""))</f>
        <v/>
      </c>
      <c r="E606" s="13"/>
      <c r="F606" s="14"/>
      <c r="G606" s="8" t="str">
        <f>IF(OR(B606="",E606=""),"",IF(E606="No","Missed",IF(F606="","",IF(F606&lt;=Settings!$B$7,"On time","Late"))))</f>
        <v/>
      </c>
      <c r="H606" s="15"/>
      <c r="I606" s="16"/>
      <c r="J606" s="16"/>
      <c r="K606" s="17" t="str">
        <f>IF(J606="","",ROUND(J606*Settings!$B$8,2))</f>
        <v/>
      </c>
      <c r="L606" s="16"/>
      <c r="M606" s="8" t="str">
        <f t="shared" si="9"/>
        <v/>
      </c>
      <c r="N606" s="9"/>
    </row>
    <row r="607" spans="1:14" ht="15.75">
      <c r="A607" s="11"/>
      <c r="B607" s="9"/>
      <c r="C607" s="12" t="str">
        <f>IF(B607="","",IFERROR(INDEX('Cashier Roster'!$C$5:$C$64,MATCH(B607,'Cashier Roster'!$B$5:$B$64,0)),"Not on roster"))</f>
        <v/>
      </c>
      <c r="D607" s="12" t="str">
        <f>IF(B607="","",IFERROR(INDEX('Cashier Roster'!$D$5:$D$64,MATCH(B607,'Cashier Roster'!$B$5:$B$64,0)),""))</f>
        <v/>
      </c>
      <c r="E607" s="13"/>
      <c r="F607" s="14"/>
      <c r="G607" s="8" t="str">
        <f>IF(OR(B607="",E607=""),"",IF(E607="No","Missed",IF(F607="","",IF(F607&lt;=Settings!$B$7,"On time","Late"))))</f>
        <v/>
      </c>
      <c r="H607" s="15"/>
      <c r="I607" s="16"/>
      <c r="J607" s="16"/>
      <c r="K607" s="17" t="str">
        <f>IF(J607="","",ROUND(J607*Settings!$B$8,2))</f>
        <v/>
      </c>
      <c r="L607" s="16"/>
      <c r="M607" s="8" t="str">
        <f t="shared" si="9"/>
        <v/>
      </c>
      <c r="N607" s="9"/>
    </row>
    <row r="608" spans="1:14" ht="15.75">
      <c r="A608" s="11"/>
      <c r="B608" s="9"/>
      <c r="C608" s="12" t="str">
        <f>IF(B608="","",IFERROR(INDEX('Cashier Roster'!$C$5:$C$64,MATCH(B608,'Cashier Roster'!$B$5:$B$64,0)),"Not on roster"))</f>
        <v/>
      </c>
      <c r="D608" s="12" t="str">
        <f>IF(B608="","",IFERROR(INDEX('Cashier Roster'!$D$5:$D$64,MATCH(B608,'Cashier Roster'!$B$5:$B$64,0)),""))</f>
        <v/>
      </c>
      <c r="E608" s="13"/>
      <c r="F608" s="14"/>
      <c r="G608" s="8" t="str">
        <f>IF(OR(B608="",E608=""),"",IF(E608="No","Missed",IF(F608="","",IF(F608&lt;=Settings!$B$7,"On time","Late"))))</f>
        <v/>
      </c>
      <c r="H608" s="15"/>
      <c r="I608" s="16"/>
      <c r="J608" s="16"/>
      <c r="K608" s="17" t="str">
        <f>IF(J608="","",ROUND(J608*Settings!$B$8,2))</f>
        <v/>
      </c>
      <c r="L608" s="16"/>
      <c r="M608" s="8" t="str">
        <f t="shared" si="9"/>
        <v/>
      </c>
      <c r="N608" s="9"/>
    </row>
    <row r="609" spans="1:14" ht="15.75">
      <c r="A609" s="11"/>
      <c r="B609" s="9"/>
      <c r="C609" s="12" t="str">
        <f>IF(B609="","",IFERROR(INDEX('Cashier Roster'!$C$5:$C$64,MATCH(B609,'Cashier Roster'!$B$5:$B$64,0)),"Not on roster"))</f>
        <v/>
      </c>
      <c r="D609" s="12" t="str">
        <f>IF(B609="","",IFERROR(INDEX('Cashier Roster'!$D$5:$D$64,MATCH(B609,'Cashier Roster'!$B$5:$B$64,0)),""))</f>
        <v/>
      </c>
      <c r="E609" s="13"/>
      <c r="F609" s="14"/>
      <c r="G609" s="8" t="str">
        <f>IF(OR(B609="",E609=""),"",IF(E609="No","Missed",IF(F609="","",IF(F609&lt;=Settings!$B$7,"On time","Late"))))</f>
        <v/>
      </c>
      <c r="H609" s="15"/>
      <c r="I609" s="16"/>
      <c r="J609" s="16"/>
      <c r="K609" s="17" t="str">
        <f>IF(J609="","",ROUND(J609*Settings!$B$8,2))</f>
        <v/>
      </c>
      <c r="L609" s="16"/>
      <c r="M609" s="8" t="str">
        <f t="shared" si="9"/>
        <v/>
      </c>
      <c r="N609" s="9"/>
    </row>
    <row r="610" spans="1:14" ht="15.75">
      <c r="A610" s="11"/>
      <c r="B610" s="9"/>
      <c r="C610" s="12" t="str">
        <f>IF(B610="","",IFERROR(INDEX('Cashier Roster'!$C$5:$C$64,MATCH(B610,'Cashier Roster'!$B$5:$B$64,0)),"Not on roster"))</f>
        <v/>
      </c>
      <c r="D610" s="12" t="str">
        <f>IF(B610="","",IFERROR(INDEX('Cashier Roster'!$D$5:$D$64,MATCH(B610,'Cashier Roster'!$B$5:$B$64,0)),""))</f>
        <v/>
      </c>
      <c r="E610" s="13"/>
      <c r="F610" s="14"/>
      <c r="G610" s="8" t="str">
        <f>IF(OR(B610="",E610=""),"",IF(E610="No","Missed",IF(F610="","",IF(F610&lt;=Settings!$B$7,"On time","Late"))))</f>
        <v/>
      </c>
      <c r="H610" s="15"/>
      <c r="I610" s="16"/>
      <c r="J610" s="16"/>
      <c r="K610" s="17" t="str">
        <f>IF(J610="","",ROUND(J610*Settings!$B$8,2))</f>
        <v/>
      </c>
      <c r="L610" s="16"/>
      <c r="M610" s="8" t="str">
        <f t="shared" si="9"/>
        <v/>
      </c>
      <c r="N610" s="9"/>
    </row>
    <row r="611" spans="1:14" ht="15.75">
      <c r="A611" s="11"/>
      <c r="B611" s="9"/>
      <c r="C611" s="12" t="str">
        <f>IF(B611="","",IFERROR(INDEX('Cashier Roster'!$C$5:$C$64,MATCH(B611,'Cashier Roster'!$B$5:$B$64,0)),"Not on roster"))</f>
        <v/>
      </c>
      <c r="D611" s="12" t="str">
        <f>IF(B611="","",IFERROR(INDEX('Cashier Roster'!$D$5:$D$64,MATCH(B611,'Cashier Roster'!$B$5:$B$64,0)),""))</f>
        <v/>
      </c>
      <c r="E611" s="13"/>
      <c r="F611" s="14"/>
      <c r="G611" s="8" t="str">
        <f>IF(OR(B611="",E611=""),"",IF(E611="No","Missed",IF(F611="","",IF(F611&lt;=Settings!$B$7,"On time","Late"))))</f>
        <v/>
      </c>
      <c r="H611" s="15"/>
      <c r="I611" s="16"/>
      <c r="J611" s="16"/>
      <c r="K611" s="17" t="str">
        <f>IF(J611="","",ROUND(J611*Settings!$B$8,2))</f>
        <v/>
      </c>
      <c r="L611" s="16"/>
      <c r="M611" s="8" t="str">
        <f t="shared" si="9"/>
        <v/>
      </c>
      <c r="N611" s="9"/>
    </row>
    <row r="612" spans="1:14" ht="15.75">
      <c r="A612" s="11"/>
      <c r="B612" s="9"/>
      <c r="C612" s="12" t="str">
        <f>IF(B612="","",IFERROR(INDEX('Cashier Roster'!$C$5:$C$64,MATCH(B612,'Cashier Roster'!$B$5:$B$64,0)),"Not on roster"))</f>
        <v/>
      </c>
      <c r="D612" s="12" t="str">
        <f>IF(B612="","",IFERROR(INDEX('Cashier Roster'!$D$5:$D$64,MATCH(B612,'Cashier Roster'!$B$5:$B$64,0)),""))</f>
        <v/>
      </c>
      <c r="E612" s="13"/>
      <c r="F612" s="14"/>
      <c r="G612" s="8" t="str">
        <f>IF(OR(B612="",E612=""),"",IF(E612="No","Missed",IF(F612="","",IF(F612&lt;=Settings!$B$7,"On time","Late"))))</f>
        <v/>
      </c>
      <c r="H612" s="15"/>
      <c r="I612" s="16"/>
      <c r="J612" s="16"/>
      <c r="K612" s="17" t="str">
        <f>IF(J612="","",ROUND(J612*Settings!$B$8,2))</f>
        <v/>
      </c>
      <c r="L612" s="16"/>
      <c r="M612" s="8" t="str">
        <f t="shared" si="9"/>
        <v/>
      </c>
      <c r="N612" s="9"/>
    </row>
    <row r="613" spans="1:14" ht="15.75">
      <c r="A613" s="11"/>
      <c r="B613" s="9"/>
      <c r="C613" s="12" t="str">
        <f>IF(B613="","",IFERROR(INDEX('Cashier Roster'!$C$5:$C$64,MATCH(B613,'Cashier Roster'!$B$5:$B$64,0)),"Not on roster"))</f>
        <v/>
      </c>
      <c r="D613" s="12" t="str">
        <f>IF(B613="","",IFERROR(INDEX('Cashier Roster'!$D$5:$D$64,MATCH(B613,'Cashier Roster'!$B$5:$B$64,0)),""))</f>
        <v/>
      </c>
      <c r="E613" s="13"/>
      <c r="F613" s="14"/>
      <c r="G613" s="8" t="str">
        <f>IF(OR(B613="",E613=""),"",IF(E613="No","Missed",IF(F613="","",IF(F613&lt;=Settings!$B$7,"On time","Late"))))</f>
        <v/>
      </c>
      <c r="H613" s="15"/>
      <c r="I613" s="16"/>
      <c r="J613" s="16"/>
      <c r="K613" s="17" t="str">
        <f>IF(J613="","",ROUND(J613*Settings!$B$8,2))</f>
        <v/>
      </c>
      <c r="L613" s="16"/>
      <c r="M613" s="8" t="str">
        <f t="shared" si="9"/>
        <v/>
      </c>
      <c r="N613" s="9"/>
    </row>
    <row r="614" spans="1:14" ht="15.75">
      <c r="A614" s="11"/>
      <c r="B614" s="9"/>
      <c r="C614" s="12" t="str">
        <f>IF(B614="","",IFERROR(INDEX('Cashier Roster'!$C$5:$C$64,MATCH(B614,'Cashier Roster'!$B$5:$B$64,0)),"Not on roster"))</f>
        <v/>
      </c>
      <c r="D614" s="12" t="str">
        <f>IF(B614="","",IFERROR(INDEX('Cashier Roster'!$D$5:$D$64,MATCH(B614,'Cashier Roster'!$B$5:$B$64,0)),""))</f>
        <v/>
      </c>
      <c r="E614" s="13"/>
      <c r="F614" s="14"/>
      <c r="G614" s="8" t="str">
        <f>IF(OR(B614="",E614=""),"",IF(E614="No","Missed",IF(F614="","",IF(F614&lt;=Settings!$B$7,"On time","Late"))))</f>
        <v/>
      </c>
      <c r="H614" s="15"/>
      <c r="I614" s="16"/>
      <c r="J614" s="16"/>
      <c r="K614" s="17" t="str">
        <f>IF(J614="","",ROUND(J614*Settings!$B$8,2))</f>
        <v/>
      </c>
      <c r="L614" s="16"/>
      <c r="M614" s="8" t="str">
        <f t="shared" si="9"/>
        <v/>
      </c>
      <c r="N614" s="9"/>
    </row>
    <row r="615" spans="1:14" ht="15.75">
      <c r="A615" s="11"/>
      <c r="B615" s="9"/>
      <c r="C615" s="12" t="str">
        <f>IF(B615="","",IFERROR(INDEX('Cashier Roster'!$C$5:$C$64,MATCH(B615,'Cashier Roster'!$B$5:$B$64,0)),"Not on roster"))</f>
        <v/>
      </c>
      <c r="D615" s="12" t="str">
        <f>IF(B615="","",IFERROR(INDEX('Cashier Roster'!$D$5:$D$64,MATCH(B615,'Cashier Roster'!$B$5:$B$64,0)),""))</f>
        <v/>
      </c>
      <c r="E615" s="13"/>
      <c r="F615" s="14"/>
      <c r="G615" s="8" t="str">
        <f>IF(OR(B615="",E615=""),"",IF(E615="No","Missed",IF(F615="","",IF(F615&lt;=Settings!$B$7,"On time","Late"))))</f>
        <v/>
      </c>
      <c r="H615" s="15"/>
      <c r="I615" s="16"/>
      <c r="J615" s="16"/>
      <c r="K615" s="17" t="str">
        <f>IF(J615="","",ROUND(J615*Settings!$B$8,2))</f>
        <v/>
      </c>
      <c r="L615" s="16"/>
      <c r="M615" s="8" t="str">
        <f t="shared" si="9"/>
        <v/>
      </c>
      <c r="N615" s="9"/>
    </row>
    <row r="616" spans="1:14" ht="15.75">
      <c r="A616" s="11"/>
      <c r="B616" s="9"/>
      <c r="C616" s="12" t="str">
        <f>IF(B616="","",IFERROR(INDEX('Cashier Roster'!$C$5:$C$64,MATCH(B616,'Cashier Roster'!$B$5:$B$64,0)),"Not on roster"))</f>
        <v/>
      </c>
      <c r="D616" s="12" t="str">
        <f>IF(B616="","",IFERROR(INDEX('Cashier Roster'!$D$5:$D$64,MATCH(B616,'Cashier Roster'!$B$5:$B$64,0)),""))</f>
        <v/>
      </c>
      <c r="E616" s="13"/>
      <c r="F616" s="14"/>
      <c r="G616" s="8" t="str">
        <f>IF(OR(B616="",E616=""),"",IF(E616="No","Missed",IF(F616="","",IF(F616&lt;=Settings!$B$7,"On time","Late"))))</f>
        <v/>
      </c>
      <c r="H616" s="15"/>
      <c r="I616" s="16"/>
      <c r="J616" s="16"/>
      <c r="K616" s="17" t="str">
        <f>IF(J616="","",ROUND(J616*Settings!$B$8,2))</f>
        <v/>
      </c>
      <c r="L616" s="16"/>
      <c r="M616" s="8" t="str">
        <f t="shared" si="9"/>
        <v/>
      </c>
      <c r="N616" s="9"/>
    </row>
    <row r="617" spans="1:14" ht="15.75">
      <c r="A617" s="11"/>
      <c r="B617" s="9"/>
      <c r="C617" s="12" t="str">
        <f>IF(B617="","",IFERROR(INDEX('Cashier Roster'!$C$5:$C$64,MATCH(B617,'Cashier Roster'!$B$5:$B$64,0)),"Not on roster"))</f>
        <v/>
      </c>
      <c r="D617" s="12" t="str">
        <f>IF(B617="","",IFERROR(INDEX('Cashier Roster'!$D$5:$D$64,MATCH(B617,'Cashier Roster'!$B$5:$B$64,0)),""))</f>
        <v/>
      </c>
      <c r="E617" s="13"/>
      <c r="F617" s="14"/>
      <c r="G617" s="8" t="str">
        <f>IF(OR(B617="",E617=""),"",IF(E617="No","Missed",IF(F617="","",IF(F617&lt;=Settings!$B$7,"On time","Late"))))</f>
        <v/>
      </c>
      <c r="H617" s="15"/>
      <c r="I617" s="16"/>
      <c r="J617" s="16"/>
      <c r="K617" s="17" t="str">
        <f>IF(J617="","",ROUND(J617*Settings!$B$8,2))</f>
        <v/>
      </c>
      <c r="L617" s="16"/>
      <c r="M617" s="8" t="str">
        <f t="shared" si="9"/>
        <v/>
      </c>
      <c r="N617" s="9"/>
    </row>
    <row r="618" spans="1:14" ht="15.75">
      <c r="A618" s="11"/>
      <c r="B618" s="9"/>
      <c r="C618" s="12" t="str">
        <f>IF(B618="","",IFERROR(INDEX('Cashier Roster'!$C$5:$C$64,MATCH(B618,'Cashier Roster'!$B$5:$B$64,0)),"Not on roster"))</f>
        <v/>
      </c>
      <c r="D618" s="12" t="str">
        <f>IF(B618="","",IFERROR(INDEX('Cashier Roster'!$D$5:$D$64,MATCH(B618,'Cashier Roster'!$B$5:$B$64,0)),""))</f>
        <v/>
      </c>
      <c r="E618" s="13"/>
      <c r="F618" s="14"/>
      <c r="G618" s="8" t="str">
        <f>IF(OR(B618="",E618=""),"",IF(E618="No","Missed",IF(F618="","",IF(F618&lt;=Settings!$B$7,"On time","Late"))))</f>
        <v/>
      </c>
      <c r="H618" s="15"/>
      <c r="I618" s="16"/>
      <c r="J618" s="16"/>
      <c r="K618" s="17" t="str">
        <f>IF(J618="","",ROUND(J618*Settings!$B$8,2))</f>
        <v/>
      </c>
      <c r="L618" s="16"/>
      <c r="M618" s="8" t="str">
        <f t="shared" si="9"/>
        <v/>
      </c>
      <c r="N618" s="9"/>
    </row>
    <row r="619" spans="1:14" ht="15.75">
      <c r="A619" s="11"/>
      <c r="B619" s="9"/>
      <c r="C619" s="12" t="str">
        <f>IF(B619="","",IFERROR(INDEX('Cashier Roster'!$C$5:$C$64,MATCH(B619,'Cashier Roster'!$B$5:$B$64,0)),"Not on roster"))</f>
        <v/>
      </c>
      <c r="D619" s="12" t="str">
        <f>IF(B619="","",IFERROR(INDEX('Cashier Roster'!$D$5:$D$64,MATCH(B619,'Cashier Roster'!$B$5:$B$64,0)),""))</f>
        <v/>
      </c>
      <c r="E619" s="13"/>
      <c r="F619" s="14"/>
      <c r="G619" s="8" t="str">
        <f>IF(OR(B619="",E619=""),"",IF(E619="No","Missed",IF(F619="","",IF(F619&lt;=Settings!$B$7,"On time","Late"))))</f>
        <v/>
      </c>
      <c r="H619" s="15"/>
      <c r="I619" s="16"/>
      <c r="J619" s="16"/>
      <c r="K619" s="17" t="str">
        <f>IF(J619="","",ROUND(J619*Settings!$B$8,2))</f>
        <v/>
      </c>
      <c r="L619" s="16"/>
      <c r="M619" s="8" t="str">
        <f t="shared" si="9"/>
        <v/>
      </c>
      <c r="N619" s="9"/>
    </row>
    <row r="620" spans="1:14" ht="15.75">
      <c r="A620" s="11"/>
      <c r="B620" s="9"/>
      <c r="C620" s="12" t="str">
        <f>IF(B620="","",IFERROR(INDEX('Cashier Roster'!$C$5:$C$64,MATCH(B620,'Cashier Roster'!$B$5:$B$64,0)),"Not on roster"))</f>
        <v/>
      </c>
      <c r="D620" s="12" t="str">
        <f>IF(B620="","",IFERROR(INDEX('Cashier Roster'!$D$5:$D$64,MATCH(B620,'Cashier Roster'!$B$5:$B$64,0)),""))</f>
        <v/>
      </c>
      <c r="E620" s="13"/>
      <c r="F620" s="14"/>
      <c r="G620" s="8" t="str">
        <f>IF(OR(B620="",E620=""),"",IF(E620="No","Missed",IF(F620="","",IF(F620&lt;=Settings!$B$7,"On time","Late"))))</f>
        <v/>
      </c>
      <c r="H620" s="15"/>
      <c r="I620" s="16"/>
      <c r="J620" s="16"/>
      <c r="K620" s="17" t="str">
        <f>IF(J620="","",ROUND(J620*Settings!$B$8,2))</f>
        <v/>
      </c>
      <c r="L620" s="16"/>
      <c r="M620" s="8" t="str">
        <f t="shared" si="9"/>
        <v/>
      </c>
      <c r="N620" s="9"/>
    </row>
    <row r="621" spans="1:14" ht="15.75">
      <c r="A621" s="11"/>
      <c r="B621" s="9"/>
      <c r="C621" s="12" t="str">
        <f>IF(B621="","",IFERROR(INDEX('Cashier Roster'!$C$5:$C$64,MATCH(B621,'Cashier Roster'!$B$5:$B$64,0)),"Not on roster"))</f>
        <v/>
      </c>
      <c r="D621" s="12" t="str">
        <f>IF(B621="","",IFERROR(INDEX('Cashier Roster'!$D$5:$D$64,MATCH(B621,'Cashier Roster'!$B$5:$B$64,0)),""))</f>
        <v/>
      </c>
      <c r="E621" s="13"/>
      <c r="F621" s="14"/>
      <c r="G621" s="8" t="str">
        <f>IF(OR(B621="",E621=""),"",IF(E621="No","Missed",IF(F621="","",IF(F621&lt;=Settings!$B$7,"On time","Late"))))</f>
        <v/>
      </c>
      <c r="H621" s="15"/>
      <c r="I621" s="16"/>
      <c r="J621" s="16"/>
      <c r="K621" s="17" t="str">
        <f>IF(J621="","",ROUND(J621*Settings!$B$8,2))</f>
        <v/>
      </c>
      <c r="L621" s="16"/>
      <c r="M621" s="8" t="str">
        <f t="shared" si="9"/>
        <v/>
      </c>
      <c r="N621" s="9"/>
    </row>
    <row r="622" spans="1:14" ht="15.75">
      <c r="A622" s="11"/>
      <c r="B622" s="9"/>
      <c r="C622" s="12" t="str">
        <f>IF(B622="","",IFERROR(INDEX('Cashier Roster'!$C$5:$C$64,MATCH(B622,'Cashier Roster'!$B$5:$B$64,0)),"Not on roster"))</f>
        <v/>
      </c>
      <c r="D622" s="12" t="str">
        <f>IF(B622="","",IFERROR(INDEX('Cashier Roster'!$D$5:$D$64,MATCH(B622,'Cashier Roster'!$B$5:$B$64,0)),""))</f>
        <v/>
      </c>
      <c r="E622" s="13"/>
      <c r="F622" s="14"/>
      <c r="G622" s="8" t="str">
        <f>IF(OR(B622="",E622=""),"",IF(E622="No","Missed",IF(F622="","",IF(F622&lt;=Settings!$B$7,"On time","Late"))))</f>
        <v/>
      </c>
      <c r="H622" s="15"/>
      <c r="I622" s="16"/>
      <c r="J622" s="16"/>
      <c r="K622" s="17" t="str">
        <f>IF(J622="","",ROUND(J622*Settings!$B$8,2))</f>
        <v/>
      </c>
      <c r="L622" s="16"/>
      <c r="M622" s="8" t="str">
        <f t="shared" si="9"/>
        <v/>
      </c>
      <c r="N622" s="9"/>
    </row>
    <row r="623" spans="1:14" ht="15.75">
      <c r="A623" s="11"/>
      <c r="B623" s="9"/>
      <c r="C623" s="12" t="str">
        <f>IF(B623="","",IFERROR(INDEX('Cashier Roster'!$C$5:$C$64,MATCH(B623,'Cashier Roster'!$B$5:$B$64,0)),"Not on roster"))</f>
        <v/>
      </c>
      <c r="D623" s="12" t="str">
        <f>IF(B623="","",IFERROR(INDEX('Cashier Roster'!$D$5:$D$64,MATCH(B623,'Cashier Roster'!$B$5:$B$64,0)),""))</f>
        <v/>
      </c>
      <c r="E623" s="13"/>
      <c r="F623" s="14"/>
      <c r="G623" s="8" t="str">
        <f>IF(OR(B623="",E623=""),"",IF(E623="No","Missed",IF(F623="","",IF(F623&lt;=Settings!$B$7,"On time","Late"))))</f>
        <v/>
      </c>
      <c r="H623" s="15"/>
      <c r="I623" s="16"/>
      <c r="J623" s="16"/>
      <c r="K623" s="17" t="str">
        <f>IF(J623="","",ROUND(J623*Settings!$B$8,2))</f>
        <v/>
      </c>
      <c r="L623" s="16"/>
      <c r="M623" s="8" t="str">
        <f t="shared" si="9"/>
        <v/>
      </c>
      <c r="N623" s="9"/>
    </row>
    <row r="624" spans="1:14" ht="15.75">
      <c r="A624" s="11"/>
      <c r="B624" s="9"/>
      <c r="C624" s="12" t="str">
        <f>IF(B624="","",IFERROR(INDEX('Cashier Roster'!$C$5:$C$64,MATCH(B624,'Cashier Roster'!$B$5:$B$64,0)),"Not on roster"))</f>
        <v/>
      </c>
      <c r="D624" s="12" t="str">
        <f>IF(B624="","",IFERROR(INDEX('Cashier Roster'!$D$5:$D$64,MATCH(B624,'Cashier Roster'!$B$5:$B$64,0)),""))</f>
        <v/>
      </c>
      <c r="E624" s="13"/>
      <c r="F624" s="14"/>
      <c r="G624" s="8" t="str">
        <f>IF(OR(B624="",E624=""),"",IF(E624="No","Missed",IF(F624="","",IF(F624&lt;=Settings!$B$7,"On time","Late"))))</f>
        <v/>
      </c>
      <c r="H624" s="15"/>
      <c r="I624" s="16"/>
      <c r="J624" s="16"/>
      <c r="K624" s="17" t="str">
        <f>IF(J624="","",ROUND(J624*Settings!$B$8,2))</f>
        <v/>
      </c>
      <c r="L624" s="16"/>
      <c r="M624" s="8" t="str">
        <f t="shared" si="9"/>
        <v/>
      </c>
      <c r="N624" s="9"/>
    </row>
    <row r="625" spans="1:14" ht="15.75">
      <c r="A625" s="11"/>
      <c r="B625" s="9"/>
      <c r="C625" s="12" t="str">
        <f>IF(B625="","",IFERROR(INDEX('Cashier Roster'!$C$5:$C$64,MATCH(B625,'Cashier Roster'!$B$5:$B$64,0)),"Not on roster"))</f>
        <v/>
      </c>
      <c r="D625" s="12" t="str">
        <f>IF(B625="","",IFERROR(INDEX('Cashier Roster'!$D$5:$D$64,MATCH(B625,'Cashier Roster'!$B$5:$B$64,0)),""))</f>
        <v/>
      </c>
      <c r="E625" s="13"/>
      <c r="F625" s="14"/>
      <c r="G625" s="8" t="str">
        <f>IF(OR(B625="",E625=""),"",IF(E625="No","Missed",IF(F625="","",IF(F625&lt;=Settings!$B$7,"On time","Late"))))</f>
        <v/>
      </c>
      <c r="H625" s="15"/>
      <c r="I625" s="16"/>
      <c r="J625" s="16"/>
      <c r="K625" s="17" t="str">
        <f>IF(J625="","",ROUND(J625*Settings!$B$8,2))</f>
        <v/>
      </c>
      <c r="L625" s="16"/>
      <c r="M625" s="8" t="str">
        <f t="shared" si="9"/>
        <v/>
      </c>
      <c r="N625" s="9"/>
    </row>
    <row r="626" spans="1:14" ht="15.75">
      <c r="A626" s="11"/>
      <c r="B626" s="9"/>
      <c r="C626" s="12" t="str">
        <f>IF(B626="","",IFERROR(INDEX('Cashier Roster'!$C$5:$C$64,MATCH(B626,'Cashier Roster'!$B$5:$B$64,0)),"Not on roster"))</f>
        <v/>
      </c>
      <c r="D626" s="12" t="str">
        <f>IF(B626="","",IFERROR(INDEX('Cashier Roster'!$D$5:$D$64,MATCH(B626,'Cashier Roster'!$B$5:$B$64,0)),""))</f>
        <v/>
      </c>
      <c r="E626" s="13"/>
      <c r="F626" s="14"/>
      <c r="G626" s="8" t="str">
        <f>IF(OR(B626="",E626=""),"",IF(E626="No","Missed",IF(F626="","",IF(F626&lt;=Settings!$B$7,"On time","Late"))))</f>
        <v/>
      </c>
      <c r="H626" s="15"/>
      <c r="I626" s="16"/>
      <c r="J626" s="16"/>
      <c r="K626" s="17" t="str">
        <f>IF(J626="","",ROUND(J626*Settings!$B$8,2))</f>
        <v/>
      </c>
      <c r="L626" s="16"/>
      <c r="M626" s="8" t="str">
        <f t="shared" si="9"/>
        <v/>
      </c>
      <c r="N626" s="9"/>
    </row>
    <row r="627" spans="1:14" ht="15.75">
      <c r="A627" s="11"/>
      <c r="B627" s="9"/>
      <c r="C627" s="12" t="str">
        <f>IF(B627="","",IFERROR(INDEX('Cashier Roster'!$C$5:$C$64,MATCH(B627,'Cashier Roster'!$B$5:$B$64,0)),"Not on roster"))</f>
        <v/>
      </c>
      <c r="D627" s="12" t="str">
        <f>IF(B627="","",IFERROR(INDEX('Cashier Roster'!$D$5:$D$64,MATCH(B627,'Cashier Roster'!$B$5:$B$64,0)),""))</f>
        <v/>
      </c>
      <c r="E627" s="13"/>
      <c r="F627" s="14"/>
      <c r="G627" s="8" t="str">
        <f>IF(OR(B627="",E627=""),"",IF(E627="No","Missed",IF(F627="","",IF(F627&lt;=Settings!$B$7,"On time","Late"))))</f>
        <v/>
      </c>
      <c r="H627" s="15"/>
      <c r="I627" s="16"/>
      <c r="J627" s="16"/>
      <c r="K627" s="17" t="str">
        <f>IF(J627="","",ROUND(J627*Settings!$B$8,2))</f>
        <v/>
      </c>
      <c r="L627" s="16"/>
      <c r="M627" s="8" t="str">
        <f t="shared" si="9"/>
        <v/>
      </c>
      <c r="N627" s="9"/>
    </row>
    <row r="628" spans="1:14" ht="15.75">
      <c r="A628" s="11"/>
      <c r="B628" s="9"/>
      <c r="C628" s="12" t="str">
        <f>IF(B628="","",IFERROR(INDEX('Cashier Roster'!$C$5:$C$64,MATCH(B628,'Cashier Roster'!$B$5:$B$64,0)),"Not on roster"))</f>
        <v/>
      </c>
      <c r="D628" s="12" t="str">
        <f>IF(B628="","",IFERROR(INDEX('Cashier Roster'!$D$5:$D$64,MATCH(B628,'Cashier Roster'!$B$5:$B$64,0)),""))</f>
        <v/>
      </c>
      <c r="E628" s="13"/>
      <c r="F628" s="14"/>
      <c r="G628" s="8" t="str">
        <f>IF(OR(B628="",E628=""),"",IF(E628="No","Missed",IF(F628="","",IF(F628&lt;=Settings!$B$7,"On time","Late"))))</f>
        <v/>
      </c>
      <c r="H628" s="15"/>
      <c r="I628" s="16"/>
      <c r="J628" s="16"/>
      <c r="K628" s="17" t="str">
        <f>IF(J628="","",ROUND(J628*Settings!$B$8,2))</f>
        <v/>
      </c>
      <c r="L628" s="16"/>
      <c r="M628" s="8" t="str">
        <f t="shared" si="9"/>
        <v/>
      </c>
      <c r="N628" s="9"/>
    </row>
    <row r="629" spans="1:14" ht="15.75">
      <c r="A629" s="11"/>
      <c r="B629" s="9"/>
      <c r="C629" s="12" t="str">
        <f>IF(B629="","",IFERROR(INDEX('Cashier Roster'!$C$5:$C$64,MATCH(B629,'Cashier Roster'!$B$5:$B$64,0)),"Not on roster"))</f>
        <v/>
      </c>
      <c r="D629" s="12" t="str">
        <f>IF(B629="","",IFERROR(INDEX('Cashier Roster'!$D$5:$D$64,MATCH(B629,'Cashier Roster'!$B$5:$B$64,0)),""))</f>
        <v/>
      </c>
      <c r="E629" s="13"/>
      <c r="F629" s="14"/>
      <c r="G629" s="8" t="str">
        <f>IF(OR(B629="",E629=""),"",IF(E629="No","Missed",IF(F629="","",IF(F629&lt;=Settings!$B$7,"On time","Late"))))</f>
        <v/>
      </c>
      <c r="H629" s="15"/>
      <c r="I629" s="16"/>
      <c r="J629" s="16"/>
      <c r="K629" s="17" t="str">
        <f>IF(J629="","",ROUND(J629*Settings!$B$8,2))</f>
        <v/>
      </c>
      <c r="L629" s="16"/>
      <c r="M629" s="8" t="str">
        <f t="shared" si="9"/>
        <v/>
      </c>
      <c r="N629" s="9"/>
    </row>
    <row r="630" spans="1:14" ht="15.75">
      <c r="A630" s="11"/>
      <c r="B630" s="9"/>
      <c r="C630" s="12" t="str">
        <f>IF(B630="","",IFERROR(INDEX('Cashier Roster'!$C$5:$C$64,MATCH(B630,'Cashier Roster'!$B$5:$B$64,0)),"Not on roster"))</f>
        <v/>
      </c>
      <c r="D630" s="12" t="str">
        <f>IF(B630="","",IFERROR(INDEX('Cashier Roster'!$D$5:$D$64,MATCH(B630,'Cashier Roster'!$B$5:$B$64,0)),""))</f>
        <v/>
      </c>
      <c r="E630" s="13"/>
      <c r="F630" s="14"/>
      <c r="G630" s="8" t="str">
        <f>IF(OR(B630="",E630=""),"",IF(E630="No","Missed",IF(F630="","",IF(F630&lt;=Settings!$B$7,"On time","Late"))))</f>
        <v/>
      </c>
      <c r="H630" s="15"/>
      <c r="I630" s="16"/>
      <c r="J630" s="16"/>
      <c r="K630" s="17" t="str">
        <f>IF(J630="","",ROUND(J630*Settings!$B$8,2))</f>
        <v/>
      </c>
      <c r="L630" s="16"/>
      <c r="M630" s="8" t="str">
        <f t="shared" si="9"/>
        <v/>
      </c>
      <c r="N630" s="9"/>
    </row>
    <row r="631" spans="1:14" ht="15.75">
      <c r="A631" s="11"/>
      <c r="B631" s="9"/>
      <c r="C631" s="12" t="str">
        <f>IF(B631="","",IFERROR(INDEX('Cashier Roster'!$C$5:$C$64,MATCH(B631,'Cashier Roster'!$B$5:$B$64,0)),"Not on roster"))</f>
        <v/>
      </c>
      <c r="D631" s="12" t="str">
        <f>IF(B631="","",IFERROR(INDEX('Cashier Roster'!$D$5:$D$64,MATCH(B631,'Cashier Roster'!$B$5:$B$64,0)),""))</f>
        <v/>
      </c>
      <c r="E631" s="13"/>
      <c r="F631" s="14"/>
      <c r="G631" s="8" t="str">
        <f>IF(OR(B631="",E631=""),"",IF(E631="No","Missed",IF(F631="","",IF(F631&lt;=Settings!$B$7,"On time","Late"))))</f>
        <v/>
      </c>
      <c r="H631" s="15"/>
      <c r="I631" s="16"/>
      <c r="J631" s="16"/>
      <c r="K631" s="17" t="str">
        <f>IF(J631="","",ROUND(J631*Settings!$B$8,2))</f>
        <v/>
      </c>
      <c r="L631" s="16"/>
      <c r="M631" s="8" t="str">
        <f t="shared" si="9"/>
        <v/>
      </c>
      <c r="N631" s="9"/>
    </row>
    <row r="632" spans="1:14" ht="15.75">
      <c r="A632" s="11"/>
      <c r="B632" s="9"/>
      <c r="C632" s="12" t="str">
        <f>IF(B632="","",IFERROR(INDEX('Cashier Roster'!$C$5:$C$64,MATCH(B632,'Cashier Roster'!$B$5:$B$64,0)),"Not on roster"))</f>
        <v/>
      </c>
      <c r="D632" s="12" t="str">
        <f>IF(B632="","",IFERROR(INDEX('Cashier Roster'!$D$5:$D$64,MATCH(B632,'Cashier Roster'!$B$5:$B$64,0)),""))</f>
        <v/>
      </c>
      <c r="E632" s="13"/>
      <c r="F632" s="14"/>
      <c r="G632" s="8" t="str">
        <f>IF(OR(B632="",E632=""),"",IF(E632="No","Missed",IF(F632="","",IF(F632&lt;=Settings!$B$7,"On time","Late"))))</f>
        <v/>
      </c>
      <c r="H632" s="15"/>
      <c r="I632" s="16"/>
      <c r="J632" s="16"/>
      <c r="K632" s="17" t="str">
        <f>IF(J632="","",ROUND(J632*Settings!$B$8,2))</f>
        <v/>
      </c>
      <c r="L632" s="16"/>
      <c r="M632" s="8" t="str">
        <f t="shared" si="9"/>
        <v/>
      </c>
      <c r="N632" s="9"/>
    </row>
    <row r="633" spans="1:14" ht="15.75">
      <c r="A633" s="11"/>
      <c r="B633" s="9"/>
      <c r="C633" s="12" t="str">
        <f>IF(B633="","",IFERROR(INDEX('Cashier Roster'!$C$5:$C$64,MATCH(B633,'Cashier Roster'!$B$5:$B$64,0)),"Not on roster"))</f>
        <v/>
      </c>
      <c r="D633" s="12" t="str">
        <f>IF(B633="","",IFERROR(INDEX('Cashier Roster'!$D$5:$D$64,MATCH(B633,'Cashier Roster'!$B$5:$B$64,0)),""))</f>
        <v/>
      </c>
      <c r="E633" s="13"/>
      <c r="F633" s="14"/>
      <c r="G633" s="8" t="str">
        <f>IF(OR(B633="",E633=""),"",IF(E633="No","Missed",IF(F633="","",IF(F633&lt;=Settings!$B$7,"On time","Late"))))</f>
        <v/>
      </c>
      <c r="H633" s="15"/>
      <c r="I633" s="16"/>
      <c r="J633" s="16"/>
      <c r="K633" s="17" t="str">
        <f>IF(J633="","",ROUND(J633*Settings!$B$8,2))</f>
        <v/>
      </c>
      <c r="L633" s="16"/>
      <c r="M633" s="8" t="str">
        <f t="shared" si="9"/>
        <v/>
      </c>
      <c r="N633" s="9"/>
    </row>
    <row r="634" spans="1:14" ht="15.75">
      <c r="A634" s="11"/>
      <c r="B634" s="9"/>
      <c r="C634" s="12" t="str">
        <f>IF(B634="","",IFERROR(INDEX('Cashier Roster'!$C$5:$C$64,MATCH(B634,'Cashier Roster'!$B$5:$B$64,0)),"Not on roster"))</f>
        <v/>
      </c>
      <c r="D634" s="12" t="str">
        <f>IF(B634="","",IFERROR(INDEX('Cashier Roster'!$D$5:$D$64,MATCH(B634,'Cashier Roster'!$B$5:$B$64,0)),""))</f>
        <v/>
      </c>
      <c r="E634" s="13"/>
      <c r="F634" s="14"/>
      <c r="G634" s="8" t="str">
        <f>IF(OR(B634="",E634=""),"",IF(E634="No","Missed",IF(F634="","",IF(F634&lt;=Settings!$B$7,"On time","Late"))))</f>
        <v/>
      </c>
      <c r="H634" s="15"/>
      <c r="I634" s="16"/>
      <c r="J634" s="16"/>
      <c r="K634" s="17" t="str">
        <f>IF(J634="","",ROUND(J634*Settings!$B$8,2))</f>
        <v/>
      </c>
      <c r="L634" s="16"/>
      <c r="M634" s="8" t="str">
        <f t="shared" si="9"/>
        <v/>
      </c>
      <c r="N634" s="9"/>
    </row>
    <row r="635" spans="1:14" ht="15.75">
      <c r="A635" s="11"/>
      <c r="B635" s="9"/>
      <c r="C635" s="12" t="str">
        <f>IF(B635="","",IFERROR(INDEX('Cashier Roster'!$C$5:$C$64,MATCH(B635,'Cashier Roster'!$B$5:$B$64,0)),"Not on roster"))</f>
        <v/>
      </c>
      <c r="D635" s="12" t="str">
        <f>IF(B635="","",IFERROR(INDEX('Cashier Roster'!$D$5:$D$64,MATCH(B635,'Cashier Roster'!$B$5:$B$64,0)),""))</f>
        <v/>
      </c>
      <c r="E635" s="13"/>
      <c r="F635" s="14"/>
      <c r="G635" s="8" t="str">
        <f>IF(OR(B635="",E635=""),"",IF(E635="No","Missed",IF(F635="","",IF(F635&lt;=Settings!$B$7,"On time","Late"))))</f>
        <v/>
      </c>
      <c r="H635" s="15"/>
      <c r="I635" s="16"/>
      <c r="J635" s="16"/>
      <c r="K635" s="17" t="str">
        <f>IF(J635="","",ROUND(J635*Settings!$B$8,2))</f>
        <v/>
      </c>
      <c r="L635" s="16"/>
      <c r="M635" s="8" t="str">
        <f t="shared" si="9"/>
        <v/>
      </c>
      <c r="N635" s="9"/>
    </row>
    <row r="636" spans="1:14" ht="15.75">
      <c r="A636" s="11"/>
      <c r="B636" s="9"/>
      <c r="C636" s="12" t="str">
        <f>IF(B636="","",IFERROR(INDEX('Cashier Roster'!$C$5:$C$64,MATCH(B636,'Cashier Roster'!$B$5:$B$64,0)),"Not on roster"))</f>
        <v/>
      </c>
      <c r="D636" s="12" t="str">
        <f>IF(B636="","",IFERROR(INDEX('Cashier Roster'!$D$5:$D$64,MATCH(B636,'Cashier Roster'!$B$5:$B$64,0)),""))</f>
        <v/>
      </c>
      <c r="E636" s="13"/>
      <c r="F636" s="14"/>
      <c r="G636" s="8" t="str">
        <f>IF(OR(B636="",E636=""),"",IF(E636="No","Missed",IF(F636="","",IF(F636&lt;=Settings!$B$7,"On time","Late"))))</f>
        <v/>
      </c>
      <c r="H636" s="15"/>
      <c r="I636" s="16"/>
      <c r="J636" s="16"/>
      <c r="K636" s="17" t="str">
        <f>IF(J636="","",ROUND(J636*Settings!$B$8,2))</f>
        <v/>
      </c>
      <c r="L636" s="16"/>
      <c r="M636" s="8" t="str">
        <f t="shared" si="9"/>
        <v/>
      </c>
      <c r="N636" s="9"/>
    </row>
    <row r="637" spans="1:14" ht="15.75">
      <c r="A637" s="11"/>
      <c r="B637" s="9"/>
      <c r="C637" s="12" t="str">
        <f>IF(B637="","",IFERROR(INDEX('Cashier Roster'!$C$5:$C$64,MATCH(B637,'Cashier Roster'!$B$5:$B$64,0)),"Not on roster"))</f>
        <v/>
      </c>
      <c r="D637" s="12" t="str">
        <f>IF(B637="","",IFERROR(INDEX('Cashier Roster'!$D$5:$D$64,MATCH(B637,'Cashier Roster'!$B$5:$B$64,0)),""))</f>
        <v/>
      </c>
      <c r="E637" s="13"/>
      <c r="F637" s="14"/>
      <c r="G637" s="8" t="str">
        <f>IF(OR(B637="",E637=""),"",IF(E637="No","Missed",IF(F637="","",IF(F637&lt;=Settings!$B$7,"On time","Late"))))</f>
        <v/>
      </c>
      <c r="H637" s="15"/>
      <c r="I637" s="16"/>
      <c r="J637" s="16"/>
      <c r="K637" s="17" t="str">
        <f>IF(J637="","",ROUND(J637*Settings!$B$8,2))</f>
        <v/>
      </c>
      <c r="L637" s="16"/>
      <c r="M637" s="8" t="str">
        <f t="shared" si="9"/>
        <v/>
      </c>
      <c r="N637" s="9"/>
    </row>
    <row r="638" spans="1:14" ht="15.75">
      <c r="A638" s="11"/>
      <c r="B638" s="9"/>
      <c r="C638" s="12" t="str">
        <f>IF(B638="","",IFERROR(INDEX('Cashier Roster'!$C$5:$C$64,MATCH(B638,'Cashier Roster'!$B$5:$B$64,0)),"Not on roster"))</f>
        <v/>
      </c>
      <c r="D638" s="12" t="str">
        <f>IF(B638="","",IFERROR(INDEX('Cashier Roster'!$D$5:$D$64,MATCH(B638,'Cashier Roster'!$B$5:$B$64,0)),""))</f>
        <v/>
      </c>
      <c r="E638" s="13"/>
      <c r="F638" s="14"/>
      <c r="G638" s="8" t="str">
        <f>IF(OR(B638="",E638=""),"",IF(E638="No","Missed",IF(F638="","",IF(F638&lt;=Settings!$B$7,"On time","Late"))))</f>
        <v/>
      </c>
      <c r="H638" s="15"/>
      <c r="I638" s="16"/>
      <c r="J638" s="16"/>
      <c r="K638" s="17" t="str">
        <f>IF(J638="","",ROUND(J638*Settings!$B$8,2))</f>
        <v/>
      </c>
      <c r="L638" s="16"/>
      <c r="M638" s="8" t="str">
        <f t="shared" si="9"/>
        <v/>
      </c>
      <c r="N638" s="9"/>
    </row>
    <row r="639" spans="1:14" ht="15.75">
      <c r="A639" s="11"/>
      <c r="B639" s="9"/>
      <c r="C639" s="12" t="str">
        <f>IF(B639="","",IFERROR(INDEX('Cashier Roster'!$C$5:$C$64,MATCH(B639,'Cashier Roster'!$B$5:$B$64,0)),"Not on roster"))</f>
        <v/>
      </c>
      <c r="D639" s="12" t="str">
        <f>IF(B639="","",IFERROR(INDEX('Cashier Roster'!$D$5:$D$64,MATCH(B639,'Cashier Roster'!$B$5:$B$64,0)),""))</f>
        <v/>
      </c>
      <c r="E639" s="13"/>
      <c r="F639" s="14"/>
      <c r="G639" s="8" t="str">
        <f>IF(OR(B639="",E639=""),"",IF(E639="No","Missed",IF(F639="","",IF(F639&lt;=Settings!$B$7,"On time","Late"))))</f>
        <v/>
      </c>
      <c r="H639" s="15"/>
      <c r="I639" s="16"/>
      <c r="J639" s="16"/>
      <c r="K639" s="17" t="str">
        <f>IF(J639="","",ROUND(J639*Settings!$B$8,2))</f>
        <v/>
      </c>
      <c r="L639" s="16"/>
      <c r="M639" s="8" t="str">
        <f t="shared" si="9"/>
        <v/>
      </c>
      <c r="N639" s="9"/>
    </row>
    <row r="640" spans="1:14" ht="15.75">
      <c r="A640" s="11"/>
      <c r="B640" s="9"/>
      <c r="C640" s="12" t="str">
        <f>IF(B640="","",IFERROR(INDEX('Cashier Roster'!$C$5:$C$64,MATCH(B640,'Cashier Roster'!$B$5:$B$64,0)),"Not on roster"))</f>
        <v/>
      </c>
      <c r="D640" s="12" t="str">
        <f>IF(B640="","",IFERROR(INDEX('Cashier Roster'!$D$5:$D$64,MATCH(B640,'Cashier Roster'!$B$5:$B$64,0)),""))</f>
        <v/>
      </c>
      <c r="E640" s="13"/>
      <c r="F640" s="14"/>
      <c r="G640" s="8" t="str">
        <f>IF(OR(B640="",E640=""),"",IF(E640="No","Missed",IF(F640="","",IF(F640&lt;=Settings!$B$7,"On time","Late"))))</f>
        <v/>
      </c>
      <c r="H640" s="15"/>
      <c r="I640" s="16"/>
      <c r="J640" s="16"/>
      <c r="K640" s="17" t="str">
        <f>IF(J640="","",ROUND(J640*Settings!$B$8,2))</f>
        <v/>
      </c>
      <c r="L640" s="16"/>
      <c r="M640" s="8" t="str">
        <f t="shared" si="9"/>
        <v/>
      </c>
      <c r="N640" s="9"/>
    </row>
    <row r="641" spans="1:14" ht="15.75">
      <c r="A641" s="11"/>
      <c r="B641" s="9"/>
      <c r="C641" s="12" t="str">
        <f>IF(B641="","",IFERROR(INDEX('Cashier Roster'!$C$5:$C$64,MATCH(B641,'Cashier Roster'!$B$5:$B$64,0)),"Not on roster"))</f>
        <v/>
      </c>
      <c r="D641" s="12" t="str">
        <f>IF(B641="","",IFERROR(INDEX('Cashier Roster'!$D$5:$D$64,MATCH(B641,'Cashier Roster'!$B$5:$B$64,0)),""))</f>
        <v/>
      </c>
      <c r="E641" s="13"/>
      <c r="F641" s="14"/>
      <c r="G641" s="8" t="str">
        <f>IF(OR(B641="",E641=""),"",IF(E641="No","Missed",IF(F641="","",IF(F641&lt;=Settings!$B$7,"On time","Late"))))</f>
        <v/>
      </c>
      <c r="H641" s="15"/>
      <c r="I641" s="16"/>
      <c r="J641" s="16"/>
      <c r="K641" s="17" t="str">
        <f>IF(J641="","",ROUND(J641*Settings!$B$8,2))</f>
        <v/>
      </c>
      <c r="L641" s="16"/>
      <c r="M641" s="8" t="str">
        <f t="shared" si="9"/>
        <v/>
      </c>
      <c r="N641" s="9"/>
    </row>
    <row r="642" spans="1:14" ht="15.75">
      <c r="A642" s="11"/>
      <c r="B642" s="9"/>
      <c r="C642" s="12" t="str">
        <f>IF(B642="","",IFERROR(INDEX('Cashier Roster'!$C$5:$C$64,MATCH(B642,'Cashier Roster'!$B$5:$B$64,0)),"Not on roster"))</f>
        <v/>
      </c>
      <c r="D642" s="12" t="str">
        <f>IF(B642="","",IFERROR(INDEX('Cashier Roster'!$D$5:$D$64,MATCH(B642,'Cashier Roster'!$B$5:$B$64,0)),""))</f>
        <v/>
      </c>
      <c r="E642" s="13"/>
      <c r="F642" s="14"/>
      <c r="G642" s="8" t="str">
        <f>IF(OR(B642="",E642=""),"",IF(E642="No","Missed",IF(F642="","",IF(F642&lt;=Settings!$B$7,"On time","Late"))))</f>
        <v/>
      </c>
      <c r="H642" s="15"/>
      <c r="I642" s="16"/>
      <c r="J642" s="16"/>
      <c r="K642" s="17" t="str">
        <f>IF(J642="","",ROUND(J642*Settings!$B$8,2))</f>
        <v/>
      </c>
      <c r="L642" s="16"/>
      <c r="M642" s="8" t="str">
        <f t="shared" si="9"/>
        <v/>
      </c>
      <c r="N642" s="9"/>
    </row>
    <row r="643" spans="1:14" ht="15.75">
      <c r="A643" s="11"/>
      <c r="B643" s="9"/>
      <c r="C643" s="12" t="str">
        <f>IF(B643="","",IFERROR(INDEX('Cashier Roster'!$C$5:$C$64,MATCH(B643,'Cashier Roster'!$B$5:$B$64,0)),"Not on roster"))</f>
        <v/>
      </c>
      <c r="D643" s="12" t="str">
        <f>IF(B643="","",IFERROR(INDEX('Cashier Roster'!$D$5:$D$64,MATCH(B643,'Cashier Roster'!$B$5:$B$64,0)),""))</f>
        <v/>
      </c>
      <c r="E643" s="13"/>
      <c r="F643" s="14"/>
      <c r="G643" s="8" t="str">
        <f>IF(OR(B643="",E643=""),"",IF(E643="No","Missed",IF(F643="","",IF(F643&lt;=Settings!$B$7,"On time","Late"))))</f>
        <v/>
      </c>
      <c r="H643" s="15"/>
      <c r="I643" s="16"/>
      <c r="J643" s="16"/>
      <c r="K643" s="17" t="str">
        <f>IF(J643="","",ROUND(J643*Settings!$B$8,2))</f>
        <v/>
      </c>
      <c r="L643" s="16"/>
      <c r="M643" s="8" t="str">
        <f t="shared" si="9"/>
        <v/>
      </c>
      <c r="N643" s="9"/>
    </row>
    <row r="644" spans="1:14" ht="15.75">
      <c r="A644" s="11"/>
      <c r="B644" s="9"/>
      <c r="C644" s="12" t="str">
        <f>IF(B644="","",IFERROR(INDEX('Cashier Roster'!$C$5:$C$64,MATCH(B644,'Cashier Roster'!$B$5:$B$64,0)),"Not on roster"))</f>
        <v/>
      </c>
      <c r="D644" s="12" t="str">
        <f>IF(B644="","",IFERROR(INDEX('Cashier Roster'!$D$5:$D$64,MATCH(B644,'Cashier Roster'!$B$5:$B$64,0)),""))</f>
        <v/>
      </c>
      <c r="E644" s="13"/>
      <c r="F644" s="14"/>
      <c r="G644" s="8" t="str">
        <f>IF(OR(B644="",E644=""),"",IF(E644="No","Missed",IF(F644="","",IF(F644&lt;=Settings!$B$7,"On time","Late"))))</f>
        <v/>
      </c>
      <c r="H644" s="15"/>
      <c r="I644" s="16"/>
      <c r="J644" s="16"/>
      <c r="K644" s="17" t="str">
        <f>IF(J644="","",ROUND(J644*Settings!$B$8,2))</f>
        <v/>
      </c>
      <c r="L644" s="16"/>
      <c r="M644" s="8" t="str">
        <f t="shared" si="9"/>
        <v/>
      </c>
      <c r="N644" s="9"/>
    </row>
    <row r="645" spans="1:14" ht="15.75">
      <c r="A645" s="11"/>
      <c r="B645" s="9"/>
      <c r="C645" s="12" t="str">
        <f>IF(B645="","",IFERROR(INDEX('Cashier Roster'!$C$5:$C$64,MATCH(B645,'Cashier Roster'!$B$5:$B$64,0)),"Not on roster"))</f>
        <v/>
      </c>
      <c r="D645" s="12" t="str">
        <f>IF(B645="","",IFERROR(INDEX('Cashier Roster'!$D$5:$D$64,MATCH(B645,'Cashier Roster'!$B$5:$B$64,0)),""))</f>
        <v/>
      </c>
      <c r="E645" s="13"/>
      <c r="F645" s="14"/>
      <c r="G645" s="8" t="str">
        <f>IF(OR(B645="",E645=""),"",IF(E645="No","Missed",IF(F645="","",IF(F645&lt;=Settings!$B$7,"On time","Late"))))</f>
        <v/>
      </c>
      <c r="H645" s="15"/>
      <c r="I645" s="16"/>
      <c r="J645" s="16"/>
      <c r="K645" s="17" t="str">
        <f>IF(J645="","",ROUND(J645*Settings!$B$8,2))</f>
        <v/>
      </c>
      <c r="L645" s="16"/>
      <c r="M645" s="8" t="str">
        <f t="shared" ref="M645:M708" si="10">IF(L645="","",IF(L645&lt;=0,"Yes","No"))</f>
        <v/>
      </c>
      <c r="N645" s="9"/>
    </row>
    <row r="646" spans="1:14" ht="15.75">
      <c r="A646" s="11"/>
      <c r="B646" s="9"/>
      <c r="C646" s="12" t="str">
        <f>IF(B646="","",IFERROR(INDEX('Cashier Roster'!$C$5:$C$64,MATCH(B646,'Cashier Roster'!$B$5:$B$64,0)),"Not on roster"))</f>
        <v/>
      </c>
      <c r="D646" s="12" t="str">
        <f>IF(B646="","",IFERROR(INDEX('Cashier Roster'!$D$5:$D$64,MATCH(B646,'Cashier Roster'!$B$5:$B$64,0)),""))</f>
        <v/>
      </c>
      <c r="E646" s="13"/>
      <c r="F646" s="14"/>
      <c r="G646" s="8" t="str">
        <f>IF(OR(B646="",E646=""),"",IF(E646="No","Missed",IF(F646="","",IF(F646&lt;=Settings!$B$7,"On time","Late"))))</f>
        <v/>
      </c>
      <c r="H646" s="15"/>
      <c r="I646" s="16"/>
      <c r="J646" s="16"/>
      <c r="K646" s="17" t="str">
        <f>IF(J646="","",ROUND(J646*Settings!$B$8,2))</f>
        <v/>
      </c>
      <c r="L646" s="16"/>
      <c r="M646" s="8" t="str">
        <f t="shared" si="10"/>
        <v/>
      </c>
      <c r="N646" s="9"/>
    </row>
    <row r="647" spans="1:14" ht="15.75">
      <c r="A647" s="11"/>
      <c r="B647" s="9"/>
      <c r="C647" s="12" t="str">
        <f>IF(B647="","",IFERROR(INDEX('Cashier Roster'!$C$5:$C$64,MATCH(B647,'Cashier Roster'!$B$5:$B$64,0)),"Not on roster"))</f>
        <v/>
      </c>
      <c r="D647" s="12" t="str">
        <f>IF(B647="","",IFERROR(INDEX('Cashier Roster'!$D$5:$D$64,MATCH(B647,'Cashier Roster'!$B$5:$B$64,0)),""))</f>
        <v/>
      </c>
      <c r="E647" s="13"/>
      <c r="F647" s="14"/>
      <c r="G647" s="8" t="str">
        <f>IF(OR(B647="",E647=""),"",IF(E647="No","Missed",IF(F647="","",IF(F647&lt;=Settings!$B$7,"On time","Late"))))</f>
        <v/>
      </c>
      <c r="H647" s="15"/>
      <c r="I647" s="16"/>
      <c r="J647" s="16"/>
      <c r="K647" s="17" t="str">
        <f>IF(J647="","",ROUND(J647*Settings!$B$8,2))</f>
        <v/>
      </c>
      <c r="L647" s="16"/>
      <c r="M647" s="8" t="str">
        <f t="shared" si="10"/>
        <v/>
      </c>
      <c r="N647" s="9"/>
    </row>
    <row r="648" spans="1:14" ht="15.75">
      <c r="A648" s="11"/>
      <c r="B648" s="9"/>
      <c r="C648" s="12" t="str">
        <f>IF(B648="","",IFERROR(INDEX('Cashier Roster'!$C$5:$C$64,MATCH(B648,'Cashier Roster'!$B$5:$B$64,0)),"Not on roster"))</f>
        <v/>
      </c>
      <c r="D648" s="12" t="str">
        <f>IF(B648="","",IFERROR(INDEX('Cashier Roster'!$D$5:$D$64,MATCH(B648,'Cashier Roster'!$B$5:$B$64,0)),""))</f>
        <v/>
      </c>
      <c r="E648" s="13"/>
      <c r="F648" s="14"/>
      <c r="G648" s="8" t="str">
        <f>IF(OR(B648="",E648=""),"",IF(E648="No","Missed",IF(F648="","",IF(F648&lt;=Settings!$B$7,"On time","Late"))))</f>
        <v/>
      </c>
      <c r="H648" s="15"/>
      <c r="I648" s="16"/>
      <c r="J648" s="16"/>
      <c r="K648" s="17" t="str">
        <f>IF(J648="","",ROUND(J648*Settings!$B$8,2))</f>
        <v/>
      </c>
      <c r="L648" s="16"/>
      <c r="M648" s="8" t="str">
        <f t="shared" si="10"/>
        <v/>
      </c>
      <c r="N648" s="9"/>
    </row>
    <row r="649" spans="1:14" ht="15.75">
      <c r="A649" s="11"/>
      <c r="B649" s="9"/>
      <c r="C649" s="12" t="str">
        <f>IF(B649="","",IFERROR(INDEX('Cashier Roster'!$C$5:$C$64,MATCH(B649,'Cashier Roster'!$B$5:$B$64,0)),"Not on roster"))</f>
        <v/>
      </c>
      <c r="D649" s="12" t="str">
        <f>IF(B649="","",IFERROR(INDEX('Cashier Roster'!$D$5:$D$64,MATCH(B649,'Cashier Roster'!$B$5:$B$64,0)),""))</f>
        <v/>
      </c>
      <c r="E649" s="13"/>
      <c r="F649" s="14"/>
      <c r="G649" s="8" t="str">
        <f>IF(OR(B649="",E649=""),"",IF(E649="No","Missed",IF(F649="","",IF(F649&lt;=Settings!$B$7,"On time","Late"))))</f>
        <v/>
      </c>
      <c r="H649" s="15"/>
      <c r="I649" s="16"/>
      <c r="J649" s="16"/>
      <c r="K649" s="17" t="str">
        <f>IF(J649="","",ROUND(J649*Settings!$B$8,2))</f>
        <v/>
      </c>
      <c r="L649" s="16"/>
      <c r="M649" s="8" t="str">
        <f t="shared" si="10"/>
        <v/>
      </c>
      <c r="N649" s="9"/>
    </row>
    <row r="650" spans="1:14" ht="15.75">
      <c r="A650" s="11"/>
      <c r="B650" s="9"/>
      <c r="C650" s="12" t="str">
        <f>IF(B650="","",IFERROR(INDEX('Cashier Roster'!$C$5:$C$64,MATCH(B650,'Cashier Roster'!$B$5:$B$64,0)),"Not on roster"))</f>
        <v/>
      </c>
      <c r="D650" s="12" t="str">
        <f>IF(B650="","",IFERROR(INDEX('Cashier Roster'!$D$5:$D$64,MATCH(B650,'Cashier Roster'!$B$5:$B$64,0)),""))</f>
        <v/>
      </c>
      <c r="E650" s="13"/>
      <c r="F650" s="14"/>
      <c r="G650" s="8" t="str">
        <f>IF(OR(B650="",E650=""),"",IF(E650="No","Missed",IF(F650="","",IF(F650&lt;=Settings!$B$7,"On time","Late"))))</f>
        <v/>
      </c>
      <c r="H650" s="15"/>
      <c r="I650" s="16"/>
      <c r="J650" s="16"/>
      <c r="K650" s="17" t="str">
        <f>IF(J650="","",ROUND(J650*Settings!$B$8,2))</f>
        <v/>
      </c>
      <c r="L650" s="16"/>
      <c r="M650" s="8" t="str">
        <f t="shared" si="10"/>
        <v/>
      </c>
      <c r="N650" s="9"/>
    </row>
    <row r="651" spans="1:14" ht="15.75">
      <c r="A651" s="11"/>
      <c r="B651" s="9"/>
      <c r="C651" s="12" t="str">
        <f>IF(B651="","",IFERROR(INDEX('Cashier Roster'!$C$5:$C$64,MATCH(B651,'Cashier Roster'!$B$5:$B$64,0)),"Not on roster"))</f>
        <v/>
      </c>
      <c r="D651" s="12" t="str">
        <f>IF(B651="","",IFERROR(INDEX('Cashier Roster'!$D$5:$D$64,MATCH(B651,'Cashier Roster'!$B$5:$B$64,0)),""))</f>
        <v/>
      </c>
      <c r="E651" s="13"/>
      <c r="F651" s="14"/>
      <c r="G651" s="8" t="str">
        <f>IF(OR(B651="",E651=""),"",IF(E651="No","Missed",IF(F651="","",IF(F651&lt;=Settings!$B$7,"On time","Late"))))</f>
        <v/>
      </c>
      <c r="H651" s="15"/>
      <c r="I651" s="16"/>
      <c r="J651" s="16"/>
      <c r="K651" s="17" t="str">
        <f>IF(J651="","",ROUND(J651*Settings!$B$8,2))</f>
        <v/>
      </c>
      <c r="L651" s="16"/>
      <c r="M651" s="8" t="str">
        <f t="shared" si="10"/>
        <v/>
      </c>
      <c r="N651" s="9"/>
    </row>
    <row r="652" spans="1:14" ht="15.75">
      <c r="A652" s="11"/>
      <c r="B652" s="9"/>
      <c r="C652" s="12" t="str">
        <f>IF(B652="","",IFERROR(INDEX('Cashier Roster'!$C$5:$C$64,MATCH(B652,'Cashier Roster'!$B$5:$B$64,0)),"Not on roster"))</f>
        <v/>
      </c>
      <c r="D652" s="12" t="str">
        <f>IF(B652="","",IFERROR(INDEX('Cashier Roster'!$D$5:$D$64,MATCH(B652,'Cashier Roster'!$B$5:$B$64,0)),""))</f>
        <v/>
      </c>
      <c r="E652" s="13"/>
      <c r="F652" s="14"/>
      <c r="G652" s="8" t="str">
        <f>IF(OR(B652="",E652=""),"",IF(E652="No","Missed",IF(F652="","",IF(F652&lt;=Settings!$B$7,"On time","Late"))))</f>
        <v/>
      </c>
      <c r="H652" s="15"/>
      <c r="I652" s="16"/>
      <c r="J652" s="16"/>
      <c r="K652" s="17" t="str">
        <f>IF(J652="","",ROUND(J652*Settings!$B$8,2))</f>
        <v/>
      </c>
      <c r="L652" s="16"/>
      <c r="M652" s="8" t="str">
        <f t="shared" si="10"/>
        <v/>
      </c>
      <c r="N652" s="9"/>
    </row>
    <row r="653" spans="1:14" ht="15.75">
      <c r="A653" s="11"/>
      <c r="B653" s="9"/>
      <c r="C653" s="12" t="str">
        <f>IF(B653="","",IFERROR(INDEX('Cashier Roster'!$C$5:$C$64,MATCH(B653,'Cashier Roster'!$B$5:$B$64,0)),"Not on roster"))</f>
        <v/>
      </c>
      <c r="D653" s="12" t="str">
        <f>IF(B653="","",IFERROR(INDEX('Cashier Roster'!$D$5:$D$64,MATCH(B653,'Cashier Roster'!$B$5:$B$64,0)),""))</f>
        <v/>
      </c>
      <c r="E653" s="13"/>
      <c r="F653" s="14"/>
      <c r="G653" s="8" t="str">
        <f>IF(OR(B653="",E653=""),"",IF(E653="No","Missed",IF(F653="","",IF(F653&lt;=Settings!$B$7,"On time","Late"))))</f>
        <v/>
      </c>
      <c r="H653" s="15"/>
      <c r="I653" s="16"/>
      <c r="J653" s="16"/>
      <c r="K653" s="17" t="str">
        <f>IF(J653="","",ROUND(J653*Settings!$B$8,2))</f>
        <v/>
      </c>
      <c r="L653" s="16"/>
      <c r="M653" s="8" t="str">
        <f t="shared" si="10"/>
        <v/>
      </c>
      <c r="N653" s="9"/>
    </row>
    <row r="654" spans="1:14" ht="15.75">
      <c r="A654" s="11"/>
      <c r="B654" s="9"/>
      <c r="C654" s="12" t="str">
        <f>IF(B654="","",IFERROR(INDEX('Cashier Roster'!$C$5:$C$64,MATCH(B654,'Cashier Roster'!$B$5:$B$64,0)),"Not on roster"))</f>
        <v/>
      </c>
      <c r="D654" s="12" t="str">
        <f>IF(B654="","",IFERROR(INDEX('Cashier Roster'!$D$5:$D$64,MATCH(B654,'Cashier Roster'!$B$5:$B$64,0)),""))</f>
        <v/>
      </c>
      <c r="E654" s="13"/>
      <c r="F654" s="14"/>
      <c r="G654" s="8" t="str">
        <f>IF(OR(B654="",E654=""),"",IF(E654="No","Missed",IF(F654="","",IF(F654&lt;=Settings!$B$7,"On time","Late"))))</f>
        <v/>
      </c>
      <c r="H654" s="15"/>
      <c r="I654" s="16"/>
      <c r="J654" s="16"/>
      <c r="K654" s="17" t="str">
        <f>IF(J654="","",ROUND(J654*Settings!$B$8,2))</f>
        <v/>
      </c>
      <c r="L654" s="16"/>
      <c r="M654" s="8" t="str">
        <f t="shared" si="10"/>
        <v/>
      </c>
      <c r="N654" s="9"/>
    </row>
    <row r="655" spans="1:14" ht="15.75">
      <c r="A655" s="11"/>
      <c r="B655" s="9"/>
      <c r="C655" s="12" t="str">
        <f>IF(B655="","",IFERROR(INDEX('Cashier Roster'!$C$5:$C$64,MATCH(B655,'Cashier Roster'!$B$5:$B$64,0)),"Not on roster"))</f>
        <v/>
      </c>
      <c r="D655" s="12" t="str">
        <f>IF(B655="","",IFERROR(INDEX('Cashier Roster'!$D$5:$D$64,MATCH(B655,'Cashier Roster'!$B$5:$B$64,0)),""))</f>
        <v/>
      </c>
      <c r="E655" s="13"/>
      <c r="F655" s="14"/>
      <c r="G655" s="8" t="str">
        <f>IF(OR(B655="",E655=""),"",IF(E655="No","Missed",IF(F655="","",IF(F655&lt;=Settings!$B$7,"On time","Late"))))</f>
        <v/>
      </c>
      <c r="H655" s="15"/>
      <c r="I655" s="16"/>
      <c r="J655" s="16"/>
      <c r="K655" s="17" t="str">
        <f>IF(J655="","",ROUND(J655*Settings!$B$8,2))</f>
        <v/>
      </c>
      <c r="L655" s="16"/>
      <c r="M655" s="8" t="str">
        <f t="shared" si="10"/>
        <v/>
      </c>
      <c r="N655" s="9"/>
    </row>
    <row r="656" spans="1:14" ht="15.75">
      <c r="A656" s="11"/>
      <c r="B656" s="9"/>
      <c r="C656" s="12" t="str">
        <f>IF(B656="","",IFERROR(INDEX('Cashier Roster'!$C$5:$C$64,MATCH(B656,'Cashier Roster'!$B$5:$B$64,0)),"Not on roster"))</f>
        <v/>
      </c>
      <c r="D656" s="12" t="str">
        <f>IF(B656="","",IFERROR(INDEX('Cashier Roster'!$D$5:$D$64,MATCH(B656,'Cashier Roster'!$B$5:$B$64,0)),""))</f>
        <v/>
      </c>
      <c r="E656" s="13"/>
      <c r="F656" s="14"/>
      <c r="G656" s="8" t="str">
        <f>IF(OR(B656="",E656=""),"",IF(E656="No","Missed",IF(F656="","",IF(F656&lt;=Settings!$B$7,"On time","Late"))))</f>
        <v/>
      </c>
      <c r="H656" s="15"/>
      <c r="I656" s="16"/>
      <c r="J656" s="16"/>
      <c r="K656" s="17" t="str">
        <f>IF(J656="","",ROUND(J656*Settings!$B$8,2))</f>
        <v/>
      </c>
      <c r="L656" s="16"/>
      <c r="M656" s="8" t="str">
        <f t="shared" si="10"/>
        <v/>
      </c>
      <c r="N656" s="9"/>
    </row>
    <row r="657" spans="1:14" ht="15.75">
      <c r="A657" s="11"/>
      <c r="B657" s="9"/>
      <c r="C657" s="12" t="str">
        <f>IF(B657="","",IFERROR(INDEX('Cashier Roster'!$C$5:$C$64,MATCH(B657,'Cashier Roster'!$B$5:$B$64,0)),"Not on roster"))</f>
        <v/>
      </c>
      <c r="D657" s="12" t="str">
        <f>IF(B657="","",IFERROR(INDEX('Cashier Roster'!$D$5:$D$64,MATCH(B657,'Cashier Roster'!$B$5:$B$64,0)),""))</f>
        <v/>
      </c>
      <c r="E657" s="13"/>
      <c r="F657" s="14"/>
      <c r="G657" s="8" t="str">
        <f>IF(OR(B657="",E657=""),"",IF(E657="No","Missed",IF(F657="","",IF(F657&lt;=Settings!$B$7,"On time","Late"))))</f>
        <v/>
      </c>
      <c r="H657" s="15"/>
      <c r="I657" s="16"/>
      <c r="J657" s="16"/>
      <c r="K657" s="17" t="str">
        <f>IF(J657="","",ROUND(J657*Settings!$B$8,2))</f>
        <v/>
      </c>
      <c r="L657" s="16"/>
      <c r="M657" s="8" t="str">
        <f t="shared" si="10"/>
        <v/>
      </c>
      <c r="N657" s="9"/>
    </row>
    <row r="658" spans="1:14" ht="15.75">
      <c r="A658" s="11"/>
      <c r="B658" s="9"/>
      <c r="C658" s="12" t="str">
        <f>IF(B658="","",IFERROR(INDEX('Cashier Roster'!$C$5:$C$64,MATCH(B658,'Cashier Roster'!$B$5:$B$64,0)),"Not on roster"))</f>
        <v/>
      </c>
      <c r="D658" s="12" t="str">
        <f>IF(B658="","",IFERROR(INDEX('Cashier Roster'!$D$5:$D$64,MATCH(B658,'Cashier Roster'!$B$5:$B$64,0)),""))</f>
        <v/>
      </c>
      <c r="E658" s="13"/>
      <c r="F658" s="14"/>
      <c r="G658" s="8" t="str">
        <f>IF(OR(B658="",E658=""),"",IF(E658="No","Missed",IF(F658="","",IF(F658&lt;=Settings!$B$7,"On time","Late"))))</f>
        <v/>
      </c>
      <c r="H658" s="15"/>
      <c r="I658" s="16"/>
      <c r="J658" s="16"/>
      <c r="K658" s="17" t="str">
        <f>IF(J658="","",ROUND(J658*Settings!$B$8,2))</f>
        <v/>
      </c>
      <c r="L658" s="16"/>
      <c r="M658" s="8" t="str">
        <f t="shared" si="10"/>
        <v/>
      </c>
      <c r="N658" s="9"/>
    </row>
    <row r="659" spans="1:14" ht="15.75">
      <c r="A659" s="11"/>
      <c r="B659" s="9"/>
      <c r="C659" s="12" t="str">
        <f>IF(B659="","",IFERROR(INDEX('Cashier Roster'!$C$5:$C$64,MATCH(B659,'Cashier Roster'!$B$5:$B$64,0)),"Not on roster"))</f>
        <v/>
      </c>
      <c r="D659" s="12" t="str">
        <f>IF(B659="","",IFERROR(INDEX('Cashier Roster'!$D$5:$D$64,MATCH(B659,'Cashier Roster'!$B$5:$B$64,0)),""))</f>
        <v/>
      </c>
      <c r="E659" s="13"/>
      <c r="F659" s="14"/>
      <c r="G659" s="8" t="str">
        <f>IF(OR(B659="",E659=""),"",IF(E659="No","Missed",IF(F659="","",IF(F659&lt;=Settings!$B$7,"On time","Late"))))</f>
        <v/>
      </c>
      <c r="H659" s="15"/>
      <c r="I659" s="16"/>
      <c r="J659" s="16"/>
      <c r="K659" s="17" t="str">
        <f>IF(J659="","",ROUND(J659*Settings!$B$8,2))</f>
        <v/>
      </c>
      <c r="L659" s="16"/>
      <c r="M659" s="8" t="str">
        <f t="shared" si="10"/>
        <v/>
      </c>
      <c r="N659" s="9"/>
    </row>
    <row r="660" spans="1:14" ht="15.75">
      <c r="A660" s="11"/>
      <c r="B660" s="9"/>
      <c r="C660" s="12" t="str">
        <f>IF(B660="","",IFERROR(INDEX('Cashier Roster'!$C$5:$C$64,MATCH(B660,'Cashier Roster'!$B$5:$B$64,0)),"Not on roster"))</f>
        <v/>
      </c>
      <c r="D660" s="12" t="str">
        <f>IF(B660="","",IFERROR(INDEX('Cashier Roster'!$D$5:$D$64,MATCH(B660,'Cashier Roster'!$B$5:$B$64,0)),""))</f>
        <v/>
      </c>
      <c r="E660" s="13"/>
      <c r="F660" s="14"/>
      <c r="G660" s="8" t="str">
        <f>IF(OR(B660="",E660=""),"",IF(E660="No","Missed",IF(F660="","",IF(F660&lt;=Settings!$B$7,"On time","Late"))))</f>
        <v/>
      </c>
      <c r="H660" s="15"/>
      <c r="I660" s="16"/>
      <c r="J660" s="16"/>
      <c r="K660" s="17" t="str">
        <f>IF(J660="","",ROUND(J660*Settings!$B$8,2))</f>
        <v/>
      </c>
      <c r="L660" s="16"/>
      <c r="M660" s="8" t="str">
        <f t="shared" si="10"/>
        <v/>
      </c>
      <c r="N660" s="9"/>
    </row>
    <row r="661" spans="1:14" ht="15.75">
      <c r="A661" s="11"/>
      <c r="B661" s="9"/>
      <c r="C661" s="12" t="str">
        <f>IF(B661="","",IFERROR(INDEX('Cashier Roster'!$C$5:$C$64,MATCH(B661,'Cashier Roster'!$B$5:$B$64,0)),"Not on roster"))</f>
        <v/>
      </c>
      <c r="D661" s="12" t="str">
        <f>IF(B661="","",IFERROR(INDEX('Cashier Roster'!$D$5:$D$64,MATCH(B661,'Cashier Roster'!$B$5:$B$64,0)),""))</f>
        <v/>
      </c>
      <c r="E661" s="13"/>
      <c r="F661" s="14"/>
      <c r="G661" s="8" t="str">
        <f>IF(OR(B661="",E661=""),"",IF(E661="No","Missed",IF(F661="","",IF(F661&lt;=Settings!$B$7,"On time","Late"))))</f>
        <v/>
      </c>
      <c r="H661" s="15"/>
      <c r="I661" s="16"/>
      <c r="J661" s="16"/>
      <c r="K661" s="17" t="str">
        <f>IF(J661="","",ROUND(J661*Settings!$B$8,2))</f>
        <v/>
      </c>
      <c r="L661" s="16"/>
      <c r="M661" s="8" t="str">
        <f t="shared" si="10"/>
        <v/>
      </c>
      <c r="N661" s="9"/>
    </row>
    <row r="662" spans="1:14" ht="15.75">
      <c r="A662" s="11"/>
      <c r="B662" s="9"/>
      <c r="C662" s="12" t="str">
        <f>IF(B662="","",IFERROR(INDEX('Cashier Roster'!$C$5:$C$64,MATCH(B662,'Cashier Roster'!$B$5:$B$64,0)),"Not on roster"))</f>
        <v/>
      </c>
      <c r="D662" s="12" t="str">
        <f>IF(B662="","",IFERROR(INDEX('Cashier Roster'!$D$5:$D$64,MATCH(B662,'Cashier Roster'!$B$5:$B$64,0)),""))</f>
        <v/>
      </c>
      <c r="E662" s="13"/>
      <c r="F662" s="14"/>
      <c r="G662" s="8" t="str">
        <f>IF(OR(B662="",E662=""),"",IF(E662="No","Missed",IF(F662="","",IF(F662&lt;=Settings!$B$7,"On time","Late"))))</f>
        <v/>
      </c>
      <c r="H662" s="15"/>
      <c r="I662" s="16"/>
      <c r="J662" s="16"/>
      <c r="K662" s="17" t="str">
        <f>IF(J662="","",ROUND(J662*Settings!$B$8,2))</f>
        <v/>
      </c>
      <c r="L662" s="16"/>
      <c r="M662" s="8" t="str">
        <f t="shared" si="10"/>
        <v/>
      </c>
      <c r="N662" s="9"/>
    </row>
    <row r="663" spans="1:14" ht="15.75">
      <c r="A663" s="11"/>
      <c r="B663" s="9"/>
      <c r="C663" s="12" t="str">
        <f>IF(B663="","",IFERROR(INDEX('Cashier Roster'!$C$5:$C$64,MATCH(B663,'Cashier Roster'!$B$5:$B$64,0)),"Not on roster"))</f>
        <v/>
      </c>
      <c r="D663" s="12" t="str">
        <f>IF(B663="","",IFERROR(INDEX('Cashier Roster'!$D$5:$D$64,MATCH(B663,'Cashier Roster'!$B$5:$B$64,0)),""))</f>
        <v/>
      </c>
      <c r="E663" s="13"/>
      <c r="F663" s="14"/>
      <c r="G663" s="8" t="str">
        <f>IF(OR(B663="",E663=""),"",IF(E663="No","Missed",IF(F663="","",IF(F663&lt;=Settings!$B$7,"On time","Late"))))</f>
        <v/>
      </c>
      <c r="H663" s="15"/>
      <c r="I663" s="16"/>
      <c r="J663" s="16"/>
      <c r="K663" s="17" t="str">
        <f>IF(J663="","",ROUND(J663*Settings!$B$8,2))</f>
        <v/>
      </c>
      <c r="L663" s="16"/>
      <c r="M663" s="8" t="str">
        <f t="shared" si="10"/>
        <v/>
      </c>
      <c r="N663" s="9"/>
    </row>
    <row r="664" spans="1:14" ht="15.75">
      <c r="A664" s="11"/>
      <c r="B664" s="9"/>
      <c r="C664" s="12" t="str">
        <f>IF(B664="","",IFERROR(INDEX('Cashier Roster'!$C$5:$C$64,MATCH(B664,'Cashier Roster'!$B$5:$B$64,0)),"Not on roster"))</f>
        <v/>
      </c>
      <c r="D664" s="12" t="str">
        <f>IF(B664="","",IFERROR(INDEX('Cashier Roster'!$D$5:$D$64,MATCH(B664,'Cashier Roster'!$B$5:$B$64,0)),""))</f>
        <v/>
      </c>
      <c r="E664" s="13"/>
      <c r="F664" s="14"/>
      <c r="G664" s="8" t="str">
        <f>IF(OR(B664="",E664=""),"",IF(E664="No","Missed",IF(F664="","",IF(F664&lt;=Settings!$B$7,"On time","Late"))))</f>
        <v/>
      </c>
      <c r="H664" s="15"/>
      <c r="I664" s="16"/>
      <c r="J664" s="16"/>
      <c r="K664" s="17" t="str">
        <f>IF(J664="","",ROUND(J664*Settings!$B$8,2))</f>
        <v/>
      </c>
      <c r="L664" s="16"/>
      <c r="M664" s="8" t="str">
        <f t="shared" si="10"/>
        <v/>
      </c>
      <c r="N664" s="9"/>
    </row>
    <row r="665" spans="1:14" ht="15.75">
      <c r="A665" s="11"/>
      <c r="B665" s="9"/>
      <c r="C665" s="12" t="str">
        <f>IF(B665="","",IFERROR(INDEX('Cashier Roster'!$C$5:$C$64,MATCH(B665,'Cashier Roster'!$B$5:$B$64,0)),"Not on roster"))</f>
        <v/>
      </c>
      <c r="D665" s="12" t="str">
        <f>IF(B665="","",IFERROR(INDEX('Cashier Roster'!$D$5:$D$64,MATCH(B665,'Cashier Roster'!$B$5:$B$64,0)),""))</f>
        <v/>
      </c>
      <c r="E665" s="13"/>
      <c r="F665" s="14"/>
      <c r="G665" s="8" t="str">
        <f>IF(OR(B665="",E665=""),"",IF(E665="No","Missed",IF(F665="","",IF(F665&lt;=Settings!$B$7,"On time","Late"))))</f>
        <v/>
      </c>
      <c r="H665" s="15"/>
      <c r="I665" s="16"/>
      <c r="J665" s="16"/>
      <c r="K665" s="17" t="str">
        <f>IF(J665="","",ROUND(J665*Settings!$B$8,2))</f>
        <v/>
      </c>
      <c r="L665" s="16"/>
      <c r="M665" s="8" t="str">
        <f t="shared" si="10"/>
        <v/>
      </c>
      <c r="N665" s="9"/>
    </row>
    <row r="666" spans="1:14" ht="15.75">
      <c r="A666" s="11"/>
      <c r="B666" s="9"/>
      <c r="C666" s="12" t="str">
        <f>IF(B666="","",IFERROR(INDEX('Cashier Roster'!$C$5:$C$64,MATCH(B666,'Cashier Roster'!$B$5:$B$64,0)),"Not on roster"))</f>
        <v/>
      </c>
      <c r="D666" s="12" t="str">
        <f>IF(B666="","",IFERROR(INDEX('Cashier Roster'!$D$5:$D$64,MATCH(B666,'Cashier Roster'!$B$5:$B$64,0)),""))</f>
        <v/>
      </c>
      <c r="E666" s="13"/>
      <c r="F666" s="14"/>
      <c r="G666" s="8" t="str">
        <f>IF(OR(B666="",E666=""),"",IF(E666="No","Missed",IF(F666="","",IF(F666&lt;=Settings!$B$7,"On time","Late"))))</f>
        <v/>
      </c>
      <c r="H666" s="15"/>
      <c r="I666" s="16"/>
      <c r="J666" s="16"/>
      <c r="K666" s="17" t="str">
        <f>IF(J666="","",ROUND(J666*Settings!$B$8,2))</f>
        <v/>
      </c>
      <c r="L666" s="16"/>
      <c r="M666" s="8" t="str">
        <f t="shared" si="10"/>
        <v/>
      </c>
      <c r="N666" s="9"/>
    </row>
    <row r="667" spans="1:14" ht="15.75">
      <c r="A667" s="11"/>
      <c r="B667" s="9"/>
      <c r="C667" s="12" t="str">
        <f>IF(B667="","",IFERROR(INDEX('Cashier Roster'!$C$5:$C$64,MATCH(B667,'Cashier Roster'!$B$5:$B$64,0)),"Not on roster"))</f>
        <v/>
      </c>
      <c r="D667" s="12" t="str">
        <f>IF(B667="","",IFERROR(INDEX('Cashier Roster'!$D$5:$D$64,MATCH(B667,'Cashier Roster'!$B$5:$B$64,0)),""))</f>
        <v/>
      </c>
      <c r="E667" s="13"/>
      <c r="F667" s="14"/>
      <c r="G667" s="8" t="str">
        <f>IF(OR(B667="",E667=""),"",IF(E667="No","Missed",IF(F667="","",IF(F667&lt;=Settings!$B$7,"On time","Late"))))</f>
        <v/>
      </c>
      <c r="H667" s="15"/>
      <c r="I667" s="16"/>
      <c r="J667" s="16"/>
      <c r="K667" s="17" t="str">
        <f>IF(J667="","",ROUND(J667*Settings!$B$8,2))</f>
        <v/>
      </c>
      <c r="L667" s="16"/>
      <c r="M667" s="8" t="str">
        <f t="shared" si="10"/>
        <v/>
      </c>
      <c r="N667" s="9"/>
    </row>
    <row r="668" spans="1:14" ht="15.75">
      <c r="A668" s="11"/>
      <c r="B668" s="9"/>
      <c r="C668" s="12" t="str">
        <f>IF(B668="","",IFERROR(INDEX('Cashier Roster'!$C$5:$C$64,MATCH(B668,'Cashier Roster'!$B$5:$B$64,0)),"Not on roster"))</f>
        <v/>
      </c>
      <c r="D668" s="12" t="str">
        <f>IF(B668="","",IFERROR(INDEX('Cashier Roster'!$D$5:$D$64,MATCH(B668,'Cashier Roster'!$B$5:$B$64,0)),""))</f>
        <v/>
      </c>
      <c r="E668" s="13"/>
      <c r="F668" s="14"/>
      <c r="G668" s="8" t="str">
        <f>IF(OR(B668="",E668=""),"",IF(E668="No","Missed",IF(F668="","",IF(F668&lt;=Settings!$B$7,"On time","Late"))))</f>
        <v/>
      </c>
      <c r="H668" s="15"/>
      <c r="I668" s="16"/>
      <c r="J668" s="16"/>
      <c r="K668" s="17" t="str">
        <f>IF(J668="","",ROUND(J668*Settings!$B$8,2))</f>
        <v/>
      </c>
      <c r="L668" s="16"/>
      <c r="M668" s="8" t="str">
        <f t="shared" si="10"/>
        <v/>
      </c>
      <c r="N668" s="9"/>
    </row>
    <row r="669" spans="1:14" ht="15.75">
      <c r="A669" s="11"/>
      <c r="B669" s="9"/>
      <c r="C669" s="12" t="str">
        <f>IF(B669="","",IFERROR(INDEX('Cashier Roster'!$C$5:$C$64,MATCH(B669,'Cashier Roster'!$B$5:$B$64,0)),"Not on roster"))</f>
        <v/>
      </c>
      <c r="D669" s="12" t="str">
        <f>IF(B669="","",IFERROR(INDEX('Cashier Roster'!$D$5:$D$64,MATCH(B669,'Cashier Roster'!$B$5:$B$64,0)),""))</f>
        <v/>
      </c>
      <c r="E669" s="13"/>
      <c r="F669" s="14"/>
      <c r="G669" s="8" t="str">
        <f>IF(OR(B669="",E669=""),"",IF(E669="No","Missed",IF(F669="","",IF(F669&lt;=Settings!$B$7,"On time","Late"))))</f>
        <v/>
      </c>
      <c r="H669" s="15"/>
      <c r="I669" s="16"/>
      <c r="J669" s="16"/>
      <c r="K669" s="17" t="str">
        <f>IF(J669="","",ROUND(J669*Settings!$B$8,2))</f>
        <v/>
      </c>
      <c r="L669" s="16"/>
      <c r="M669" s="8" t="str">
        <f t="shared" si="10"/>
        <v/>
      </c>
      <c r="N669" s="9"/>
    </row>
    <row r="670" spans="1:14" ht="15.75">
      <c r="A670" s="11"/>
      <c r="B670" s="9"/>
      <c r="C670" s="12" t="str">
        <f>IF(B670="","",IFERROR(INDEX('Cashier Roster'!$C$5:$C$64,MATCH(B670,'Cashier Roster'!$B$5:$B$64,0)),"Not on roster"))</f>
        <v/>
      </c>
      <c r="D670" s="12" t="str">
        <f>IF(B670="","",IFERROR(INDEX('Cashier Roster'!$D$5:$D$64,MATCH(B670,'Cashier Roster'!$B$5:$B$64,0)),""))</f>
        <v/>
      </c>
      <c r="E670" s="13"/>
      <c r="F670" s="14"/>
      <c r="G670" s="8" t="str">
        <f>IF(OR(B670="",E670=""),"",IF(E670="No","Missed",IF(F670="","",IF(F670&lt;=Settings!$B$7,"On time","Late"))))</f>
        <v/>
      </c>
      <c r="H670" s="15"/>
      <c r="I670" s="16"/>
      <c r="J670" s="16"/>
      <c r="K670" s="17" t="str">
        <f>IF(J670="","",ROUND(J670*Settings!$B$8,2))</f>
        <v/>
      </c>
      <c r="L670" s="16"/>
      <c r="M670" s="8" t="str">
        <f t="shared" si="10"/>
        <v/>
      </c>
      <c r="N670" s="9"/>
    </row>
    <row r="671" spans="1:14" ht="15.75">
      <c r="A671" s="11"/>
      <c r="B671" s="9"/>
      <c r="C671" s="12" t="str">
        <f>IF(B671="","",IFERROR(INDEX('Cashier Roster'!$C$5:$C$64,MATCH(B671,'Cashier Roster'!$B$5:$B$64,0)),"Not on roster"))</f>
        <v/>
      </c>
      <c r="D671" s="12" t="str">
        <f>IF(B671="","",IFERROR(INDEX('Cashier Roster'!$D$5:$D$64,MATCH(B671,'Cashier Roster'!$B$5:$B$64,0)),""))</f>
        <v/>
      </c>
      <c r="E671" s="13"/>
      <c r="F671" s="14"/>
      <c r="G671" s="8" t="str">
        <f>IF(OR(B671="",E671=""),"",IF(E671="No","Missed",IF(F671="","",IF(F671&lt;=Settings!$B$7,"On time","Late"))))</f>
        <v/>
      </c>
      <c r="H671" s="15"/>
      <c r="I671" s="16"/>
      <c r="J671" s="16"/>
      <c r="K671" s="17" t="str">
        <f>IF(J671="","",ROUND(J671*Settings!$B$8,2))</f>
        <v/>
      </c>
      <c r="L671" s="16"/>
      <c r="M671" s="8" t="str">
        <f t="shared" si="10"/>
        <v/>
      </c>
      <c r="N671" s="9"/>
    </row>
    <row r="672" spans="1:14" ht="15.75">
      <c r="A672" s="11"/>
      <c r="B672" s="9"/>
      <c r="C672" s="12" t="str">
        <f>IF(B672="","",IFERROR(INDEX('Cashier Roster'!$C$5:$C$64,MATCH(B672,'Cashier Roster'!$B$5:$B$64,0)),"Not on roster"))</f>
        <v/>
      </c>
      <c r="D672" s="12" t="str">
        <f>IF(B672="","",IFERROR(INDEX('Cashier Roster'!$D$5:$D$64,MATCH(B672,'Cashier Roster'!$B$5:$B$64,0)),""))</f>
        <v/>
      </c>
      <c r="E672" s="13"/>
      <c r="F672" s="14"/>
      <c r="G672" s="8" t="str">
        <f>IF(OR(B672="",E672=""),"",IF(E672="No","Missed",IF(F672="","",IF(F672&lt;=Settings!$B$7,"On time","Late"))))</f>
        <v/>
      </c>
      <c r="H672" s="15"/>
      <c r="I672" s="16"/>
      <c r="J672" s="16"/>
      <c r="K672" s="17" t="str">
        <f>IF(J672="","",ROUND(J672*Settings!$B$8,2))</f>
        <v/>
      </c>
      <c r="L672" s="16"/>
      <c r="M672" s="8" t="str">
        <f t="shared" si="10"/>
        <v/>
      </c>
      <c r="N672" s="9"/>
    </row>
    <row r="673" spans="1:14" ht="15.75">
      <c r="A673" s="11"/>
      <c r="B673" s="9"/>
      <c r="C673" s="12" t="str">
        <f>IF(B673="","",IFERROR(INDEX('Cashier Roster'!$C$5:$C$64,MATCH(B673,'Cashier Roster'!$B$5:$B$64,0)),"Not on roster"))</f>
        <v/>
      </c>
      <c r="D673" s="12" t="str">
        <f>IF(B673="","",IFERROR(INDEX('Cashier Roster'!$D$5:$D$64,MATCH(B673,'Cashier Roster'!$B$5:$B$64,0)),""))</f>
        <v/>
      </c>
      <c r="E673" s="13"/>
      <c r="F673" s="14"/>
      <c r="G673" s="8" t="str">
        <f>IF(OR(B673="",E673=""),"",IF(E673="No","Missed",IF(F673="","",IF(F673&lt;=Settings!$B$7,"On time","Late"))))</f>
        <v/>
      </c>
      <c r="H673" s="15"/>
      <c r="I673" s="16"/>
      <c r="J673" s="16"/>
      <c r="K673" s="17" t="str">
        <f>IF(J673="","",ROUND(J673*Settings!$B$8,2))</f>
        <v/>
      </c>
      <c r="L673" s="16"/>
      <c r="M673" s="8" t="str">
        <f t="shared" si="10"/>
        <v/>
      </c>
      <c r="N673" s="9"/>
    </row>
    <row r="674" spans="1:14" ht="15.75">
      <c r="A674" s="11"/>
      <c r="B674" s="9"/>
      <c r="C674" s="12" t="str">
        <f>IF(B674="","",IFERROR(INDEX('Cashier Roster'!$C$5:$C$64,MATCH(B674,'Cashier Roster'!$B$5:$B$64,0)),"Not on roster"))</f>
        <v/>
      </c>
      <c r="D674" s="12" t="str">
        <f>IF(B674="","",IFERROR(INDEX('Cashier Roster'!$D$5:$D$64,MATCH(B674,'Cashier Roster'!$B$5:$B$64,0)),""))</f>
        <v/>
      </c>
      <c r="E674" s="13"/>
      <c r="F674" s="14"/>
      <c r="G674" s="8" t="str">
        <f>IF(OR(B674="",E674=""),"",IF(E674="No","Missed",IF(F674="","",IF(F674&lt;=Settings!$B$7,"On time","Late"))))</f>
        <v/>
      </c>
      <c r="H674" s="15"/>
      <c r="I674" s="16"/>
      <c r="J674" s="16"/>
      <c r="K674" s="17" t="str">
        <f>IF(J674="","",ROUND(J674*Settings!$B$8,2))</f>
        <v/>
      </c>
      <c r="L674" s="16"/>
      <c r="M674" s="8" t="str">
        <f t="shared" si="10"/>
        <v/>
      </c>
      <c r="N674" s="9"/>
    </row>
    <row r="675" spans="1:14" ht="15.75">
      <c r="A675" s="11"/>
      <c r="B675" s="9"/>
      <c r="C675" s="12" t="str">
        <f>IF(B675="","",IFERROR(INDEX('Cashier Roster'!$C$5:$C$64,MATCH(B675,'Cashier Roster'!$B$5:$B$64,0)),"Not on roster"))</f>
        <v/>
      </c>
      <c r="D675" s="12" t="str">
        <f>IF(B675="","",IFERROR(INDEX('Cashier Roster'!$D$5:$D$64,MATCH(B675,'Cashier Roster'!$B$5:$B$64,0)),""))</f>
        <v/>
      </c>
      <c r="E675" s="13"/>
      <c r="F675" s="14"/>
      <c r="G675" s="8" t="str">
        <f>IF(OR(B675="",E675=""),"",IF(E675="No","Missed",IF(F675="","",IF(F675&lt;=Settings!$B$7,"On time","Late"))))</f>
        <v/>
      </c>
      <c r="H675" s="15"/>
      <c r="I675" s="16"/>
      <c r="J675" s="16"/>
      <c r="K675" s="17" t="str">
        <f>IF(J675="","",ROUND(J675*Settings!$B$8,2))</f>
        <v/>
      </c>
      <c r="L675" s="16"/>
      <c r="M675" s="8" t="str">
        <f t="shared" si="10"/>
        <v/>
      </c>
      <c r="N675" s="9"/>
    </row>
    <row r="676" spans="1:14" ht="15.75">
      <c r="A676" s="11"/>
      <c r="B676" s="9"/>
      <c r="C676" s="12" t="str">
        <f>IF(B676="","",IFERROR(INDEX('Cashier Roster'!$C$5:$C$64,MATCH(B676,'Cashier Roster'!$B$5:$B$64,0)),"Not on roster"))</f>
        <v/>
      </c>
      <c r="D676" s="12" t="str">
        <f>IF(B676="","",IFERROR(INDEX('Cashier Roster'!$D$5:$D$64,MATCH(B676,'Cashier Roster'!$B$5:$B$64,0)),""))</f>
        <v/>
      </c>
      <c r="E676" s="13"/>
      <c r="F676" s="14"/>
      <c r="G676" s="8" t="str">
        <f>IF(OR(B676="",E676=""),"",IF(E676="No","Missed",IF(F676="","",IF(F676&lt;=Settings!$B$7,"On time","Late"))))</f>
        <v/>
      </c>
      <c r="H676" s="15"/>
      <c r="I676" s="16"/>
      <c r="J676" s="16"/>
      <c r="K676" s="17" t="str">
        <f>IF(J676="","",ROUND(J676*Settings!$B$8,2))</f>
        <v/>
      </c>
      <c r="L676" s="16"/>
      <c r="M676" s="8" t="str">
        <f t="shared" si="10"/>
        <v/>
      </c>
      <c r="N676" s="9"/>
    </row>
    <row r="677" spans="1:14" ht="15.75">
      <c r="A677" s="11"/>
      <c r="B677" s="9"/>
      <c r="C677" s="12" t="str">
        <f>IF(B677="","",IFERROR(INDEX('Cashier Roster'!$C$5:$C$64,MATCH(B677,'Cashier Roster'!$B$5:$B$64,0)),"Not on roster"))</f>
        <v/>
      </c>
      <c r="D677" s="12" t="str">
        <f>IF(B677="","",IFERROR(INDEX('Cashier Roster'!$D$5:$D$64,MATCH(B677,'Cashier Roster'!$B$5:$B$64,0)),""))</f>
        <v/>
      </c>
      <c r="E677" s="13"/>
      <c r="F677" s="14"/>
      <c r="G677" s="8" t="str">
        <f>IF(OR(B677="",E677=""),"",IF(E677="No","Missed",IF(F677="","",IF(F677&lt;=Settings!$B$7,"On time","Late"))))</f>
        <v/>
      </c>
      <c r="H677" s="15"/>
      <c r="I677" s="16"/>
      <c r="J677" s="16"/>
      <c r="K677" s="17" t="str">
        <f>IF(J677="","",ROUND(J677*Settings!$B$8,2))</f>
        <v/>
      </c>
      <c r="L677" s="16"/>
      <c r="M677" s="8" t="str">
        <f t="shared" si="10"/>
        <v/>
      </c>
      <c r="N677" s="9"/>
    </row>
    <row r="678" spans="1:14" ht="15.75">
      <c r="A678" s="11"/>
      <c r="B678" s="9"/>
      <c r="C678" s="12" t="str">
        <f>IF(B678="","",IFERROR(INDEX('Cashier Roster'!$C$5:$C$64,MATCH(B678,'Cashier Roster'!$B$5:$B$64,0)),"Not on roster"))</f>
        <v/>
      </c>
      <c r="D678" s="12" t="str">
        <f>IF(B678="","",IFERROR(INDEX('Cashier Roster'!$D$5:$D$64,MATCH(B678,'Cashier Roster'!$B$5:$B$64,0)),""))</f>
        <v/>
      </c>
      <c r="E678" s="13"/>
      <c r="F678" s="14"/>
      <c r="G678" s="8" t="str">
        <f>IF(OR(B678="",E678=""),"",IF(E678="No","Missed",IF(F678="","",IF(F678&lt;=Settings!$B$7,"On time","Late"))))</f>
        <v/>
      </c>
      <c r="H678" s="15"/>
      <c r="I678" s="16"/>
      <c r="J678" s="16"/>
      <c r="K678" s="17" t="str">
        <f>IF(J678="","",ROUND(J678*Settings!$B$8,2))</f>
        <v/>
      </c>
      <c r="L678" s="16"/>
      <c r="M678" s="8" t="str">
        <f t="shared" si="10"/>
        <v/>
      </c>
      <c r="N678" s="9"/>
    </row>
    <row r="679" spans="1:14" ht="15.75">
      <c r="A679" s="11"/>
      <c r="B679" s="9"/>
      <c r="C679" s="12" t="str">
        <f>IF(B679="","",IFERROR(INDEX('Cashier Roster'!$C$5:$C$64,MATCH(B679,'Cashier Roster'!$B$5:$B$64,0)),"Not on roster"))</f>
        <v/>
      </c>
      <c r="D679" s="12" t="str">
        <f>IF(B679="","",IFERROR(INDEX('Cashier Roster'!$D$5:$D$64,MATCH(B679,'Cashier Roster'!$B$5:$B$64,0)),""))</f>
        <v/>
      </c>
      <c r="E679" s="13"/>
      <c r="F679" s="14"/>
      <c r="G679" s="8" t="str">
        <f>IF(OR(B679="",E679=""),"",IF(E679="No","Missed",IF(F679="","",IF(F679&lt;=Settings!$B$7,"On time","Late"))))</f>
        <v/>
      </c>
      <c r="H679" s="15"/>
      <c r="I679" s="16"/>
      <c r="J679" s="16"/>
      <c r="K679" s="17" t="str">
        <f>IF(J679="","",ROUND(J679*Settings!$B$8,2))</f>
        <v/>
      </c>
      <c r="L679" s="16"/>
      <c r="M679" s="8" t="str">
        <f t="shared" si="10"/>
        <v/>
      </c>
      <c r="N679" s="9"/>
    </row>
    <row r="680" spans="1:14" ht="15.75">
      <c r="A680" s="11"/>
      <c r="B680" s="9"/>
      <c r="C680" s="12" t="str">
        <f>IF(B680="","",IFERROR(INDEX('Cashier Roster'!$C$5:$C$64,MATCH(B680,'Cashier Roster'!$B$5:$B$64,0)),"Not on roster"))</f>
        <v/>
      </c>
      <c r="D680" s="12" t="str">
        <f>IF(B680="","",IFERROR(INDEX('Cashier Roster'!$D$5:$D$64,MATCH(B680,'Cashier Roster'!$B$5:$B$64,0)),""))</f>
        <v/>
      </c>
      <c r="E680" s="13"/>
      <c r="F680" s="14"/>
      <c r="G680" s="8" t="str">
        <f>IF(OR(B680="",E680=""),"",IF(E680="No","Missed",IF(F680="","",IF(F680&lt;=Settings!$B$7,"On time","Late"))))</f>
        <v/>
      </c>
      <c r="H680" s="15"/>
      <c r="I680" s="16"/>
      <c r="J680" s="16"/>
      <c r="K680" s="17" t="str">
        <f>IF(J680="","",ROUND(J680*Settings!$B$8,2))</f>
        <v/>
      </c>
      <c r="L680" s="16"/>
      <c r="M680" s="8" t="str">
        <f t="shared" si="10"/>
        <v/>
      </c>
      <c r="N680" s="9"/>
    </row>
    <row r="681" spans="1:14" ht="15.75">
      <c r="A681" s="11"/>
      <c r="B681" s="9"/>
      <c r="C681" s="12" t="str">
        <f>IF(B681="","",IFERROR(INDEX('Cashier Roster'!$C$5:$C$64,MATCH(B681,'Cashier Roster'!$B$5:$B$64,0)),"Not on roster"))</f>
        <v/>
      </c>
      <c r="D681" s="12" t="str">
        <f>IF(B681="","",IFERROR(INDEX('Cashier Roster'!$D$5:$D$64,MATCH(B681,'Cashier Roster'!$B$5:$B$64,0)),""))</f>
        <v/>
      </c>
      <c r="E681" s="13"/>
      <c r="F681" s="14"/>
      <c r="G681" s="8" t="str">
        <f>IF(OR(B681="",E681=""),"",IF(E681="No","Missed",IF(F681="","",IF(F681&lt;=Settings!$B$7,"On time","Late"))))</f>
        <v/>
      </c>
      <c r="H681" s="15"/>
      <c r="I681" s="16"/>
      <c r="J681" s="16"/>
      <c r="K681" s="17" t="str">
        <f>IF(J681="","",ROUND(J681*Settings!$B$8,2))</f>
        <v/>
      </c>
      <c r="L681" s="16"/>
      <c r="M681" s="8" t="str">
        <f t="shared" si="10"/>
        <v/>
      </c>
      <c r="N681" s="9"/>
    </row>
    <row r="682" spans="1:14" ht="15.75">
      <c r="A682" s="11"/>
      <c r="B682" s="9"/>
      <c r="C682" s="12" t="str">
        <f>IF(B682="","",IFERROR(INDEX('Cashier Roster'!$C$5:$C$64,MATCH(B682,'Cashier Roster'!$B$5:$B$64,0)),"Not on roster"))</f>
        <v/>
      </c>
      <c r="D682" s="12" t="str">
        <f>IF(B682="","",IFERROR(INDEX('Cashier Roster'!$D$5:$D$64,MATCH(B682,'Cashier Roster'!$B$5:$B$64,0)),""))</f>
        <v/>
      </c>
      <c r="E682" s="13"/>
      <c r="F682" s="14"/>
      <c r="G682" s="8" t="str">
        <f>IF(OR(B682="",E682=""),"",IF(E682="No","Missed",IF(F682="","",IF(F682&lt;=Settings!$B$7,"On time","Late"))))</f>
        <v/>
      </c>
      <c r="H682" s="15"/>
      <c r="I682" s="16"/>
      <c r="J682" s="16"/>
      <c r="K682" s="17" t="str">
        <f>IF(J682="","",ROUND(J682*Settings!$B$8,2))</f>
        <v/>
      </c>
      <c r="L682" s="16"/>
      <c r="M682" s="8" t="str">
        <f t="shared" si="10"/>
        <v/>
      </c>
      <c r="N682" s="9"/>
    </row>
    <row r="683" spans="1:14" ht="15.75">
      <c r="A683" s="11"/>
      <c r="B683" s="9"/>
      <c r="C683" s="12" t="str">
        <f>IF(B683="","",IFERROR(INDEX('Cashier Roster'!$C$5:$C$64,MATCH(B683,'Cashier Roster'!$B$5:$B$64,0)),"Not on roster"))</f>
        <v/>
      </c>
      <c r="D683" s="12" t="str">
        <f>IF(B683="","",IFERROR(INDEX('Cashier Roster'!$D$5:$D$64,MATCH(B683,'Cashier Roster'!$B$5:$B$64,0)),""))</f>
        <v/>
      </c>
      <c r="E683" s="13"/>
      <c r="F683" s="14"/>
      <c r="G683" s="8" t="str">
        <f>IF(OR(B683="",E683=""),"",IF(E683="No","Missed",IF(F683="","",IF(F683&lt;=Settings!$B$7,"On time","Late"))))</f>
        <v/>
      </c>
      <c r="H683" s="15"/>
      <c r="I683" s="16"/>
      <c r="J683" s="16"/>
      <c r="K683" s="17" t="str">
        <f>IF(J683="","",ROUND(J683*Settings!$B$8,2))</f>
        <v/>
      </c>
      <c r="L683" s="16"/>
      <c r="M683" s="8" t="str">
        <f t="shared" si="10"/>
        <v/>
      </c>
      <c r="N683" s="9"/>
    </row>
    <row r="684" spans="1:14" ht="15.75">
      <c r="A684" s="11"/>
      <c r="B684" s="9"/>
      <c r="C684" s="12" t="str">
        <f>IF(B684="","",IFERROR(INDEX('Cashier Roster'!$C$5:$C$64,MATCH(B684,'Cashier Roster'!$B$5:$B$64,0)),"Not on roster"))</f>
        <v/>
      </c>
      <c r="D684" s="12" t="str">
        <f>IF(B684="","",IFERROR(INDEX('Cashier Roster'!$D$5:$D$64,MATCH(B684,'Cashier Roster'!$B$5:$B$64,0)),""))</f>
        <v/>
      </c>
      <c r="E684" s="13"/>
      <c r="F684" s="14"/>
      <c r="G684" s="8" t="str">
        <f>IF(OR(B684="",E684=""),"",IF(E684="No","Missed",IF(F684="","",IF(F684&lt;=Settings!$B$7,"On time","Late"))))</f>
        <v/>
      </c>
      <c r="H684" s="15"/>
      <c r="I684" s="16"/>
      <c r="J684" s="16"/>
      <c r="K684" s="17" t="str">
        <f>IF(J684="","",ROUND(J684*Settings!$B$8,2))</f>
        <v/>
      </c>
      <c r="L684" s="16"/>
      <c r="M684" s="8" t="str">
        <f t="shared" si="10"/>
        <v/>
      </c>
      <c r="N684" s="9"/>
    </row>
    <row r="685" spans="1:14" ht="15.75">
      <c r="A685" s="11"/>
      <c r="B685" s="9"/>
      <c r="C685" s="12" t="str">
        <f>IF(B685="","",IFERROR(INDEX('Cashier Roster'!$C$5:$C$64,MATCH(B685,'Cashier Roster'!$B$5:$B$64,0)),"Not on roster"))</f>
        <v/>
      </c>
      <c r="D685" s="12" t="str">
        <f>IF(B685="","",IFERROR(INDEX('Cashier Roster'!$D$5:$D$64,MATCH(B685,'Cashier Roster'!$B$5:$B$64,0)),""))</f>
        <v/>
      </c>
      <c r="E685" s="13"/>
      <c r="F685" s="14"/>
      <c r="G685" s="8" t="str">
        <f>IF(OR(B685="",E685=""),"",IF(E685="No","Missed",IF(F685="","",IF(F685&lt;=Settings!$B$7,"On time","Late"))))</f>
        <v/>
      </c>
      <c r="H685" s="15"/>
      <c r="I685" s="16"/>
      <c r="J685" s="16"/>
      <c r="K685" s="17" t="str">
        <f>IF(J685="","",ROUND(J685*Settings!$B$8,2))</f>
        <v/>
      </c>
      <c r="L685" s="16"/>
      <c r="M685" s="8" t="str">
        <f t="shared" si="10"/>
        <v/>
      </c>
      <c r="N685" s="9"/>
    </row>
    <row r="686" spans="1:14" ht="15.75">
      <c r="A686" s="11"/>
      <c r="B686" s="9"/>
      <c r="C686" s="12" t="str">
        <f>IF(B686="","",IFERROR(INDEX('Cashier Roster'!$C$5:$C$64,MATCH(B686,'Cashier Roster'!$B$5:$B$64,0)),"Not on roster"))</f>
        <v/>
      </c>
      <c r="D686" s="12" t="str">
        <f>IF(B686="","",IFERROR(INDEX('Cashier Roster'!$D$5:$D$64,MATCH(B686,'Cashier Roster'!$B$5:$B$64,0)),""))</f>
        <v/>
      </c>
      <c r="E686" s="13"/>
      <c r="F686" s="14"/>
      <c r="G686" s="8" t="str">
        <f>IF(OR(B686="",E686=""),"",IF(E686="No","Missed",IF(F686="","",IF(F686&lt;=Settings!$B$7,"On time","Late"))))</f>
        <v/>
      </c>
      <c r="H686" s="15"/>
      <c r="I686" s="16"/>
      <c r="J686" s="16"/>
      <c r="K686" s="17" t="str">
        <f>IF(J686="","",ROUND(J686*Settings!$B$8,2))</f>
        <v/>
      </c>
      <c r="L686" s="16"/>
      <c r="M686" s="8" t="str">
        <f t="shared" si="10"/>
        <v/>
      </c>
      <c r="N686" s="9"/>
    </row>
    <row r="687" spans="1:14" ht="15.75">
      <c r="A687" s="11"/>
      <c r="B687" s="9"/>
      <c r="C687" s="12" t="str">
        <f>IF(B687="","",IFERROR(INDEX('Cashier Roster'!$C$5:$C$64,MATCH(B687,'Cashier Roster'!$B$5:$B$64,0)),"Not on roster"))</f>
        <v/>
      </c>
      <c r="D687" s="12" t="str">
        <f>IF(B687="","",IFERROR(INDEX('Cashier Roster'!$D$5:$D$64,MATCH(B687,'Cashier Roster'!$B$5:$B$64,0)),""))</f>
        <v/>
      </c>
      <c r="E687" s="13"/>
      <c r="F687" s="14"/>
      <c r="G687" s="8" t="str">
        <f>IF(OR(B687="",E687=""),"",IF(E687="No","Missed",IF(F687="","",IF(F687&lt;=Settings!$B$7,"On time","Late"))))</f>
        <v/>
      </c>
      <c r="H687" s="15"/>
      <c r="I687" s="16"/>
      <c r="J687" s="16"/>
      <c r="K687" s="17" t="str">
        <f>IF(J687="","",ROUND(J687*Settings!$B$8,2))</f>
        <v/>
      </c>
      <c r="L687" s="16"/>
      <c r="M687" s="8" t="str">
        <f t="shared" si="10"/>
        <v/>
      </c>
      <c r="N687" s="9"/>
    </row>
    <row r="688" spans="1:14" ht="15.75">
      <c r="A688" s="11"/>
      <c r="B688" s="9"/>
      <c r="C688" s="12" t="str">
        <f>IF(B688="","",IFERROR(INDEX('Cashier Roster'!$C$5:$C$64,MATCH(B688,'Cashier Roster'!$B$5:$B$64,0)),"Not on roster"))</f>
        <v/>
      </c>
      <c r="D688" s="12" t="str">
        <f>IF(B688="","",IFERROR(INDEX('Cashier Roster'!$D$5:$D$64,MATCH(B688,'Cashier Roster'!$B$5:$B$64,0)),""))</f>
        <v/>
      </c>
      <c r="E688" s="13"/>
      <c r="F688" s="14"/>
      <c r="G688" s="8" t="str">
        <f>IF(OR(B688="",E688=""),"",IF(E688="No","Missed",IF(F688="","",IF(F688&lt;=Settings!$B$7,"On time","Late"))))</f>
        <v/>
      </c>
      <c r="H688" s="15"/>
      <c r="I688" s="16"/>
      <c r="J688" s="16"/>
      <c r="K688" s="17" t="str">
        <f>IF(J688="","",ROUND(J688*Settings!$B$8,2))</f>
        <v/>
      </c>
      <c r="L688" s="16"/>
      <c r="M688" s="8" t="str">
        <f t="shared" si="10"/>
        <v/>
      </c>
      <c r="N688" s="9"/>
    </row>
    <row r="689" spans="1:14" ht="15.75">
      <c r="A689" s="11"/>
      <c r="B689" s="9"/>
      <c r="C689" s="12" t="str">
        <f>IF(B689="","",IFERROR(INDEX('Cashier Roster'!$C$5:$C$64,MATCH(B689,'Cashier Roster'!$B$5:$B$64,0)),"Not on roster"))</f>
        <v/>
      </c>
      <c r="D689" s="12" t="str">
        <f>IF(B689="","",IFERROR(INDEX('Cashier Roster'!$D$5:$D$64,MATCH(B689,'Cashier Roster'!$B$5:$B$64,0)),""))</f>
        <v/>
      </c>
      <c r="E689" s="13"/>
      <c r="F689" s="14"/>
      <c r="G689" s="8" t="str">
        <f>IF(OR(B689="",E689=""),"",IF(E689="No","Missed",IF(F689="","",IF(F689&lt;=Settings!$B$7,"On time","Late"))))</f>
        <v/>
      </c>
      <c r="H689" s="15"/>
      <c r="I689" s="16"/>
      <c r="J689" s="16"/>
      <c r="K689" s="17" t="str">
        <f>IF(J689="","",ROUND(J689*Settings!$B$8,2))</f>
        <v/>
      </c>
      <c r="L689" s="16"/>
      <c r="M689" s="8" t="str">
        <f t="shared" si="10"/>
        <v/>
      </c>
      <c r="N689" s="9"/>
    </row>
    <row r="690" spans="1:14" ht="15.75">
      <c r="A690" s="11"/>
      <c r="B690" s="9"/>
      <c r="C690" s="12" t="str">
        <f>IF(B690="","",IFERROR(INDEX('Cashier Roster'!$C$5:$C$64,MATCH(B690,'Cashier Roster'!$B$5:$B$64,0)),"Not on roster"))</f>
        <v/>
      </c>
      <c r="D690" s="12" t="str">
        <f>IF(B690="","",IFERROR(INDEX('Cashier Roster'!$D$5:$D$64,MATCH(B690,'Cashier Roster'!$B$5:$B$64,0)),""))</f>
        <v/>
      </c>
      <c r="E690" s="13"/>
      <c r="F690" s="14"/>
      <c r="G690" s="8" t="str">
        <f>IF(OR(B690="",E690=""),"",IF(E690="No","Missed",IF(F690="","",IF(F690&lt;=Settings!$B$7,"On time","Late"))))</f>
        <v/>
      </c>
      <c r="H690" s="15"/>
      <c r="I690" s="16"/>
      <c r="J690" s="16"/>
      <c r="K690" s="17" t="str">
        <f>IF(J690="","",ROUND(J690*Settings!$B$8,2))</f>
        <v/>
      </c>
      <c r="L690" s="16"/>
      <c r="M690" s="8" t="str">
        <f t="shared" si="10"/>
        <v/>
      </c>
      <c r="N690" s="9"/>
    </row>
    <row r="691" spans="1:14" ht="15.75">
      <c r="A691" s="11"/>
      <c r="B691" s="9"/>
      <c r="C691" s="12" t="str">
        <f>IF(B691="","",IFERROR(INDEX('Cashier Roster'!$C$5:$C$64,MATCH(B691,'Cashier Roster'!$B$5:$B$64,0)),"Not on roster"))</f>
        <v/>
      </c>
      <c r="D691" s="12" t="str">
        <f>IF(B691="","",IFERROR(INDEX('Cashier Roster'!$D$5:$D$64,MATCH(B691,'Cashier Roster'!$B$5:$B$64,0)),""))</f>
        <v/>
      </c>
      <c r="E691" s="13"/>
      <c r="F691" s="14"/>
      <c r="G691" s="8" t="str">
        <f>IF(OR(B691="",E691=""),"",IF(E691="No","Missed",IF(F691="","",IF(F691&lt;=Settings!$B$7,"On time","Late"))))</f>
        <v/>
      </c>
      <c r="H691" s="15"/>
      <c r="I691" s="16"/>
      <c r="J691" s="16"/>
      <c r="K691" s="17" t="str">
        <f>IF(J691="","",ROUND(J691*Settings!$B$8,2))</f>
        <v/>
      </c>
      <c r="L691" s="16"/>
      <c r="M691" s="8" t="str">
        <f t="shared" si="10"/>
        <v/>
      </c>
      <c r="N691" s="9"/>
    </row>
    <row r="692" spans="1:14" ht="15.75">
      <c r="A692" s="11"/>
      <c r="B692" s="9"/>
      <c r="C692" s="12" t="str">
        <f>IF(B692="","",IFERROR(INDEX('Cashier Roster'!$C$5:$C$64,MATCH(B692,'Cashier Roster'!$B$5:$B$64,0)),"Not on roster"))</f>
        <v/>
      </c>
      <c r="D692" s="12" t="str">
        <f>IF(B692="","",IFERROR(INDEX('Cashier Roster'!$D$5:$D$64,MATCH(B692,'Cashier Roster'!$B$5:$B$64,0)),""))</f>
        <v/>
      </c>
      <c r="E692" s="13"/>
      <c r="F692" s="14"/>
      <c r="G692" s="8" t="str">
        <f>IF(OR(B692="",E692=""),"",IF(E692="No","Missed",IF(F692="","",IF(F692&lt;=Settings!$B$7,"On time","Late"))))</f>
        <v/>
      </c>
      <c r="H692" s="15"/>
      <c r="I692" s="16"/>
      <c r="J692" s="16"/>
      <c r="K692" s="17" t="str">
        <f>IF(J692="","",ROUND(J692*Settings!$B$8,2))</f>
        <v/>
      </c>
      <c r="L692" s="16"/>
      <c r="M692" s="8" t="str">
        <f t="shared" si="10"/>
        <v/>
      </c>
      <c r="N692" s="9"/>
    </row>
    <row r="693" spans="1:14" ht="15.75">
      <c r="A693" s="11"/>
      <c r="B693" s="9"/>
      <c r="C693" s="12" t="str">
        <f>IF(B693="","",IFERROR(INDEX('Cashier Roster'!$C$5:$C$64,MATCH(B693,'Cashier Roster'!$B$5:$B$64,0)),"Not on roster"))</f>
        <v/>
      </c>
      <c r="D693" s="12" t="str">
        <f>IF(B693="","",IFERROR(INDEX('Cashier Roster'!$D$5:$D$64,MATCH(B693,'Cashier Roster'!$B$5:$B$64,0)),""))</f>
        <v/>
      </c>
      <c r="E693" s="13"/>
      <c r="F693" s="14"/>
      <c r="G693" s="8" t="str">
        <f>IF(OR(B693="",E693=""),"",IF(E693="No","Missed",IF(F693="","",IF(F693&lt;=Settings!$B$7,"On time","Late"))))</f>
        <v/>
      </c>
      <c r="H693" s="15"/>
      <c r="I693" s="16"/>
      <c r="J693" s="16"/>
      <c r="K693" s="17" t="str">
        <f>IF(J693="","",ROUND(J693*Settings!$B$8,2))</f>
        <v/>
      </c>
      <c r="L693" s="16"/>
      <c r="M693" s="8" t="str">
        <f t="shared" si="10"/>
        <v/>
      </c>
      <c r="N693" s="9"/>
    </row>
    <row r="694" spans="1:14" ht="15.75">
      <c r="A694" s="11"/>
      <c r="B694" s="9"/>
      <c r="C694" s="12" t="str">
        <f>IF(B694="","",IFERROR(INDEX('Cashier Roster'!$C$5:$C$64,MATCH(B694,'Cashier Roster'!$B$5:$B$64,0)),"Not on roster"))</f>
        <v/>
      </c>
      <c r="D694" s="12" t="str">
        <f>IF(B694="","",IFERROR(INDEX('Cashier Roster'!$D$5:$D$64,MATCH(B694,'Cashier Roster'!$B$5:$B$64,0)),""))</f>
        <v/>
      </c>
      <c r="E694" s="13"/>
      <c r="F694" s="14"/>
      <c r="G694" s="8" t="str">
        <f>IF(OR(B694="",E694=""),"",IF(E694="No","Missed",IF(F694="","",IF(F694&lt;=Settings!$B$7,"On time","Late"))))</f>
        <v/>
      </c>
      <c r="H694" s="15"/>
      <c r="I694" s="16"/>
      <c r="J694" s="16"/>
      <c r="K694" s="17" t="str">
        <f>IF(J694="","",ROUND(J694*Settings!$B$8,2))</f>
        <v/>
      </c>
      <c r="L694" s="16"/>
      <c r="M694" s="8" t="str">
        <f t="shared" si="10"/>
        <v/>
      </c>
      <c r="N694" s="9"/>
    </row>
    <row r="695" spans="1:14" ht="15.75">
      <c r="A695" s="11"/>
      <c r="B695" s="9"/>
      <c r="C695" s="12" t="str">
        <f>IF(B695="","",IFERROR(INDEX('Cashier Roster'!$C$5:$C$64,MATCH(B695,'Cashier Roster'!$B$5:$B$64,0)),"Not on roster"))</f>
        <v/>
      </c>
      <c r="D695" s="12" t="str">
        <f>IF(B695="","",IFERROR(INDEX('Cashier Roster'!$D$5:$D$64,MATCH(B695,'Cashier Roster'!$B$5:$B$64,0)),""))</f>
        <v/>
      </c>
      <c r="E695" s="13"/>
      <c r="F695" s="14"/>
      <c r="G695" s="8" t="str">
        <f>IF(OR(B695="",E695=""),"",IF(E695="No","Missed",IF(F695="","",IF(F695&lt;=Settings!$B$7,"On time","Late"))))</f>
        <v/>
      </c>
      <c r="H695" s="15"/>
      <c r="I695" s="16"/>
      <c r="J695" s="16"/>
      <c r="K695" s="17" t="str">
        <f>IF(J695="","",ROUND(J695*Settings!$B$8,2))</f>
        <v/>
      </c>
      <c r="L695" s="16"/>
      <c r="M695" s="8" t="str">
        <f t="shared" si="10"/>
        <v/>
      </c>
      <c r="N695" s="9"/>
    </row>
    <row r="696" spans="1:14" ht="15.75">
      <c r="A696" s="11"/>
      <c r="B696" s="9"/>
      <c r="C696" s="12" t="str">
        <f>IF(B696="","",IFERROR(INDEX('Cashier Roster'!$C$5:$C$64,MATCH(B696,'Cashier Roster'!$B$5:$B$64,0)),"Not on roster"))</f>
        <v/>
      </c>
      <c r="D696" s="12" t="str">
        <f>IF(B696="","",IFERROR(INDEX('Cashier Roster'!$D$5:$D$64,MATCH(B696,'Cashier Roster'!$B$5:$B$64,0)),""))</f>
        <v/>
      </c>
      <c r="E696" s="13"/>
      <c r="F696" s="14"/>
      <c r="G696" s="8" t="str">
        <f>IF(OR(B696="",E696=""),"",IF(E696="No","Missed",IF(F696="","",IF(F696&lt;=Settings!$B$7,"On time","Late"))))</f>
        <v/>
      </c>
      <c r="H696" s="15"/>
      <c r="I696" s="16"/>
      <c r="J696" s="16"/>
      <c r="K696" s="17" t="str">
        <f>IF(J696="","",ROUND(J696*Settings!$B$8,2))</f>
        <v/>
      </c>
      <c r="L696" s="16"/>
      <c r="M696" s="8" t="str">
        <f t="shared" si="10"/>
        <v/>
      </c>
      <c r="N696" s="9"/>
    </row>
    <row r="697" spans="1:14" ht="15.75">
      <c r="A697" s="11"/>
      <c r="B697" s="9"/>
      <c r="C697" s="12" t="str">
        <f>IF(B697="","",IFERROR(INDEX('Cashier Roster'!$C$5:$C$64,MATCH(B697,'Cashier Roster'!$B$5:$B$64,0)),"Not on roster"))</f>
        <v/>
      </c>
      <c r="D697" s="12" t="str">
        <f>IF(B697="","",IFERROR(INDEX('Cashier Roster'!$D$5:$D$64,MATCH(B697,'Cashier Roster'!$B$5:$B$64,0)),""))</f>
        <v/>
      </c>
      <c r="E697" s="13"/>
      <c r="F697" s="14"/>
      <c r="G697" s="8" t="str">
        <f>IF(OR(B697="",E697=""),"",IF(E697="No","Missed",IF(F697="","",IF(F697&lt;=Settings!$B$7,"On time","Late"))))</f>
        <v/>
      </c>
      <c r="H697" s="15"/>
      <c r="I697" s="16"/>
      <c r="J697" s="16"/>
      <c r="K697" s="17" t="str">
        <f>IF(J697="","",ROUND(J697*Settings!$B$8,2))</f>
        <v/>
      </c>
      <c r="L697" s="16"/>
      <c r="M697" s="8" t="str">
        <f t="shared" si="10"/>
        <v/>
      </c>
      <c r="N697" s="9"/>
    </row>
    <row r="698" spans="1:14" ht="15.75">
      <c r="A698" s="11"/>
      <c r="B698" s="9"/>
      <c r="C698" s="12" t="str">
        <f>IF(B698="","",IFERROR(INDEX('Cashier Roster'!$C$5:$C$64,MATCH(B698,'Cashier Roster'!$B$5:$B$64,0)),"Not on roster"))</f>
        <v/>
      </c>
      <c r="D698" s="12" t="str">
        <f>IF(B698="","",IFERROR(INDEX('Cashier Roster'!$D$5:$D$64,MATCH(B698,'Cashier Roster'!$B$5:$B$64,0)),""))</f>
        <v/>
      </c>
      <c r="E698" s="13"/>
      <c r="F698" s="14"/>
      <c r="G698" s="8" t="str">
        <f>IF(OR(B698="",E698=""),"",IF(E698="No","Missed",IF(F698="","",IF(F698&lt;=Settings!$B$7,"On time","Late"))))</f>
        <v/>
      </c>
      <c r="H698" s="15"/>
      <c r="I698" s="16"/>
      <c r="J698" s="16"/>
      <c r="K698" s="17" t="str">
        <f>IF(J698="","",ROUND(J698*Settings!$B$8,2))</f>
        <v/>
      </c>
      <c r="L698" s="16"/>
      <c r="M698" s="8" t="str">
        <f t="shared" si="10"/>
        <v/>
      </c>
      <c r="N698" s="9"/>
    </row>
    <row r="699" spans="1:14" ht="15.75">
      <c r="A699" s="11"/>
      <c r="B699" s="9"/>
      <c r="C699" s="12" t="str">
        <f>IF(B699="","",IFERROR(INDEX('Cashier Roster'!$C$5:$C$64,MATCH(B699,'Cashier Roster'!$B$5:$B$64,0)),"Not on roster"))</f>
        <v/>
      </c>
      <c r="D699" s="12" t="str">
        <f>IF(B699="","",IFERROR(INDEX('Cashier Roster'!$D$5:$D$64,MATCH(B699,'Cashier Roster'!$B$5:$B$64,0)),""))</f>
        <v/>
      </c>
      <c r="E699" s="13"/>
      <c r="F699" s="14"/>
      <c r="G699" s="8" t="str">
        <f>IF(OR(B699="",E699=""),"",IF(E699="No","Missed",IF(F699="","",IF(F699&lt;=Settings!$B$7,"On time","Late"))))</f>
        <v/>
      </c>
      <c r="H699" s="15"/>
      <c r="I699" s="16"/>
      <c r="J699" s="16"/>
      <c r="K699" s="17" t="str">
        <f>IF(J699="","",ROUND(J699*Settings!$B$8,2))</f>
        <v/>
      </c>
      <c r="L699" s="16"/>
      <c r="M699" s="8" t="str">
        <f t="shared" si="10"/>
        <v/>
      </c>
      <c r="N699" s="9"/>
    </row>
    <row r="700" spans="1:14" ht="15.75">
      <c r="A700" s="11"/>
      <c r="B700" s="9"/>
      <c r="C700" s="12" t="str">
        <f>IF(B700="","",IFERROR(INDEX('Cashier Roster'!$C$5:$C$64,MATCH(B700,'Cashier Roster'!$B$5:$B$64,0)),"Not on roster"))</f>
        <v/>
      </c>
      <c r="D700" s="12" t="str">
        <f>IF(B700="","",IFERROR(INDEX('Cashier Roster'!$D$5:$D$64,MATCH(B700,'Cashier Roster'!$B$5:$B$64,0)),""))</f>
        <v/>
      </c>
      <c r="E700" s="13"/>
      <c r="F700" s="14"/>
      <c r="G700" s="8" t="str">
        <f>IF(OR(B700="",E700=""),"",IF(E700="No","Missed",IF(F700="","",IF(F700&lt;=Settings!$B$7,"On time","Late"))))</f>
        <v/>
      </c>
      <c r="H700" s="15"/>
      <c r="I700" s="16"/>
      <c r="J700" s="16"/>
      <c r="K700" s="17" t="str">
        <f>IF(J700="","",ROUND(J700*Settings!$B$8,2))</f>
        <v/>
      </c>
      <c r="L700" s="16"/>
      <c r="M700" s="8" t="str">
        <f t="shared" si="10"/>
        <v/>
      </c>
      <c r="N700" s="9"/>
    </row>
    <row r="701" spans="1:14" ht="15.75">
      <c r="A701" s="11"/>
      <c r="B701" s="9"/>
      <c r="C701" s="12" t="str">
        <f>IF(B701="","",IFERROR(INDEX('Cashier Roster'!$C$5:$C$64,MATCH(B701,'Cashier Roster'!$B$5:$B$64,0)),"Not on roster"))</f>
        <v/>
      </c>
      <c r="D701" s="12" t="str">
        <f>IF(B701="","",IFERROR(INDEX('Cashier Roster'!$D$5:$D$64,MATCH(B701,'Cashier Roster'!$B$5:$B$64,0)),""))</f>
        <v/>
      </c>
      <c r="E701" s="13"/>
      <c r="F701" s="14"/>
      <c r="G701" s="8" t="str">
        <f>IF(OR(B701="",E701=""),"",IF(E701="No","Missed",IF(F701="","",IF(F701&lt;=Settings!$B$7,"On time","Late"))))</f>
        <v/>
      </c>
      <c r="H701" s="15"/>
      <c r="I701" s="16"/>
      <c r="J701" s="16"/>
      <c r="K701" s="17" t="str">
        <f>IF(J701="","",ROUND(J701*Settings!$B$8,2))</f>
        <v/>
      </c>
      <c r="L701" s="16"/>
      <c r="M701" s="8" t="str">
        <f t="shared" si="10"/>
        <v/>
      </c>
      <c r="N701" s="9"/>
    </row>
    <row r="702" spans="1:14" ht="15.75">
      <c r="A702" s="11"/>
      <c r="B702" s="9"/>
      <c r="C702" s="12" t="str">
        <f>IF(B702="","",IFERROR(INDEX('Cashier Roster'!$C$5:$C$64,MATCH(B702,'Cashier Roster'!$B$5:$B$64,0)),"Not on roster"))</f>
        <v/>
      </c>
      <c r="D702" s="12" t="str">
        <f>IF(B702="","",IFERROR(INDEX('Cashier Roster'!$D$5:$D$64,MATCH(B702,'Cashier Roster'!$B$5:$B$64,0)),""))</f>
        <v/>
      </c>
      <c r="E702" s="13"/>
      <c r="F702" s="14"/>
      <c r="G702" s="8" t="str">
        <f>IF(OR(B702="",E702=""),"",IF(E702="No","Missed",IF(F702="","",IF(F702&lt;=Settings!$B$7,"On time","Late"))))</f>
        <v/>
      </c>
      <c r="H702" s="15"/>
      <c r="I702" s="16"/>
      <c r="J702" s="16"/>
      <c r="K702" s="17" t="str">
        <f>IF(J702="","",ROUND(J702*Settings!$B$8,2))</f>
        <v/>
      </c>
      <c r="L702" s="16"/>
      <c r="M702" s="8" t="str">
        <f t="shared" si="10"/>
        <v/>
      </c>
      <c r="N702" s="9"/>
    </row>
    <row r="703" spans="1:14" ht="15.75">
      <c r="A703" s="11"/>
      <c r="B703" s="9"/>
      <c r="C703" s="12" t="str">
        <f>IF(B703="","",IFERROR(INDEX('Cashier Roster'!$C$5:$C$64,MATCH(B703,'Cashier Roster'!$B$5:$B$64,0)),"Not on roster"))</f>
        <v/>
      </c>
      <c r="D703" s="12" t="str">
        <f>IF(B703="","",IFERROR(INDEX('Cashier Roster'!$D$5:$D$64,MATCH(B703,'Cashier Roster'!$B$5:$B$64,0)),""))</f>
        <v/>
      </c>
      <c r="E703" s="13"/>
      <c r="F703" s="14"/>
      <c r="G703" s="8" t="str">
        <f>IF(OR(B703="",E703=""),"",IF(E703="No","Missed",IF(F703="","",IF(F703&lt;=Settings!$B$7,"On time","Late"))))</f>
        <v/>
      </c>
      <c r="H703" s="15"/>
      <c r="I703" s="16"/>
      <c r="J703" s="16"/>
      <c r="K703" s="17" t="str">
        <f>IF(J703="","",ROUND(J703*Settings!$B$8,2))</f>
        <v/>
      </c>
      <c r="L703" s="16"/>
      <c r="M703" s="8" t="str">
        <f t="shared" si="10"/>
        <v/>
      </c>
      <c r="N703" s="9"/>
    </row>
    <row r="704" spans="1:14" ht="15.75">
      <c r="A704" s="11"/>
      <c r="B704" s="9"/>
      <c r="C704" s="12" t="str">
        <f>IF(B704="","",IFERROR(INDEX('Cashier Roster'!$C$5:$C$64,MATCH(B704,'Cashier Roster'!$B$5:$B$64,0)),"Not on roster"))</f>
        <v/>
      </c>
      <c r="D704" s="12" t="str">
        <f>IF(B704="","",IFERROR(INDEX('Cashier Roster'!$D$5:$D$64,MATCH(B704,'Cashier Roster'!$B$5:$B$64,0)),""))</f>
        <v/>
      </c>
      <c r="E704" s="13"/>
      <c r="F704" s="14"/>
      <c r="G704" s="8" t="str">
        <f>IF(OR(B704="",E704=""),"",IF(E704="No","Missed",IF(F704="","",IF(F704&lt;=Settings!$B$7,"On time","Late"))))</f>
        <v/>
      </c>
      <c r="H704" s="15"/>
      <c r="I704" s="16"/>
      <c r="J704" s="16"/>
      <c r="K704" s="17" t="str">
        <f>IF(J704="","",ROUND(J704*Settings!$B$8,2))</f>
        <v/>
      </c>
      <c r="L704" s="16"/>
      <c r="M704" s="8" t="str">
        <f t="shared" si="10"/>
        <v/>
      </c>
      <c r="N704" s="9"/>
    </row>
    <row r="705" spans="1:14" ht="15.75">
      <c r="A705" s="11"/>
      <c r="B705" s="9"/>
      <c r="C705" s="12" t="str">
        <f>IF(B705="","",IFERROR(INDEX('Cashier Roster'!$C$5:$C$64,MATCH(B705,'Cashier Roster'!$B$5:$B$64,0)),"Not on roster"))</f>
        <v/>
      </c>
      <c r="D705" s="12" t="str">
        <f>IF(B705="","",IFERROR(INDEX('Cashier Roster'!$D$5:$D$64,MATCH(B705,'Cashier Roster'!$B$5:$B$64,0)),""))</f>
        <v/>
      </c>
      <c r="E705" s="13"/>
      <c r="F705" s="14"/>
      <c r="G705" s="8" t="str">
        <f>IF(OR(B705="",E705=""),"",IF(E705="No","Missed",IF(F705="","",IF(F705&lt;=Settings!$B$7,"On time","Late"))))</f>
        <v/>
      </c>
      <c r="H705" s="15"/>
      <c r="I705" s="16"/>
      <c r="J705" s="16"/>
      <c r="K705" s="17" t="str">
        <f>IF(J705="","",ROUND(J705*Settings!$B$8,2))</f>
        <v/>
      </c>
      <c r="L705" s="16"/>
      <c r="M705" s="8" t="str">
        <f t="shared" si="10"/>
        <v/>
      </c>
      <c r="N705" s="9"/>
    </row>
    <row r="706" spans="1:14" ht="15.75">
      <c r="A706" s="11"/>
      <c r="B706" s="9"/>
      <c r="C706" s="12" t="str">
        <f>IF(B706="","",IFERROR(INDEX('Cashier Roster'!$C$5:$C$64,MATCH(B706,'Cashier Roster'!$B$5:$B$64,0)),"Not on roster"))</f>
        <v/>
      </c>
      <c r="D706" s="12" t="str">
        <f>IF(B706="","",IFERROR(INDEX('Cashier Roster'!$D$5:$D$64,MATCH(B706,'Cashier Roster'!$B$5:$B$64,0)),""))</f>
        <v/>
      </c>
      <c r="E706" s="13"/>
      <c r="F706" s="14"/>
      <c r="G706" s="8" t="str">
        <f>IF(OR(B706="",E706=""),"",IF(E706="No","Missed",IF(F706="","",IF(F706&lt;=Settings!$B$7,"On time","Late"))))</f>
        <v/>
      </c>
      <c r="H706" s="15"/>
      <c r="I706" s="16"/>
      <c r="J706" s="16"/>
      <c r="K706" s="17" t="str">
        <f>IF(J706="","",ROUND(J706*Settings!$B$8,2))</f>
        <v/>
      </c>
      <c r="L706" s="16"/>
      <c r="M706" s="8" t="str">
        <f t="shared" si="10"/>
        <v/>
      </c>
      <c r="N706" s="9"/>
    </row>
    <row r="707" spans="1:14" ht="15.75">
      <c r="A707" s="11"/>
      <c r="B707" s="9"/>
      <c r="C707" s="12" t="str">
        <f>IF(B707="","",IFERROR(INDEX('Cashier Roster'!$C$5:$C$64,MATCH(B707,'Cashier Roster'!$B$5:$B$64,0)),"Not on roster"))</f>
        <v/>
      </c>
      <c r="D707" s="12" t="str">
        <f>IF(B707="","",IFERROR(INDEX('Cashier Roster'!$D$5:$D$64,MATCH(B707,'Cashier Roster'!$B$5:$B$64,0)),""))</f>
        <v/>
      </c>
      <c r="E707" s="13"/>
      <c r="F707" s="14"/>
      <c r="G707" s="8" t="str">
        <f>IF(OR(B707="",E707=""),"",IF(E707="No","Missed",IF(F707="","",IF(F707&lt;=Settings!$B$7,"On time","Late"))))</f>
        <v/>
      </c>
      <c r="H707" s="15"/>
      <c r="I707" s="16"/>
      <c r="J707" s="16"/>
      <c r="K707" s="17" t="str">
        <f>IF(J707="","",ROUND(J707*Settings!$B$8,2))</f>
        <v/>
      </c>
      <c r="L707" s="16"/>
      <c r="M707" s="8" t="str">
        <f t="shared" si="10"/>
        <v/>
      </c>
      <c r="N707" s="9"/>
    </row>
    <row r="708" spans="1:14" ht="15.75">
      <c r="A708" s="11"/>
      <c r="B708" s="9"/>
      <c r="C708" s="12" t="str">
        <f>IF(B708="","",IFERROR(INDEX('Cashier Roster'!$C$5:$C$64,MATCH(B708,'Cashier Roster'!$B$5:$B$64,0)),"Not on roster"))</f>
        <v/>
      </c>
      <c r="D708" s="12" t="str">
        <f>IF(B708="","",IFERROR(INDEX('Cashier Roster'!$D$5:$D$64,MATCH(B708,'Cashier Roster'!$B$5:$B$64,0)),""))</f>
        <v/>
      </c>
      <c r="E708" s="13"/>
      <c r="F708" s="14"/>
      <c r="G708" s="8" t="str">
        <f>IF(OR(B708="",E708=""),"",IF(E708="No","Missed",IF(F708="","",IF(F708&lt;=Settings!$B$7,"On time","Late"))))</f>
        <v/>
      </c>
      <c r="H708" s="15"/>
      <c r="I708" s="16"/>
      <c r="J708" s="16"/>
      <c r="K708" s="17" t="str">
        <f>IF(J708="","",ROUND(J708*Settings!$B$8,2))</f>
        <v/>
      </c>
      <c r="L708" s="16"/>
      <c r="M708" s="8" t="str">
        <f t="shared" si="10"/>
        <v/>
      </c>
      <c r="N708" s="9"/>
    </row>
    <row r="709" spans="1:14" ht="15.75">
      <c r="A709" s="11"/>
      <c r="B709" s="9"/>
      <c r="C709" s="12" t="str">
        <f>IF(B709="","",IFERROR(INDEX('Cashier Roster'!$C$5:$C$64,MATCH(B709,'Cashier Roster'!$B$5:$B$64,0)),"Not on roster"))</f>
        <v/>
      </c>
      <c r="D709" s="12" t="str">
        <f>IF(B709="","",IFERROR(INDEX('Cashier Roster'!$D$5:$D$64,MATCH(B709,'Cashier Roster'!$B$5:$B$64,0)),""))</f>
        <v/>
      </c>
      <c r="E709" s="13"/>
      <c r="F709" s="14"/>
      <c r="G709" s="8" t="str">
        <f>IF(OR(B709="",E709=""),"",IF(E709="No","Missed",IF(F709="","",IF(F709&lt;=Settings!$B$7,"On time","Late"))))</f>
        <v/>
      </c>
      <c r="H709" s="15"/>
      <c r="I709" s="16"/>
      <c r="J709" s="16"/>
      <c r="K709" s="17" t="str">
        <f>IF(J709="","",ROUND(J709*Settings!$B$8,2))</f>
        <v/>
      </c>
      <c r="L709" s="16"/>
      <c r="M709" s="8" t="str">
        <f t="shared" ref="M709:M772" si="11">IF(L709="","",IF(L709&lt;=0,"Yes","No"))</f>
        <v/>
      </c>
      <c r="N709" s="9"/>
    </row>
    <row r="710" spans="1:14" ht="15.75">
      <c r="A710" s="11"/>
      <c r="B710" s="9"/>
      <c r="C710" s="12" t="str">
        <f>IF(B710="","",IFERROR(INDEX('Cashier Roster'!$C$5:$C$64,MATCH(B710,'Cashier Roster'!$B$5:$B$64,0)),"Not on roster"))</f>
        <v/>
      </c>
      <c r="D710" s="12" t="str">
        <f>IF(B710="","",IFERROR(INDEX('Cashier Roster'!$D$5:$D$64,MATCH(B710,'Cashier Roster'!$B$5:$B$64,0)),""))</f>
        <v/>
      </c>
      <c r="E710" s="13"/>
      <c r="F710" s="14"/>
      <c r="G710" s="8" t="str">
        <f>IF(OR(B710="",E710=""),"",IF(E710="No","Missed",IF(F710="","",IF(F710&lt;=Settings!$B$7,"On time","Late"))))</f>
        <v/>
      </c>
      <c r="H710" s="15"/>
      <c r="I710" s="16"/>
      <c r="J710" s="16"/>
      <c r="K710" s="17" t="str">
        <f>IF(J710="","",ROUND(J710*Settings!$B$8,2))</f>
        <v/>
      </c>
      <c r="L710" s="16"/>
      <c r="M710" s="8" t="str">
        <f t="shared" si="11"/>
        <v/>
      </c>
      <c r="N710" s="9"/>
    </row>
    <row r="711" spans="1:14" ht="15.75">
      <c r="A711" s="11"/>
      <c r="B711" s="9"/>
      <c r="C711" s="12" t="str">
        <f>IF(B711="","",IFERROR(INDEX('Cashier Roster'!$C$5:$C$64,MATCH(B711,'Cashier Roster'!$B$5:$B$64,0)),"Not on roster"))</f>
        <v/>
      </c>
      <c r="D711" s="12" t="str">
        <f>IF(B711="","",IFERROR(INDEX('Cashier Roster'!$D$5:$D$64,MATCH(B711,'Cashier Roster'!$B$5:$B$64,0)),""))</f>
        <v/>
      </c>
      <c r="E711" s="13"/>
      <c r="F711" s="14"/>
      <c r="G711" s="8" t="str">
        <f>IF(OR(B711="",E711=""),"",IF(E711="No","Missed",IF(F711="","",IF(F711&lt;=Settings!$B$7,"On time","Late"))))</f>
        <v/>
      </c>
      <c r="H711" s="15"/>
      <c r="I711" s="16"/>
      <c r="J711" s="16"/>
      <c r="K711" s="17" t="str">
        <f>IF(J711="","",ROUND(J711*Settings!$B$8,2))</f>
        <v/>
      </c>
      <c r="L711" s="16"/>
      <c r="M711" s="8" t="str">
        <f t="shared" si="11"/>
        <v/>
      </c>
      <c r="N711" s="9"/>
    </row>
    <row r="712" spans="1:14" ht="15.75">
      <c r="A712" s="11"/>
      <c r="B712" s="9"/>
      <c r="C712" s="12" t="str">
        <f>IF(B712="","",IFERROR(INDEX('Cashier Roster'!$C$5:$C$64,MATCH(B712,'Cashier Roster'!$B$5:$B$64,0)),"Not on roster"))</f>
        <v/>
      </c>
      <c r="D712" s="12" t="str">
        <f>IF(B712="","",IFERROR(INDEX('Cashier Roster'!$D$5:$D$64,MATCH(B712,'Cashier Roster'!$B$5:$B$64,0)),""))</f>
        <v/>
      </c>
      <c r="E712" s="13"/>
      <c r="F712" s="14"/>
      <c r="G712" s="8" t="str">
        <f>IF(OR(B712="",E712=""),"",IF(E712="No","Missed",IF(F712="","",IF(F712&lt;=Settings!$B$7,"On time","Late"))))</f>
        <v/>
      </c>
      <c r="H712" s="15"/>
      <c r="I712" s="16"/>
      <c r="J712" s="16"/>
      <c r="K712" s="17" t="str">
        <f>IF(J712="","",ROUND(J712*Settings!$B$8,2))</f>
        <v/>
      </c>
      <c r="L712" s="16"/>
      <c r="M712" s="8" t="str">
        <f t="shared" si="11"/>
        <v/>
      </c>
      <c r="N712" s="9"/>
    </row>
    <row r="713" spans="1:14" ht="15.75">
      <c r="A713" s="11"/>
      <c r="B713" s="9"/>
      <c r="C713" s="12" t="str">
        <f>IF(B713="","",IFERROR(INDEX('Cashier Roster'!$C$5:$C$64,MATCH(B713,'Cashier Roster'!$B$5:$B$64,0)),"Not on roster"))</f>
        <v/>
      </c>
      <c r="D713" s="12" t="str">
        <f>IF(B713="","",IFERROR(INDEX('Cashier Roster'!$D$5:$D$64,MATCH(B713,'Cashier Roster'!$B$5:$B$64,0)),""))</f>
        <v/>
      </c>
      <c r="E713" s="13"/>
      <c r="F713" s="14"/>
      <c r="G713" s="8" t="str">
        <f>IF(OR(B713="",E713=""),"",IF(E713="No","Missed",IF(F713="","",IF(F713&lt;=Settings!$B$7,"On time","Late"))))</f>
        <v/>
      </c>
      <c r="H713" s="15"/>
      <c r="I713" s="16"/>
      <c r="J713" s="16"/>
      <c r="K713" s="17" t="str">
        <f>IF(J713="","",ROUND(J713*Settings!$B$8,2))</f>
        <v/>
      </c>
      <c r="L713" s="16"/>
      <c r="M713" s="8" t="str">
        <f t="shared" si="11"/>
        <v/>
      </c>
      <c r="N713" s="9"/>
    </row>
    <row r="714" spans="1:14" ht="15.75">
      <c r="A714" s="11"/>
      <c r="B714" s="9"/>
      <c r="C714" s="12" t="str">
        <f>IF(B714="","",IFERROR(INDEX('Cashier Roster'!$C$5:$C$64,MATCH(B714,'Cashier Roster'!$B$5:$B$64,0)),"Not on roster"))</f>
        <v/>
      </c>
      <c r="D714" s="12" t="str">
        <f>IF(B714="","",IFERROR(INDEX('Cashier Roster'!$D$5:$D$64,MATCH(B714,'Cashier Roster'!$B$5:$B$64,0)),""))</f>
        <v/>
      </c>
      <c r="E714" s="13"/>
      <c r="F714" s="14"/>
      <c r="G714" s="8" t="str">
        <f>IF(OR(B714="",E714=""),"",IF(E714="No","Missed",IF(F714="","",IF(F714&lt;=Settings!$B$7,"On time","Late"))))</f>
        <v/>
      </c>
      <c r="H714" s="15"/>
      <c r="I714" s="16"/>
      <c r="J714" s="16"/>
      <c r="K714" s="17" t="str">
        <f>IF(J714="","",ROUND(J714*Settings!$B$8,2))</f>
        <v/>
      </c>
      <c r="L714" s="16"/>
      <c r="M714" s="8" t="str">
        <f t="shared" si="11"/>
        <v/>
      </c>
      <c r="N714" s="9"/>
    </row>
    <row r="715" spans="1:14" ht="15.75">
      <c r="A715" s="11"/>
      <c r="B715" s="9"/>
      <c r="C715" s="12" t="str">
        <f>IF(B715="","",IFERROR(INDEX('Cashier Roster'!$C$5:$C$64,MATCH(B715,'Cashier Roster'!$B$5:$B$64,0)),"Not on roster"))</f>
        <v/>
      </c>
      <c r="D715" s="12" t="str">
        <f>IF(B715="","",IFERROR(INDEX('Cashier Roster'!$D$5:$D$64,MATCH(B715,'Cashier Roster'!$B$5:$B$64,0)),""))</f>
        <v/>
      </c>
      <c r="E715" s="13"/>
      <c r="F715" s="14"/>
      <c r="G715" s="8" t="str">
        <f>IF(OR(B715="",E715=""),"",IF(E715="No","Missed",IF(F715="","",IF(F715&lt;=Settings!$B$7,"On time","Late"))))</f>
        <v/>
      </c>
      <c r="H715" s="15"/>
      <c r="I715" s="16"/>
      <c r="J715" s="16"/>
      <c r="K715" s="17" t="str">
        <f>IF(J715="","",ROUND(J715*Settings!$B$8,2))</f>
        <v/>
      </c>
      <c r="L715" s="16"/>
      <c r="M715" s="8" t="str">
        <f t="shared" si="11"/>
        <v/>
      </c>
      <c r="N715" s="9"/>
    </row>
    <row r="716" spans="1:14" ht="15.75">
      <c r="A716" s="11"/>
      <c r="B716" s="9"/>
      <c r="C716" s="12" t="str">
        <f>IF(B716="","",IFERROR(INDEX('Cashier Roster'!$C$5:$C$64,MATCH(B716,'Cashier Roster'!$B$5:$B$64,0)),"Not on roster"))</f>
        <v/>
      </c>
      <c r="D716" s="12" t="str">
        <f>IF(B716="","",IFERROR(INDEX('Cashier Roster'!$D$5:$D$64,MATCH(B716,'Cashier Roster'!$B$5:$B$64,0)),""))</f>
        <v/>
      </c>
      <c r="E716" s="13"/>
      <c r="F716" s="14"/>
      <c r="G716" s="8" t="str">
        <f>IF(OR(B716="",E716=""),"",IF(E716="No","Missed",IF(F716="","",IF(F716&lt;=Settings!$B$7,"On time","Late"))))</f>
        <v/>
      </c>
      <c r="H716" s="15"/>
      <c r="I716" s="16"/>
      <c r="J716" s="16"/>
      <c r="K716" s="17" t="str">
        <f>IF(J716="","",ROUND(J716*Settings!$B$8,2))</f>
        <v/>
      </c>
      <c r="L716" s="16"/>
      <c r="M716" s="8" t="str">
        <f t="shared" si="11"/>
        <v/>
      </c>
      <c r="N716" s="9"/>
    </row>
    <row r="717" spans="1:14" ht="15.75">
      <c r="A717" s="11"/>
      <c r="B717" s="9"/>
      <c r="C717" s="12" t="str">
        <f>IF(B717="","",IFERROR(INDEX('Cashier Roster'!$C$5:$C$64,MATCH(B717,'Cashier Roster'!$B$5:$B$64,0)),"Not on roster"))</f>
        <v/>
      </c>
      <c r="D717" s="12" t="str">
        <f>IF(B717="","",IFERROR(INDEX('Cashier Roster'!$D$5:$D$64,MATCH(B717,'Cashier Roster'!$B$5:$B$64,0)),""))</f>
        <v/>
      </c>
      <c r="E717" s="13"/>
      <c r="F717" s="14"/>
      <c r="G717" s="8" t="str">
        <f>IF(OR(B717="",E717=""),"",IF(E717="No","Missed",IF(F717="","",IF(F717&lt;=Settings!$B$7,"On time","Late"))))</f>
        <v/>
      </c>
      <c r="H717" s="15"/>
      <c r="I717" s="16"/>
      <c r="J717" s="16"/>
      <c r="K717" s="17" t="str">
        <f>IF(J717="","",ROUND(J717*Settings!$B$8,2))</f>
        <v/>
      </c>
      <c r="L717" s="16"/>
      <c r="M717" s="8" t="str">
        <f t="shared" si="11"/>
        <v/>
      </c>
      <c r="N717" s="9"/>
    </row>
    <row r="718" spans="1:14" ht="15.75">
      <c r="A718" s="11"/>
      <c r="B718" s="9"/>
      <c r="C718" s="12" t="str">
        <f>IF(B718="","",IFERROR(INDEX('Cashier Roster'!$C$5:$C$64,MATCH(B718,'Cashier Roster'!$B$5:$B$64,0)),"Not on roster"))</f>
        <v/>
      </c>
      <c r="D718" s="12" t="str">
        <f>IF(B718="","",IFERROR(INDEX('Cashier Roster'!$D$5:$D$64,MATCH(B718,'Cashier Roster'!$B$5:$B$64,0)),""))</f>
        <v/>
      </c>
      <c r="E718" s="13"/>
      <c r="F718" s="14"/>
      <c r="G718" s="8" t="str">
        <f>IF(OR(B718="",E718=""),"",IF(E718="No","Missed",IF(F718="","",IF(F718&lt;=Settings!$B$7,"On time","Late"))))</f>
        <v/>
      </c>
      <c r="H718" s="15"/>
      <c r="I718" s="16"/>
      <c r="J718" s="16"/>
      <c r="K718" s="17" t="str">
        <f>IF(J718="","",ROUND(J718*Settings!$B$8,2))</f>
        <v/>
      </c>
      <c r="L718" s="16"/>
      <c r="M718" s="8" t="str">
        <f t="shared" si="11"/>
        <v/>
      </c>
      <c r="N718" s="9"/>
    </row>
    <row r="719" spans="1:14" ht="15.75">
      <c r="A719" s="11"/>
      <c r="B719" s="9"/>
      <c r="C719" s="12" t="str">
        <f>IF(B719="","",IFERROR(INDEX('Cashier Roster'!$C$5:$C$64,MATCH(B719,'Cashier Roster'!$B$5:$B$64,0)),"Not on roster"))</f>
        <v/>
      </c>
      <c r="D719" s="12" t="str">
        <f>IF(B719="","",IFERROR(INDEX('Cashier Roster'!$D$5:$D$64,MATCH(B719,'Cashier Roster'!$B$5:$B$64,0)),""))</f>
        <v/>
      </c>
      <c r="E719" s="13"/>
      <c r="F719" s="14"/>
      <c r="G719" s="8" t="str">
        <f>IF(OR(B719="",E719=""),"",IF(E719="No","Missed",IF(F719="","",IF(F719&lt;=Settings!$B$7,"On time","Late"))))</f>
        <v/>
      </c>
      <c r="H719" s="15"/>
      <c r="I719" s="16"/>
      <c r="J719" s="16"/>
      <c r="K719" s="17" t="str">
        <f>IF(J719="","",ROUND(J719*Settings!$B$8,2))</f>
        <v/>
      </c>
      <c r="L719" s="16"/>
      <c r="M719" s="8" t="str">
        <f t="shared" si="11"/>
        <v/>
      </c>
      <c r="N719" s="9"/>
    </row>
    <row r="720" spans="1:14" ht="15.75">
      <c r="A720" s="11"/>
      <c r="B720" s="9"/>
      <c r="C720" s="12" t="str">
        <f>IF(B720="","",IFERROR(INDEX('Cashier Roster'!$C$5:$C$64,MATCH(B720,'Cashier Roster'!$B$5:$B$64,0)),"Not on roster"))</f>
        <v/>
      </c>
      <c r="D720" s="12" t="str">
        <f>IF(B720="","",IFERROR(INDEX('Cashier Roster'!$D$5:$D$64,MATCH(B720,'Cashier Roster'!$B$5:$B$64,0)),""))</f>
        <v/>
      </c>
      <c r="E720" s="13"/>
      <c r="F720" s="14"/>
      <c r="G720" s="8" t="str">
        <f>IF(OR(B720="",E720=""),"",IF(E720="No","Missed",IF(F720="","",IF(F720&lt;=Settings!$B$7,"On time","Late"))))</f>
        <v/>
      </c>
      <c r="H720" s="15"/>
      <c r="I720" s="16"/>
      <c r="J720" s="16"/>
      <c r="K720" s="17" t="str">
        <f>IF(J720="","",ROUND(J720*Settings!$B$8,2))</f>
        <v/>
      </c>
      <c r="L720" s="16"/>
      <c r="M720" s="8" t="str">
        <f t="shared" si="11"/>
        <v/>
      </c>
      <c r="N720" s="9"/>
    </row>
    <row r="721" spans="1:14" ht="15.75">
      <c r="A721" s="11"/>
      <c r="B721" s="9"/>
      <c r="C721" s="12" t="str">
        <f>IF(B721="","",IFERROR(INDEX('Cashier Roster'!$C$5:$C$64,MATCH(B721,'Cashier Roster'!$B$5:$B$64,0)),"Not on roster"))</f>
        <v/>
      </c>
      <c r="D721" s="12" t="str">
        <f>IF(B721="","",IFERROR(INDEX('Cashier Roster'!$D$5:$D$64,MATCH(B721,'Cashier Roster'!$B$5:$B$64,0)),""))</f>
        <v/>
      </c>
      <c r="E721" s="13"/>
      <c r="F721" s="14"/>
      <c r="G721" s="8" t="str">
        <f>IF(OR(B721="",E721=""),"",IF(E721="No","Missed",IF(F721="","",IF(F721&lt;=Settings!$B$7,"On time","Late"))))</f>
        <v/>
      </c>
      <c r="H721" s="15"/>
      <c r="I721" s="16"/>
      <c r="J721" s="16"/>
      <c r="K721" s="17" t="str">
        <f>IF(J721="","",ROUND(J721*Settings!$B$8,2))</f>
        <v/>
      </c>
      <c r="L721" s="16"/>
      <c r="M721" s="8" t="str">
        <f t="shared" si="11"/>
        <v/>
      </c>
      <c r="N721" s="9"/>
    </row>
    <row r="722" spans="1:14" ht="15.75">
      <c r="A722" s="11"/>
      <c r="B722" s="9"/>
      <c r="C722" s="12" t="str">
        <f>IF(B722="","",IFERROR(INDEX('Cashier Roster'!$C$5:$C$64,MATCH(B722,'Cashier Roster'!$B$5:$B$64,0)),"Not on roster"))</f>
        <v/>
      </c>
      <c r="D722" s="12" t="str">
        <f>IF(B722="","",IFERROR(INDEX('Cashier Roster'!$D$5:$D$64,MATCH(B722,'Cashier Roster'!$B$5:$B$64,0)),""))</f>
        <v/>
      </c>
      <c r="E722" s="13"/>
      <c r="F722" s="14"/>
      <c r="G722" s="8" t="str">
        <f>IF(OR(B722="",E722=""),"",IF(E722="No","Missed",IF(F722="","",IF(F722&lt;=Settings!$B$7,"On time","Late"))))</f>
        <v/>
      </c>
      <c r="H722" s="15"/>
      <c r="I722" s="16"/>
      <c r="J722" s="16"/>
      <c r="K722" s="17" t="str">
        <f>IF(J722="","",ROUND(J722*Settings!$B$8,2))</f>
        <v/>
      </c>
      <c r="L722" s="16"/>
      <c r="M722" s="8" t="str">
        <f t="shared" si="11"/>
        <v/>
      </c>
      <c r="N722" s="9"/>
    </row>
    <row r="723" spans="1:14" ht="15.75">
      <c r="A723" s="11"/>
      <c r="B723" s="9"/>
      <c r="C723" s="12" t="str">
        <f>IF(B723="","",IFERROR(INDEX('Cashier Roster'!$C$5:$C$64,MATCH(B723,'Cashier Roster'!$B$5:$B$64,0)),"Not on roster"))</f>
        <v/>
      </c>
      <c r="D723" s="12" t="str">
        <f>IF(B723="","",IFERROR(INDEX('Cashier Roster'!$D$5:$D$64,MATCH(B723,'Cashier Roster'!$B$5:$B$64,0)),""))</f>
        <v/>
      </c>
      <c r="E723" s="13"/>
      <c r="F723" s="14"/>
      <c r="G723" s="8" t="str">
        <f>IF(OR(B723="",E723=""),"",IF(E723="No","Missed",IF(F723="","",IF(F723&lt;=Settings!$B$7,"On time","Late"))))</f>
        <v/>
      </c>
      <c r="H723" s="15"/>
      <c r="I723" s="16"/>
      <c r="J723" s="16"/>
      <c r="K723" s="17" t="str">
        <f>IF(J723="","",ROUND(J723*Settings!$B$8,2))</f>
        <v/>
      </c>
      <c r="L723" s="16"/>
      <c r="M723" s="8" t="str">
        <f t="shared" si="11"/>
        <v/>
      </c>
      <c r="N723" s="9"/>
    </row>
    <row r="724" spans="1:14" ht="15.75">
      <c r="A724" s="11"/>
      <c r="B724" s="9"/>
      <c r="C724" s="12" t="str">
        <f>IF(B724="","",IFERROR(INDEX('Cashier Roster'!$C$5:$C$64,MATCH(B724,'Cashier Roster'!$B$5:$B$64,0)),"Not on roster"))</f>
        <v/>
      </c>
      <c r="D724" s="12" t="str">
        <f>IF(B724="","",IFERROR(INDEX('Cashier Roster'!$D$5:$D$64,MATCH(B724,'Cashier Roster'!$B$5:$B$64,0)),""))</f>
        <v/>
      </c>
      <c r="E724" s="13"/>
      <c r="F724" s="14"/>
      <c r="G724" s="8" t="str">
        <f>IF(OR(B724="",E724=""),"",IF(E724="No","Missed",IF(F724="","",IF(F724&lt;=Settings!$B$7,"On time","Late"))))</f>
        <v/>
      </c>
      <c r="H724" s="15"/>
      <c r="I724" s="16"/>
      <c r="J724" s="16"/>
      <c r="K724" s="17" t="str">
        <f>IF(J724="","",ROUND(J724*Settings!$B$8,2))</f>
        <v/>
      </c>
      <c r="L724" s="16"/>
      <c r="M724" s="8" t="str">
        <f t="shared" si="11"/>
        <v/>
      </c>
      <c r="N724" s="9"/>
    </row>
    <row r="725" spans="1:14" ht="15.75">
      <c r="A725" s="11"/>
      <c r="B725" s="9"/>
      <c r="C725" s="12" t="str">
        <f>IF(B725="","",IFERROR(INDEX('Cashier Roster'!$C$5:$C$64,MATCH(B725,'Cashier Roster'!$B$5:$B$64,0)),"Not on roster"))</f>
        <v/>
      </c>
      <c r="D725" s="12" t="str">
        <f>IF(B725="","",IFERROR(INDEX('Cashier Roster'!$D$5:$D$64,MATCH(B725,'Cashier Roster'!$B$5:$B$64,0)),""))</f>
        <v/>
      </c>
      <c r="E725" s="13"/>
      <c r="F725" s="14"/>
      <c r="G725" s="8" t="str">
        <f>IF(OR(B725="",E725=""),"",IF(E725="No","Missed",IF(F725="","",IF(F725&lt;=Settings!$B$7,"On time","Late"))))</f>
        <v/>
      </c>
      <c r="H725" s="15"/>
      <c r="I725" s="16"/>
      <c r="J725" s="16"/>
      <c r="K725" s="17" t="str">
        <f>IF(J725="","",ROUND(J725*Settings!$B$8,2))</f>
        <v/>
      </c>
      <c r="L725" s="16"/>
      <c r="M725" s="8" t="str">
        <f t="shared" si="11"/>
        <v/>
      </c>
      <c r="N725" s="9"/>
    </row>
    <row r="726" spans="1:14" ht="15.75">
      <c r="A726" s="11"/>
      <c r="B726" s="9"/>
      <c r="C726" s="12" t="str">
        <f>IF(B726="","",IFERROR(INDEX('Cashier Roster'!$C$5:$C$64,MATCH(B726,'Cashier Roster'!$B$5:$B$64,0)),"Not on roster"))</f>
        <v/>
      </c>
      <c r="D726" s="12" t="str">
        <f>IF(B726="","",IFERROR(INDEX('Cashier Roster'!$D$5:$D$64,MATCH(B726,'Cashier Roster'!$B$5:$B$64,0)),""))</f>
        <v/>
      </c>
      <c r="E726" s="13"/>
      <c r="F726" s="14"/>
      <c r="G726" s="8" t="str">
        <f>IF(OR(B726="",E726=""),"",IF(E726="No","Missed",IF(F726="","",IF(F726&lt;=Settings!$B$7,"On time","Late"))))</f>
        <v/>
      </c>
      <c r="H726" s="15"/>
      <c r="I726" s="16"/>
      <c r="J726" s="16"/>
      <c r="K726" s="17" t="str">
        <f>IF(J726="","",ROUND(J726*Settings!$B$8,2))</f>
        <v/>
      </c>
      <c r="L726" s="16"/>
      <c r="M726" s="8" t="str">
        <f t="shared" si="11"/>
        <v/>
      </c>
      <c r="N726" s="9"/>
    </row>
    <row r="727" spans="1:14" ht="15.75">
      <c r="A727" s="11"/>
      <c r="B727" s="9"/>
      <c r="C727" s="12" t="str">
        <f>IF(B727="","",IFERROR(INDEX('Cashier Roster'!$C$5:$C$64,MATCH(B727,'Cashier Roster'!$B$5:$B$64,0)),"Not on roster"))</f>
        <v/>
      </c>
      <c r="D727" s="12" t="str">
        <f>IF(B727="","",IFERROR(INDEX('Cashier Roster'!$D$5:$D$64,MATCH(B727,'Cashier Roster'!$B$5:$B$64,0)),""))</f>
        <v/>
      </c>
      <c r="E727" s="13"/>
      <c r="F727" s="14"/>
      <c r="G727" s="8" t="str">
        <f>IF(OR(B727="",E727=""),"",IF(E727="No","Missed",IF(F727="","",IF(F727&lt;=Settings!$B$7,"On time","Late"))))</f>
        <v/>
      </c>
      <c r="H727" s="15"/>
      <c r="I727" s="16"/>
      <c r="J727" s="16"/>
      <c r="K727" s="17" t="str">
        <f>IF(J727="","",ROUND(J727*Settings!$B$8,2))</f>
        <v/>
      </c>
      <c r="L727" s="16"/>
      <c r="M727" s="8" t="str">
        <f t="shared" si="11"/>
        <v/>
      </c>
      <c r="N727" s="9"/>
    </row>
    <row r="728" spans="1:14" ht="15.75">
      <c r="A728" s="11"/>
      <c r="B728" s="9"/>
      <c r="C728" s="12" t="str">
        <f>IF(B728="","",IFERROR(INDEX('Cashier Roster'!$C$5:$C$64,MATCH(B728,'Cashier Roster'!$B$5:$B$64,0)),"Not on roster"))</f>
        <v/>
      </c>
      <c r="D728" s="12" t="str">
        <f>IF(B728="","",IFERROR(INDEX('Cashier Roster'!$D$5:$D$64,MATCH(B728,'Cashier Roster'!$B$5:$B$64,0)),""))</f>
        <v/>
      </c>
      <c r="E728" s="13"/>
      <c r="F728" s="14"/>
      <c r="G728" s="8" t="str">
        <f>IF(OR(B728="",E728=""),"",IF(E728="No","Missed",IF(F728="","",IF(F728&lt;=Settings!$B$7,"On time","Late"))))</f>
        <v/>
      </c>
      <c r="H728" s="15"/>
      <c r="I728" s="16"/>
      <c r="J728" s="16"/>
      <c r="K728" s="17" t="str">
        <f>IF(J728="","",ROUND(J728*Settings!$B$8,2))</f>
        <v/>
      </c>
      <c r="L728" s="16"/>
      <c r="M728" s="8" t="str">
        <f t="shared" si="11"/>
        <v/>
      </c>
      <c r="N728" s="9"/>
    </row>
    <row r="729" spans="1:14" ht="15.75">
      <c r="A729" s="11"/>
      <c r="B729" s="9"/>
      <c r="C729" s="12" t="str">
        <f>IF(B729="","",IFERROR(INDEX('Cashier Roster'!$C$5:$C$64,MATCH(B729,'Cashier Roster'!$B$5:$B$64,0)),"Not on roster"))</f>
        <v/>
      </c>
      <c r="D729" s="12" t="str">
        <f>IF(B729="","",IFERROR(INDEX('Cashier Roster'!$D$5:$D$64,MATCH(B729,'Cashier Roster'!$B$5:$B$64,0)),""))</f>
        <v/>
      </c>
      <c r="E729" s="13"/>
      <c r="F729" s="14"/>
      <c r="G729" s="8" t="str">
        <f>IF(OR(B729="",E729=""),"",IF(E729="No","Missed",IF(F729="","",IF(F729&lt;=Settings!$B$7,"On time","Late"))))</f>
        <v/>
      </c>
      <c r="H729" s="15"/>
      <c r="I729" s="16"/>
      <c r="J729" s="16"/>
      <c r="K729" s="17" t="str">
        <f>IF(J729="","",ROUND(J729*Settings!$B$8,2))</f>
        <v/>
      </c>
      <c r="L729" s="16"/>
      <c r="M729" s="8" t="str">
        <f t="shared" si="11"/>
        <v/>
      </c>
      <c r="N729" s="9"/>
    </row>
    <row r="730" spans="1:14" ht="15.75">
      <c r="A730" s="11"/>
      <c r="B730" s="9"/>
      <c r="C730" s="12" t="str">
        <f>IF(B730="","",IFERROR(INDEX('Cashier Roster'!$C$5:$C$64,MATCH(B730,'Cashier Roster'!$B$5:$B$64,0)),"Not on roster"))</f>
        <v/>
      </c>
      <c r="D730" s="12" t="str">
        <f>IF(B730="","",IFERROR(INDEX('Cashier Roster'!$D$5:$D$64,MATCH(B730,'Cashier Roster'!$B$5:$B$64,0)),""))</f>
        <v/>
      </c>
      <c r="E730" s="13"/>
      <c r="F730" s="14"/>
      <c r="G730" s="8" t="str">
        <f>IF(OR(B730="",E730=""),"",IF(E730="No","Missed",IF(F730="","",IF(F730&lt;=Settings!$B$7,"On time","Late"))))</f>
        <v/>
      </c>
      <c r="H730" s="15"/>
      <c r="I730" s="16"/>
      <c r="J730" s="16"/>
      <c r="K730" s="17" t="str">
        <f>IF(J730="","",ROUND(J730*Settings!$B$8,2))</f>
        <v/>
      </c>
      <c r="L730" s="16"/>
      <c r="M730" s="8" t="str">
        <f t="shared" si="11"/>
        <v/>
      </c>
      <c r="N730" s="9"/>
    </row>
    <row r="731" spans="1:14" ht="15.75">
      <c r="A731" s="11"/>
      <c r="B731" s="9"/>
      <c r="C731" s="12" t="str">
        <f>IF(B731="","",IFERROR(INDEX('Cashier Roster'!$C$5:$C$64,MATCH(B731,'Cashier Roster'!$B$5:$B$64,0)),"Not on roster"))</f>
        <v/>
      </c>
      <c r="D731" s="12" t="str">
        <f>IF(B731="","",IFERROR(INDEX('Cashier Roster'!$D$5:$D$64,MATCH(B731,'Cashier Roster'!$B$5:$B$64,0)),""))</f>
        <v/>
      </c>
      <c r="E731" s="13"/>
      <c r="F731" s="14"/>
      <c r="G731" s="8" t="str">
        <f>IF(OR(B731="",E731=""),"",IF(E731="No","Missed",IF(F731="","",IF(F731&lt;=Settings!$B$7,"On time","Late"))))</f>
        <v/>
      </c>
      <c r="H731" s="15"/>
      <c r="I731" s="16"/>
      <c r="J731" s="16"/>
      <c r="K731" s="17" t="str">
        <f>IF(J731="","",ROUND(J731*Settings!$B$8,2))</f>
        <v/>
      </c>
      <c r="L731" s="16"/>
      <c r="M731" s="8" t="str">
        <f t="shared" si="11"/>
        <v/>
      </c>
      <c r="N731" s="9"/>
    </row>
    <row r="732" spans="1:14" ht="15.75">
      <c r="A732" s="11"/>
      <c r="B732" s="9"/>
      <c r="C732" s="12" t="str">
        <f>IF(B732="","",IFERROR(INDEX('Cashier Roster'!$C$5:$C$64,MATCH(B732,'Cashier Roster'!$B$5:$B$64,0)),"Not on roster"))</f>
        <v/>
      </c>
      <c r="D732" s="12" t="str">
        <f>IF(B732="","",IFERROR(INDEX('Cashier Roster'!$D$5:$D$64,MATCH(B732,'Cashier Roster'!$B$5:$B$64,0)),""))</f>
        <v/>
      </c>
      <c r="E732" s="13"/>
      <c r="F732" s="14"/>
      <c r="G732" s="8" t="str">
        <f>IF(OR(B732="",E732=""),"",IF(E732="No","Missed",IF(F732="","",IF(F732&lt;=Settings!$B$7,"On time","Late"))))</f>
        <v/>
      </c>
      <c r="H732" s="15"/>
      <c r="I732" s="16"/>
      <c r="J732" s="16"/>
      <c r="K732" s="17" t="str">
        <f>IF(J732="","",ROUND(J732*Settings!$B$8,2))</f>
        <v/>
      </c>
      <c r="L732" s="16"/>
      <c r="M732" s="8" t="str">
        <f t="shared" si="11"/>
        <v/>
      </c>
      <c r="N732" s="9"/>
    </row>
    <row r="733" spans="1:14" ht="15.75">
      <c r="A733" s="11"/>
      <c r="B733" s="9"/>
      <c r="C733" s="12" t="str">
        <f>IF(B733="","",IFERROR(INDEX('Cashier Roster'!$C$5:$C$64,MATCH(B733,'Cashier Roster'!$B$5:$B$64,0)),"Not on roster"))</f>
        <v/>
      </c>
      <c r="D733" s="12" t="str">
        <f>IF(B733="","",IFERROR(INDEX('Cashier Roster'!$D$5:$D$64,MATCH(B733,'Cashier Roster'!$B$5:$B$64,0)),""))</f>
        <v/>
      </c>
      <c r="E733" s="13"/>
      <c r="F733" s="14"/>
      <c r="G733" s="8" t="str">
        <f>IF(OR(B733="",E733=""),"",IF(E733="No","Missed",IF(F733="","",IF(F733&lt;=Settings!$B$7,"On time","Late"))))</f>
        <v/>
      </c>
      <c r="H733" s="15"/>
      <c r="I733" s="16"/>
      <c r="J733" s="16"/>
      <c r="K733" s="17" t="str">
        <f>IF(J733="","",ROUND(J733*Settings!$B$8,2))</f>
        <v/>
      </c>
      <c r="L733" s="16"/>
      <c r="M733" s="8" t="str">
        <f t="shared" si="11"/>
        <v/>
      </c>
      <c r="N733" s="9"/>
    </row>
    <row r="734" spans="1:14" ht="15.75">
      <c r="A734" s="11"/>
      <c r="B734" s="9"/>
      <c r="C734" s="12" t="str">
        <f>IF(B734="","",IFERROR(INDEX('Cashier Roster'!$C$5:$C$64,MATCH(B734,'Cashier Roster'!$B$5:$B$64,0)),"Not on roster"))</f>
        <v/>
      </c>
      <c r="D734" s="12" t="str">
        <f>IF(B734="","",IFERROR(INDEX('Cashier Roster'!$D$5:$D$64,MATCH(B734,'Cashier Roster'!$B$5:$B$64,0)),""))</f>
        <v/>
      </c>
      <c r="E734" s="13"/>
      <c r="F734" s="14"/>
      <c r="G734" s="8" t="str">
        <f>IF(OR(B734="",E734=""),"",IF(E734="No","Missed",IF(F734="","",IF(F734&lt;=Settings!$B$7,"On time","Late"))))</f>
        <v/>
      </c>
      <c r="H734" s="15"/>
      <c r="I734" s="16"/>
      <c r="J734" s="16"/>
      <c r="K734" s="17" t="str">
        <f>IF(J734="","",ROUND(J734*Settings!$B$8,2))</f>
        <v/>
      </c>
      <c r="L734" s="16"/>
      <c r="M734" s="8" t="str">
        <f t="shared" si="11"/>
        <v/>
      </c>
      <c r="N734" s="9"/>
    </row>
    <row r="735" spans="1:14" ht="15.75">
      <c r="A735" s="11"/>
      <c r="B735" s="9"/>
      <c r="C735" s="12" t="str">
        <f>IF(B735="","",IFERROR(INDEX('Cashier Roster'!$C$5:$C$64,MATCH(B735,'Cashier Roster'!$B$5:$B$64,0)),"Not on roster"))</f>
        <v/>
      </c>
      <c r="D735" s="12" t="str">
        <f>IF(B735="","",IFERROR(INDEX('Cashier Roster'!$D$5:$D$64,MATCH(B735,'Cashier Roster'!$B$5:$B$64,0)),""))</f>
        <v/>
      </c>
      <c r="E735" s="13"/>
      <c r="F735" s="14"/>
      <c r="G735" s="8" t="str">
        <f>IF(OR(B735="",E735=""),"",IF(E735="No","Missed",IF(F735="","",IF(F735&lt;=Settings!$B$7,"On time","Late"))))</f>
        <v/>
      </c>
      <c r="H735" s="15"/>
      <c r="I735" s="16"/>
      <c r="J735" s="16"/>
      <c r="K735" s="17" t="str">
        <f>IF(J735="","",ROUND(J735*Settings!$B$8,2))</f>
        <v/>
      </c>
      <c r="L735" s="16"/>
      <c r="M735" s="8" t="str">
        <f t="shared" si="11"/>
        <v/>
      </c>
      <c r="N735" s="9"/>
    </row>
    <row r="736" spans="1:14" ht="15.75">
      <c r="A736" s="11"/>
      <c r="B736" s="9"/>
      <c r="C736" s="12" t="str">
        <f>IF(B736="","",IFERROR(INDEX('Cashier Roster'!$C$5:$C$64,MATCH(B736,'Cashier Roster'!$B$5:$B$64,0)),"Not on roster"))</f>
        <v/>
      </c>
      <c r="D736" s="12" t="str">
        <f>IF(B736="","",IFERROR(INDEX('Cashier Roster'!$D$5:$D$64,MATCH(B736,'Cashier Roster'!$B$5:$B$64,0)),""))</f>
        <v/>
      </c>
      <c r="E736" s="13"/>
      <c r="F736" s="14"/>
      <c r="G736" s="8" t="str">
        <f>IF(OR(B736="",E736=""),"",IF(E736="No","Missed",IF(F736="","",IF(F736&lt;=Settings!$B$7,"On time","Late"))))</f>
        <v/>
      </c>
      <c r="H736" s="15"/>
      <c r="I736" s="16"/>
      <c r="J736" s="16"/>
      <c r="K736" s="17" t="str">
        <f>IF(J736="","",ROUND(J736*Settings!$B$8,2))</f>
        <v/>
      </c>
      <c r="L736" s="16"/>
      <c r="M736" s="8" t="str">
        <f t="shared" si="11"/>
        <v/>
      </c>
      <c r="N736" s="9"/>
    </row>
    <row r="737" spans="1:14" ht="15.75">
      <c r="A737" s="11"/>
      <c r="B737" s="9"/>
      <c r="C737" s="12" t="str">
        <f>IF(B737="","",IFERROR(INDEX('Cashier Roster'!$C$5:$C$64,MATCH(B737,'Cashier Roster'!$B$5:$B$64,0)),"Not on roster"))</f>
        <v/>
      </c>
      <c r="D737" s="12" t="str">
        <f>IF(B737="","",IFERROR(INDEX('Cashier Roster'!$D$5:$D$64,MATCH(B737,'Cashier Roster'!$B$5:$B$64,0)),""))</f>
        <v/>
      </c>
      <c r="E737" s="13"/>
      <c r="F737" s="14"/>
      <c r="G737" s="8" t="str">
        <f>IF(OR(B737="",E737=""),"",IF(E737="No","Missed",IF(F737="","",IF(F737&lt;=Settings!$B$7,"On time","Late"))))</f>
        <v/>
      </c>
      <c r="H737" s="15"/>
      <c r="I737" s="16"/>
      <c r="J737" s="16"/>
      <c r="K737" s="17" t="str">
        <f>IF(J737="","",ROUND(J737*Settings!$B$8,2))</f>
        <v/>
      </c>
      <c r="L737" s="16"/>
      <c r="M737" s="8" t="str">
        <f t="shared" si="11"/>
        <v/>
      </c>
      <c r="N737" s="9"/>
    </row>
    <row r="738" spans="1:14" ht="15.75">
      <c r="A738" s="11"/>
      <c r="B738" s="9"/>
      <c r="C738" s="12" t="str">
        <f>IF(B738="","",IFERROR(INDEX('Cashier Roster'!$C$5:$C$64,MATCH(B738,'Cashier Roster'!$B$5:$B$64,0)),"Not on roster"))</f>
        <v/>
      </c>
      <c r="D738" s="12" t="str">
        <f>IF(B738="","",IFERROR(INDEX('Cashier Roster'!$D$5:$D$64,MATCH(B738,'Cashier Roster'!$B$5:$B$64,0)),""))</f>
        <v/>
      </c>
      <c r="E738" s="13"/>
      <c r="F738" s="14"/>
      <c r="G738" s="8" t="str">
        <f>IF(OR(B738="",E738=""),"",IF(E738="No","Missed",IF(F738="","",IF(F738&lt;=Settings!$B$7,"On time","Late"))))</f>
        <v/>
      </c>
      <c r="H738" s="15"/>
      <c r="I738" s="16"/>
      <c r="J738" s="16"/>
      <c r="K738" s="17" t="str">
        <f>IF(J738="","",ROUND(J738*Settings!$B$8,2))</f>
        <v/>
      </c>
      <c r="L738" s="16"/>
      <c r="M738" s="8" t="str">
        <f t="shared" si="11"/>
        <v/>
      </c>
      <c r="N738" s="9"/>
    </row>
    <row r="739" spans="1:14" ht="15.75">
      <c r="A739" s="11"/>
      <c r="B739" s="9"/>
      <c r="C739" s="12" t="str">
        <f>IF(B739="","",IFERROR(INDEX('Cashier Roster'!$C$5:$C$64,MATCH(B739,'Cashier Roster'!$B$5:$B$64,0)),"Not on roster"))</f>
        <v/>
      </c>
      <c r="D739" s="12" t="str">
        <f>IF(B739="","",IFERROR(INDEX('Cashier Roster'!$D$5:$D$64,MATCH(B739,'Cashier Roster'!$B$5:$B$64,0)),""))</f>
        <v/>
      </c>
      <c r="E739" s="13"/>
      <c r="F739" s="14"/>
      <c r="G739" s="8" t="str">
        <f>IF(OR(B739="",E739=""),"",IF(E739="No","Missed",IF(F739="","",IF(F739&lt;=Settings!$B$7,"On time","Late"))))</f>
        <v/>
      </c>
      <c r="H739" s="15"/>
      <c r="I739" s="16"/>
      <c r="J739" s="16"/>
      <c r="K739" s="17" t="str">
        <f>IF(J739="","",ROUND(J739*Settings!$B$8,2))</f>
        <v/>
      </c>
      <c r="L739" s="16"/>
      <c r="M739" s="8" t="str">
        <f t="shared" si="11"/>
        <v/>
      </c>
      <c r="N739" s="9"/>
    </row>
    <row r="740" spans="1:14" ht="15.75">
      <c r="A740" s="11"/>
      <c r="B740" s="9"/>
      <c r="C740" s="12" t="str">
        <f>IF(B740="","",IFERROR(INDEX('Cashier Roster'!$C$5:$C$64,MATCH(B740,'Cashier Roster'!$B$5:$B$64,0)),"Not on roster"))</f>
        <v/>
      </c>
      <c r="D740" s="12" t="str">
        <f>IF(B740="","",IFERROR(INDEX('Cashier Roster'!$D$5:$D$64,MATCH(B740,'Cashier Roster'!$B$5:$B$64,0)),""))</f>
        <v/>
      </c>
      <c r="E740" s="13"/>
      <c r="F740" s="14"/>
      <c r="G740" s="8" t="str">
        <f>IF(OR(B740="",E740=""),"",IF(E740="No","Missed",IF(F740="","",IF(F740&lt;=Settings!$B$7,"On time","Late"))))</f>
        <v/>
      </c>
      <c r="H740" s="15"/>
      <c r="I740" s="16"/>
      <c r="J740" s="16"/>
      <c r="K740" s="17" t="str">
        <f>IF(J740="","",ROUND(J740*Settings!$B$8,2))</f>
        <v/>
      </c>
      <c r="L740" s="16"/>
      <c r="M740" s="8" t="str">
        <f t="shared" si="11"/>
        <v/>
      </c>
      <c r="N740" s="9"/>
    </row>
    <row r="741" spans="1:14" ht="15.75">
      <c r="A741" s="11"/>
      <c r="B741" s="9"/>
      <c r="C741" s="12" t="str">
        <f>IF(B741="","",IFERROR(INDEX('Cashier Roster'!$C$5:$C$64,MATCH(B741,'Cashier Roster'!$B$5:$B$64,0)),"Not on roster"))</f>
        <v/>
      </c>
      <c r="D741" s="12" t="str">
        <f>IF(B741="","",IFERROR(INDEX('Cashier Roster'!$D$5:$D$64,MATCH(B741,'Cashier Roster'!$B$5:$B$64,0)),""))</f>
        <v/>
      </c>
      <c r="E741" s="13"/>
      <c r="F741" s="14"/>
      <c r="G741" s="8" t="str">
        <f>IF(OR(B741="",E741=""),"",IF(E741="No","Missed",IF(F741="","",IF(F741&lt;=Settings!$B$7,"On time","Late"))))</f>
        <v/>
      </c>
      <c r="H741" s="15"/>
      <c r="I741" s="16"/>
      <c r="J741" s="16"/>
      <c r="K741" s="17" t="str">
        <f>IF(J741="","",ROUND(J741*Settings!$B$8,2))</f>
        <v/>
      </c>
      <c r="L741" s="16"/>
      <c r="M741" s="8" t="str">
        <f t="shared" si="11"/>
        <v/>
      </c>
      <c r="N741" s="9"/>
    </row>
    <row r="742" spans="1:14" ht="15.75">
      <c r="A742" s="11"/>
      <c r="B742" s="9"/>
      <c r="C742" s="12" t="str">
        <f>IF(B742="","",IFERROR(INDEX('Cashier Roster'!$C$5:$C$64,MATCH(B742,'Cashier Roster'!$B$5:$B$64,0)),"Not on roster"))</f>
        <v/>
      </c>
      <c r="D742" s="12" t="str">
        <f>IF(B742="","",IFERROR(INDEX('Cashier Roster'!$D$5:$D$64,MATCH(B742,'Cashier Roster'!$B$5:$B$64,0)),""))</f>
        <v/>
      </c>
      <c r="E742" s="13"/>
      <c r="F742" s="14"/>
      <c r="G742" s="8" t="str">
        <f>IF(OR(B742="",E742=""),"",IF(E742="No","Missed",IF(F742="","",IF(F742&lt;=Settings!$B$7,"On time","Late"))))</f>
        <v/>
      </c>
      <c r="H742" s="15"/>
      <c r="I742" s="16"/>
      <c r="J742" s="16"/>
      <c r="K742" s="17" t="str">
        <f>IF(J742="","",ROUND(J742*Settings!$B$8,2))</f>
        <v/>
      </c>
      <c r="L742" s="16"/>
      <c r="M742" s="8" t="str">
        <f t="shared" si="11"/>
        <v/>
      </c>
      <c r="N742" s="9"/>
    </row>
    <row r="743" spans="1:14" ht="15.75">
      <c r="A743" s="11"/>
      <c r="B743" s="9"/>
      <c r="C743" s="12" t="str">
        <f>IF(B743="","",IFERROR(INDEX('Cashier Roster'!$C$5:$C$64,MATCH(B743,'Cashier Roster'!$B$5:$B$64,0)),"Not on roster"))</f>
        <v/>
      </c>
      <c r="D743" s="12" t="str">
        <f>IF(B743="","",IFERROR(INDEX('Cashier Roster'!$D$5:$D$64,MATCH(B743,'Cashier Roster'!$B$5:$B$64,0)),""))</f>
        <v/>
      </c>
      <c r="E743" s="13"/>
      <c r="F743" s="14"/>
      <c r="G743" s="8" t="str">
        <f>IF(OR(B743="",E743=""),"",IF(E743="No","Missed",IF(F743="","",IF(F743&lt;=Settings!$B$7,"On time","Late"))))</f>
        <v/>
      </c>
      <c r="H743" s="15"/>
      <c r="I743" s="16"/>
      <c r="J743" s="16"/>
      <c r="K743" s="17" t="str">
        <f>IF(J743="","",ROUND(J743*Settings!$B$8,2))</f>
        <v/>
      </c>
      <c r="L743" s="16"/>
      <c r="M743" s="8" t="str">
        <f t="shared" si="11"/>
        <v/>
      </c>
      <c r="N743" s="9"/>
    </row>
    <row r="744" spans="1:14" ht="15.75">
      <c r="A744" s="11"/>
      <c r="B744" s="9"/>
      <c r="C744" s="12" t="str">
        <f>IF(B744="","",IFERROR(INDEX('Cashier Roster'!$C$5:$C$64,MATCH(B744,'Cashier Roster'!$B$5:$B$64,0)),"Not on roster"))</f>
        <v/>
      </c>
      <c r="D744" s="12" t="str">
        <f>IF(B744="","",IFERROR(INDEX('Cashier Roster'!$D$5:$D$64,MATCH(B744,'Cashier Roster'!$B$5:$B$64,0)),""))</f>
        <v/>
      </c>
      <c r="E744" s="13"/>
      <c r="F744" s="14"/>
      <c r="G744" s="8" t="str">
        <f>IF(OR(B744="",E744=""),"",IF(E744="No","Missed",IF(F744="","",IF(F744&lt;=Settings!$B$7,"On time","Late"))))</f>
        <v/>
      </c>
      <c r="H744" s="15"/>
      <c r="I744" s="16"/>
      <c r="J744" s="16"/>
      <c r="K744" s="17" t="str">
        <f>IF(J744="","",ROUND(J744*Settings!$B$8,2))</f>
        <v/>
      </c>
      <c r="L744" s="16"/>
      <c r="M744" s="8" t="str">
        <f t="shared" si="11"/>
        <v/>
      </c>
      <c r="N744" s="9"/>
    </row>
    <row r="745" spans="1:14" ht="15.75">
      <c r="A745" s="11"/>
      <c r="B745" s="9"/>
      <c r="C745" s="12" t="str">
        <f>IF(B745="","",IFERROR(INDEX('Cashier Roster'!$C$5:$C$64,MATCH(B745,'Cashier Roster'!$B$5:$B$64,0)),"Not on roster"))</f>
        <v/>
      </c>
      <c r="D745" s="12" t="str">
        <f>IF(B745="","",IFERROR(INDEX('Cashier Roster'!$D$5:$D$64,MATCH(B745,'Cashier Roster'!$B$5:$B$64,0)),""))</f>
        <v/>
      </c>
      <c r="E745" s="13"/>
      <c r="F745" s="14"/>
      <c r="G745" s="8" t="str">
        <f>IF(OR(B745="",E745=""),"",IF(E745="No","Missed",IF(F745="","",IF(F745&lt;=Settings!$B$7,"On time","Late"))))</f>
        <v/>
      </c>
      <c r="H745" s="15"/>
      <c r="I745" s="16"/>
      <c r="J745" s="16"/>
      <c r="K745" s="17" t="str">
        <f>IF(J745="","",ROUND(J745*Settings!$B$8,2))</f>
        <v/>
      </c>
      <c r="L745" s="16"/>
      <c r="M745" s="8" t="str">
        <f t="shared" si="11"/>
        <v/>
      </c>
      <c r="N745" s="9"/>
    </row>
    <row r="746" spans="1:14" ht="15.75">
      <c r="A746" s="11"/>
      <c r="B746" s="9"/>
      <c r="C746" s="12" t="str">
        <f>IF(B746="","",IFERROR(INDEX('Cashier Roster'!$C$5:$C$64,MATCH(B746,'Cashier Roster'!$B$5:$B$64,0)),"Not on roster"))</f>
        <v/>
      </c>
      <c r="D746" s="12" t="str">
        <f>IF(B746="","",IFERROR(INDEX('Cashier Roster'!$D$5:$D$64,MATCH(B746,'Cashier Roster'!$B$5:$B$64,0)),""))</f>
        <v/>
      </c>
      <c r="E746" s="13"/>
      <c r="F746" s="14"/>
      <c r="G746" s="8" t="str">
        <f>IF(OR(B746="",E746=""),"",IF(E746="No","Missed",IF(F746="","",IF(F746&lt;=Settings!$B$7,"On time","Late"))))</f>
        <v/>
      </c>
      <c r="H746" s="15"/>
      <c r="I746" s="16"/>
      <c r="J746" s="16"/>
      <c r="K746" s="17" t="str">
        <f>IF(J746="","",ROUND(J746*Settings!$B$8,2))</f>
        <v/>
      </c>
      <c r="L746" s="16"/>
      <c r="M746" s="8" t="str">
        <f t="shared" si="11"/>
        <v/>
      </c>
      <c r="N746" s="9"/>
    </row>
    <row r="747" spans="1:14" ht="15.75">
      <c r="A747" s="11"/>
      <c r="B747" s="9"/>
      <c r="C747" s="12" t="str">
        <f>IF(B747="","",IFERROR(INDEX('Cashier Roster'!$C$5:$C$64,MATCH(B747,'Cashier Roster'!$B$5:$B$64,0)),"Not on roster"))</f>
        <v/>
      </c>
      <c r="D747" s="12" t="str">
        <f>IF(B747="","",IFERROR(INDEX('Cashier Roster'!$D$5:$D$64,MATCH(B747,'Cashier Roster'!$B$5:$B$64,0)),""))</f>
        <v/>
      </c>
      <c r="E747" s="13"/>
      <c r="F747" s="14"/>
      <c r="G747" s="8" t="str">
        <f>IF(OR(B747="",E747=""),"",IF(E747="No","Missed",IF(F747="","",IF(F747&lt;=Settings!$B$7,"On time","Late"))))</f>
        <v/>
      </c>
      <c r="H747" s="15"/>
      <c r="I747" s="16"/>
      <c r="J747" s="16"/>
      <c r="K747" s="17" t="str">
        <f>IF(J747="","",ROUND(J747*Settings!$B$8,2))</f>
        <v/>
      </c>
      <c r="L747" s="16"/>
      <c r="M747" s="8" t="str">
        <f t="shared" si="11"/>
        <v/>
      </c>
      <c r="N747" s="9"/>
    </row>
    <row r="748" spans="1:14" ht="15.75">
      <c r="A748" s="11"/>
      <c r="B748" s="9"/>
      <c r="C748" s="12" t="str">
        <f>IF(B748="","",IFERROR(INDEX('Cashier Roster'!$C$5:$C$64,MATCH(B748,'Cashier Roster'!$B$5:$B$64,0)),"Not on roster"))</f>
        <v/>
      </c>
      <c r="D748" s="12" t="str">
        <f>IF(B748="","",IFERROR(INDEX('Cashier Roster'!$D$5:$D$64,MATCH(B748,'Cashier Roster'!$B$5:$B$64,0)),""))</f>
        <v/>
      </c>
      <c r="E748" s="13"/>
      <c r="F748" s="14"/>
      <c r="G748" s="8" t="str">
        <f>IF(OR(B748="",E748=""),"",IF(E748="No","Missed",IF(F748="","",IF(F748&lt;=Settings!$B$7,"On time","Late"))))</f>
        <v/>
      </c>
      <c r="H748" s="15"/>
      <c r="I748" s="16"/>
      <c r="J748" s="16"/>
      <c r="K748" s="17" t="str">
        <f>IF(J748="","",ROUND(J748*Settings!$B$8,2))</f>
        <v/>
      </c>
      <c r="L748" s="16"/>
      <c r="M748" s="8" t="str">
        <f t="shared" si="11"/>
        <v/>
      </c>
      <c r="N748" s="9"/>
    </row>
    <row r="749" spans="1:14" ht="15.75">
      <c r="A749" s="11"/>
      <c r="B749" s="9"/>
      <c r="C749" s="12" t="str">
        <f>IF(B749="","",IFERROR(INDEX('Cashier Roster'!$C$5:$C$64,MATCH(B749,'Cashier Roster'!$B$5:$B$64,0)),"Not on roster"))</f>
        <v/>
      </c>
      <c r="D749" s="12" t="str">
        <f>IF(B749="","",IFERROR(INDEX('Cashier Roster'!$D$5:$D$64,MATCH(B749,'Cashier Roster'!$B$5:$B$64,0)),""))</f>
        <v/>
      </c>
      <c r="E749" s="13"/>
      <c r="F749" s="14"/>
      <c r="G749" s="8" t="str">
        <f>IF(OR(B749="",E749=""),"",IF(E749="No","Missed",IF(F749="","",IF(F749&lt;=Settings!$B$7,"On time","Late"))))</f>
        <v/>
      </c>
      <c r="H749" s="15"/>
      <c r="I749" s="16"/>
      <c r="J749" s="16"/>
      <c r="K749" s="17" t="str">
        <f>IF(J749="","",ROUND(J749*Settings!$B$8,2))</f>
        <v/>
      </c>
      <c r="L749" s="16"/>
      <c r="M749" s="8" t="str">
        <f t="shared" si="11"/>
        <v/>
      </c>
      <c r="N749" s="9"/>
    </row>
    <row r="750" spans="1:14" ht="15.75">
      <c r="A750" s="11"/>
      <c r="B750" s="9"/>
      <c r="C750" s="12" t="str">
        <f>IF(B750="","",IFERROR(INDEX('Cashier Roster'!$C$5:$C$64,MATCH(B750,'Cashier Roster'!$B$5:$B$64,0)),"Not on roster"))</f>
        <v/>
      </c>
      <c r="D750" s="12" t="str">
        <f>IF(B750="","",IFERROR(INDEX('Cashier Roster'!$D$5:$D$64,MATCH(B750,'Cashier Roster'!$B$5:$B$64,0)),""))</f>
        <v/>
      </c>
      <c r="E750" s="13"/>
      <c r="F750" s="14"/>
      <c r="G750" s="8" t="str">
        <f>IF(OR(B750="",E750=""),"",IF(E750="No","Missed",IF(F750="","",IF(F750&lt;=Settings!$B$7,"On time","Late"))))</f>
        <v/>
      </c>
      <c r="H750" s="15"/>
      <c r="I750" s="16"/>
      <c r="J750" s="16"/>
      <c r="K750" s="17" t="str">
        <f>IF(J750="","",ROUND(J750*Settings!$B$8,2))</f>
        <v/>
      </c>
      <c r="L750" s="16"/>
      <c r="M750" s="8" t="str">
        <f t="shared" si="11"/>
        <v/>
      </c>
      <c r="N750" s="9"/>
    </row>
    <row r="751" spans="1:14" ht="15.75">
      <c r="A751" s="11"/>
      <c r="B751" s="9"/>
      <c r="C751" s="12" t="str">
        <f>IF(B751="","",IFERROR(INDEX('Cashier Roster'!$C$5:$C$64,MATCH(B751,'Cashier Roster'!$B$5:$B$64,0)),"Not on roster"))</f>
        <v/>
      </c>
      <c r="D751" s="12" t="str">
        <f>IF(B751="","",IFERROR(INDEX('Cashier Roster'!$D$5:$D$64,MATCH(B751,'Cashier Roster'!$B$5:$B$64,0)),""))</f>
        <v/>
      </c>
      <c r="E751" s="13"/>
      <c r="F751" s="14"/>
      <c r="G751" s="8" t="str">
        <f>IF(OR(B751="",E751=""),"",IF(E751="No","Missed",IF(F751="","",IF(F751&lt;=Settings!$B$7,"On time","Late"))))</f>
        <v/>
      </c>
      <c r="H751" s="15"/>
      <c r="I751" s="16"/>
      <c r="J751" s="16"/>
      <c r="K751" s="17" t="str">
        <f>IF(J751="","",ROUND(J751*Settings!$B$8,2))</f>
        <v/>
      </c>
      <c r="L751" s="16"/>
      <c r="M751" s="8" t="str">
        <f t="shared" si="11"/>
        <v/>
      </c>
      <c r="N751" s="9"/>
    </row>
    <row r="752" spans="1:14" ht="15.75">
      <c r="A752" s="11"/>
      <c r="B752" s="9"/>
      <c r="C752" s="12" t="str">
        <f>IF(B752="","",IFERROR(INDEX('Cashier Roster'!$C$5:$C$64,MATCH(B752,'Cashier Roster'!$B$5:$B$64,0)),"Not on roster"))</f>
        <v/>
      </c>
      <c r="D752" s="12" t="str">
        <f>IF(B752="","",IFERROR(INDEX('Cashier Roster'!$D$5:$D$64,MATCH(B752,'Cashier Roster'!$B$5:$B$64,0)),""))</f>
        <v/>
      </c>
      <c r="E752" s="13"/>
      <c r="F752" s="14"/>
      <c r="G752" s="8" t="str">
        <f>IF(OR(B752="",E752=""),"",IF(E752="No","Missed",IF(F752="","",IF(F752&lt;=Settings!$B$7,"On time","Late"))))</f>
        <v/>
      </c>
      <c r="H752" s="15"/>
      <c r="I752" s="16"/>
      <c r="J752" s="16"/>
      <c r="K752" s="17" t="str">
        <f>IF(J752="","",ROUND(J752*Settings!$B$8,2))</f>
        <v/>
      </c>
      <c r="L752" s="16"/>
      <c r="M752" s="8" t="str">
        <f t="shared" si="11"/>
        <v/>
      </c>
      <c r="N752" s="9"/>
    </row>
    <row r="753" spans="1:14" ht="15.75">
      <c r="A753" s="11"/>
      <c r="B753" s="9"/>
      <c r="C753" s="12" t="str">
        <f>IF(B753="","",IFERROR(INDEX('Cashier Roster'!$C$5:$C$64,MATCH(B753,'Cashier Roster'!$B$5:$B$64,0)),"Not on roster"))</f>
        <v/>
      </c>
      <c r="D753" s="12" t="str">
        <f>IF(B753="","",IFERROR(INDEX('Cashier Roster'!$D$5:$D$64,MATCH(B753,'Cashier Roster'!$B$5:$B$64,0)),""))</f>
        <v/>
      </c>
      <c r="E753" s="13"/>
      <c r="F753" s="14"/>
      <c r="G753" s="8" t="str">
        <f>IF(OR(B753="",E753=""),"",IF(E753="No","Missed",IF(F753="","",IF(F753&lt;=Settings!$B$7,"On time","Late"))))</f>
        <v/>
      </c>
      <c r="H753" s="15"/>
      <c r="I753" s="16"/>
      <c r="J753" s="16"/>
      <c r="K753" s="17" t="str">
        <f>IF(J753="","",ROUND(J753*Settings!$B$8,2))</f>
        <v/>
      </c>
      <c r="L753" s="16"/>
      <c r="M753" s="8" t="str">
        <f t="shared" si="11"/>
        <v/>
      </c>
      <c r="N753" s="9"/>
    </row>
    <row r="754" spans="1:14" ht="15.75">
      <c r="A754" s="11"/>
      <c r="B754" s="9"/>
      <c r="C754" s="12" t="str">
        <f>IF(B754="","",IFERROR(INDEX('Cashier Roster'!$C$5:$C$64,MATCH(B754,'Cashier Roster'!$B$5:$B$64,0)),"Not on roster"))</f>
        <v/>
      </c>
      <c r="D754" s="12" t="str">
        <f>IF(B754="","",IFERROR(INDEX('Cashier Roster'!$D$5:$D$64,MATCH(B754,'Cashier Roster'!$B$5:$B$64,0)),""))</f>
        <v/>
      </c>
      <c r="E754" s="13"/>
      <c r="F754" s="14"/>
      <c r="G754" s="8" t="str">
        <f>IF(OR(B754="",E754=""),"",IF(E754="No","Missed",IF(F754="","",IF(F754&lt;=Settings!$B$7,"On time","Late"))))</f>
        <v/>
      </c>
      <c r="H754" s="15"/>
      <c r="I754" s="16"/>
      <c r="J754" s="16"/>
      <c r="K754" s="17" t="str">
        <f>IF(J754="","",ROUND(J754*Settings!$B$8,2))</f>
        <v/>
      </c>
      <c r="L754" s="16"/>
      <c r="M754" s="8" t="str">
        <f t="shared" si="11"/>
        <v/>
      </c>
      <c r="N754" s="9"/>
    </row>
    <row r="755" spans="1:14" ht="15.75">
      <c r="A755" s="11"/>
      <c r="B755" s="9"/>
      <c r="C755" s="12" t="str">
        <f>IF(B755="","",IFERROR(INDEX('Cashier Roster'!$C$5:$C$64,MATCH(B755,'Cashier Roster'!$B$5:$B$64,0)),"Not on roster"))</f>
        <v/>
      </c>
      <c r="D755" s="12" t="str">
        <f>IF(B755="","",IFERROR(INDEX('Cashier Roster'!$D$5:$D$64,MATCH(B755,'Cashier Roster'!$B$5:$B$64,0)),""))</f>
        <v/>
      </c>
      <c r="E755" s="13"/>
      <c r="F755" s="14"/>
      <c r="G755" s="8" t="str">
        <f>IF(OR(B755="",E755=""),"",IF(E755="No","Missed",IF(F755="","",IF(F755&lt;=Settings!$B$7,"On time","Late"))))</f>
        <v/>
      </c>
      <c r="H755" s="15"/>
      <c r="I755" s="16"/>
      <c r="J755" s="16"/>
      <c r="K755" s="17" t="str">
        <f>IF(J755="","",ROUND(J755*Settings!$B$8,2))</f>
        <v/>
      </c>
      <c r="L755" s="16"/>
      <c r="M755" s="8" t="str">
        <f t="shared" si="11"/>
        <v/>
      </c>
      <c r="N755" s="9"/>
    </row>
    <row r="756" spans="1:14" ht="15.75">
      <c r="A756" s="11"/>
      <c r="B756" s="9"/>
      <c r="C756" s="12" t="str">
        <f>IF(B756="","",IFERROR(INDEX('Cashier Roster'!$C$5:$C$64,MATCH(B756,'Cashier Roster'!$B$5:$B$64,0)),"Not on roster"))</f>
        <v/>
      </c>
      <c r="D756" s="12" t="str">
        <f>IF(B756="","",IFERROR(INDEX('Cashier Roster'!$D$5:$D$64,MATCH(B756,'Cashier Roster'!$B$5:$B$64,0)),""))</f>
        <v/>
      </c>
      <c r="E756" s="13"/>
      <c r="F756" s="14"/>
      <c r="G756" s="8" t="str">
        <f>IF(OR(B756="",E756=""),"",IF(E756="No","Missed",IF(F756="","",IF(F756&lt;=Settings!$B$7,"On time","Late"))))</f>
        <v/>
      </c>
      <c r="H756" s="15"/>
      <c r="I756" s="16"/>
      <c r="J756" s="16"/>
      <c r="K756" s="17" t="str">
        <f>IF(J756="","",ROUND(J756*Settings!$B$8,2))</f>
        <v/>
      </c>
      <c r="L756" s="16"/>
      <c r="M756" s="8" t="str">
        <f t="shared" si="11"/>
        <v/>
      </c>
      <c r="N756" s="9"/>
    </row>
    <row r="757" spans="1:14" ht="15.75">
      <c r="A757" s="11"/>
      <c r="B757" s="9"/>
      <c r="C757" s="12" t="str">
        <f>IF(B757="","",IFERROR(INDEX('Cashier Roster'!$C$5:$C$64,MATCH(B757,'Cashier Roster'!$B$5:$B$64,0)),"Not on roster"))</f>
        <v/>
      </c>
      <c r="D757" s="12" t="str">
        <f>IF(B757="","",IFERROR(INDEX('Cashier Roster'!$D$5:$D$64,MATCH(B757,'Cashier Roster'!$B$5:$B$64,0)),""))</f>
        <v/>
      </c>
      <c r="E757" s="13"/>
      <c r="F757" s="14"/>
      <c r="G757" s="8" t="str">
        <f>IF(OR(B757="",E757=""),"",IF(E757="No","Missed",IF(F757="","",IF(F757&lt;=Settings!$B$7,"On time","Late"))))</f>
        <v/>
      </c>
      <c r="H757" s="15"/>
      <c r="I757" s="16"/>
      <c r="J757" s="16"/>
      <c r="K757" s="17" t="str">
        <f>IF(J757="","",ROUND(J757*Settings!$B$8,2))</f>
        <v/>
      </c>
      <c r="L757" s="16"/>
      <c r="M757" s="8" t="str">
        <f t="shared" si="11"/>
        <v/>
      </c>
      <c r="N757" s="9"/>
    </row>
    <row r="758" spans="1:14" ht="15.75">
      <c r="A758" s="11"/>
      <c r="B758" s="9"/>
      <c r="C758" s="12" t="str">
        <f>IF(B758="","",IFERROR(INDEX('Cashier Roster'!$C$5:$C$64,MATCH(B758,'Cashier Roster'!$B$5:$B$64,0)),"Not on roster"))</f>
        <v/>
      </c>
      <c r="D758" s="12" t="str">
        <f>IF(B758="","",IFERROR(INDEX('Cashier Roster'!$D$5:$D$64,MATCH(B758,'Cashier Roster'!$B$5:$B$64,0)),""))</f>
        <v/>
      </c>
      <c r="E758" s="13"/>
      <c r="F758" s="14"/>
      <c r="G758" s="8" t="str">
        <f>IF(OR(B758="",E758=""),"",IF(E758="No","Missed",IF(F758="","",IF(F758&lt;=Settings!$B$7,"On time","Late"))))</f>
        <v/>
      </c>
      <c r="H758" s="15"/>
      <c r="I758" s="16"/>
      <c r="J758" s="16"/>
      <c r="K758" s="17" t="str">
        <f>IF(J758="","",ROUND(J758*Settings!$B$8,2))</f>
        <v/>
      </c>
      <c r="L758" s="16"/>
      <c r="M758" s="8" t="str">
        <f t="shared" si="11"/>
        <v/>
      </c>
      <c r="N758" s="9"/>
    </row>
    <row r="759" spans="1:14" ht="15.75">
      <c r="A759" s="11"/>
      <c r="B759" s="9"/>
      <c r="C759" s="12" t="str">
        <f>IF(B759="","",IFERROR(INDEX('Cashier Roster'!$C$5:$C$64,MATCH(B759,'Cashier Roster'!$B$5:$B$64,0)),"Not on roster"))</f>
        <v/>
      </c>
      <c r="D759" s="12" t="str">
        <f>IF(B759="","",IFERROR(INDEX('Cashier Roster'!$D$5:$D$64,MATCH(B759,'Cashier Roster'!$B$5:$B$64,0)),""))</f>
        <v/>
      </c>
      <c r="E759" s="13"/>
      <c r="F759" s="14"/>
      <c r="G759" s="8" t="str">
        <f>IF(OR(B759="",E759=""),"",IF(E759="No","Missed",IF(F759="","",IF(F759&lt;=Settings!$B$7,"On time","Late"))))</f>
        <v/>
      </c>
      <c r="H759" s="15"/>
      <c r="I759" s="16"/>
      <c r="J759" s="16"/>
      <c r="K759" s="17" t="str">
        <f>IF(J759="","",ROUND(J759*Settings!$B$8,2))</f>
        <v/>
      </c>
      <c r="L759" s="16"/>
      <c r="M759" s="8" t="str">
        <f t="shared" si="11"/>
        <v/>
      </c>
      <c r="N759" s="9"/>
    </row>
    <row r="760" spans="1:14" ht="15.75">
      <c r="A760" s="11"/>
      <c r="B760" s="9"/>
      <c r="C760" s="12" t="str">
        <f>IF(B760="","",IFERROR(INDEX('Cashier Roster'!$C$5:$C$64,MATCH(B760,'Cashier Roster'!$B$5:$B$64,0)),"Not on roster"))</f>
        <v/>
      </c>
      <c r="D760" s="12" t="str">
        <f>IF(B760="","",IFERROR(INDEX('Cashier Roster'!$D$5:$D$64,MATCH(B760,'Cashier Roster'!$B$5:$B$64,0)),""))</f>
        <v/>
      </c>
      <c r="E760" s="13"/>
      <c r="F760" s="14"/>
      <c r="G760" s="8" t="str">
        <f>IF(OR(B760="",E760=""),"",IF(E760="No","Missed",IF(F760="","",IF(F760&lt;=Settings!$B$7,"On time","Late"))))</f>
        <v/>
      </c>
      <c r="H760" s="15"/>
      <c r="I760" s="16"/>
      <c r="J760" s="16"/>
      <c r="K760" s="17" t="str">
        <f>IF(J760="","",ROUND(J760*Settings!$B$8,2))</f>
        <v/>
      </c>
      <c r="L760" s="16"/>
      <c r="M760" s="8" t="str">
        <f t="shared" si="11"/>
        <v/>
      </c>
      <c r="N760" s="9"/>
    </row>
    <row r="761" spans="1:14" ht="15.75">
      <c r="A761" s="11"/>
      <c r="B761" s="9"/>
      <c r="C761" s="12" t="str">
        <f>IF(B761="","",IFERROR(INDEX('Cashier Roster'!$C$5:$C$64,MATCH(B761,'Cashier Roster'!$B$5:$B$64,0)),"Not on roster"))</f>
        <v/>
      </c>
      <c r="D761" s="12" t="str">
        <f>IF(B761="","",IFERROR(INDEX('Cashier Roster'!$D$5:$D$64,MATCH(B761,'Cashier Roster'!$B$5:$B$64,0)),""))</f>
        <v/>
      </c>
      <c r="E761" s="13"/>
      <c r="F761" s="14"/>
      <c r="G761" s="8" t="str">
        <f>IF(OR(B761="",E761=""),"",IF(E761="No","Missed",IF(F761="","",IF(F761&lt;=Settings!$B$7,"On time","Late"))))</f>
        <v/>
      </c>
      <c r="H761" s="15"/>
      <c r="I761" s="16"/>
      <c r="J761" s="16"/>
      <c r="K761" s="17" t="str">
        <f>IF(J761="","",ROUND(J761*Settings!$B$8,2))</f>
        <v/>
      </c>
      <c r="L761" s="16"/>
      <c r="M761" s="8" t="str">
        <f t="shared" si="11"/>
        <v/>
      </c>
      <c r="N761" s="9"/>
    </row>
    <row r="762" spans="1:14" ht="15.75">
      <c r="A762" s="11"/>
      <c r="B762" s="9"/>
      <c r="C762" s="12" t="str">
        <f>IF(B762="","",IFERROR(INDEX('Cashier Roster'!$C$5:$C$64,MATCH(B762,'Cashier Roster'!$B$5:$B$64,0)),"Not on roster"))</f>
        <v/>
      </c>
      <c r="D762" s="12" t="str">
        <f>IF(B762="","",IFERROR(INDEX('Cashier Roster'!$D$5:$D$64,MATCH(B762,'Cashier Roster'!$B$5:$B$64,0)),""))</f>
        <v/>
      </c>
      <c r="E762" s="13"/>
      <c r="F762" s="14"/>
      <c r="G762" s="8" t="str">
        <f>IF(OR(B762="",E762=""),"",IF(E762="No","Missed",IF(F762="","",IF(F762&lt;=Settings!$B$7,"On time","Late"))))</f>
        <v/>
      </c>
      <c r="H762" s="15"/>
      <c r="I762" s="16"/>
      <c r="J762" s="16"/>
      <c r="K762" s="17" t="str">
        <f>IF(J762="","",ROUND(J762*Settings!$B$8,2))</f>
        <v/>
      </c>
      <c r="L762" s="16"/>
      <c r="M762" s="8" t="str">
        <f t="shared" si="11"/>
        <v/>
      </c>
      <c r="N762" s="9"/>
    </row>
    <row r="763" spans="1:14" ht="15.75">
      <c r="A763" s="11"/>
      <c r="B763" s="9"/>
      <c r="C763" s="12" t="str">
        <f>IF(B763="","",IFERROR(INDEX('Cashier Roster'!$C$5:$C$64,MATCH(B763,'Cashier Roster'!$B$5:$B$64,0)),"Not on roster"))</f>
        <v/>
      </c>
      <c r="D763" s="12" t="str">
        <f>IF(B763="","",IFERROR(INDEX('Cashier Roster'!$D$5:$D$64,MATCH(B763,'Cashier Roster'!$B$5:$B$64,0)),""))</f>
        <v/>
      </c>
      <c r="E763" s="13"/>
      <c r="F763" s="14"/>
      <c r="G763" s="8" t="str">
        <f>IF(OR(B763="",E763=""),"",IF(E763="No","Missed",IF(F763="","",IF(F763&lt;=Settings!$B$7,"On time","Late"))))</f>
        <v/>
      </c>
      <c r="H763" s="15"/>
      <c r="I763" s="16"/>
      <c r="J763" s="16"/>
      <c r="K763" s="17" t="str">
        <f>IF(J763="","",ROUND(J763*Settings!$B$8,2))</f>
        <v/>
      </c>
      <c r="L763" s="16"/>
      <c r="M763" s="8" t="str">
        <f t="shared" si="11"/>
        <v/>
      </c>
      <c r="N763" s="9"/>
    </row>
    <row r="764" spans="1:14" ht="15.75">
      <c r="A764" s="11"/>
      <c r="B764" s="9"/>
      <c r="C764" s="12" t="str">
        <f>IF(B764="","",IFERROR(INDEX('Cashier Roster'!$C$5:$C$64,MATCH(B764,'Cashier Roster'!$B$5:$B$64,0)),"Not on roster"))</f>
        <v/>
      </c>
      <c r="D764" s="12" t="str">
        <f>IF(B764="","",IFERROR(INDEX('Cashier Roster'!$D$5:$D$64,MATCH(B764,'Cashier Roster'!$B$5:$B$64,0)),""))</f>
        <v/>
      </c>
      <c r="E764" s="13"/>
      <c r="F764" s="14"/>
      <c r="G764" s="8" t="str">
        <f>IF(OR(B764="",E764=""),"",IF(E764="No","Missed",IF(F764="","",IF(F764&lt;=Settings!$B$7,"On time","Late"))))</f>
        <v/>
      </c>
      <c r="H764" s="15"/>
      <c r="I764" s="16"/>
      <c r="J764" s="16"/>
      <c r="K764" s="17" t="str">
        <f>IF(J764="","",ROUND(J764*Settings!$B$8,2))</f>
        <v/>
      </c>
      <c r="L764" s="16"/>
      <c r="M764" s="8" t="str">
        <f t="shared" si="11"/>
        <v/>
      </c>
      <c r="N764" s="9"/>
    </row>
    <row r="765" spans="1:14" ht="15.75">
      <c r="A765" s="11"/>
      <c r="B765" s="9"/>
      <c r="C765" s="12" t="str">
        <f>IF(B765="","",IFERROR(INDEX('Cashier Roster'!$C$5:$C$64,MATCH(B765,'Cashier Roster'!$B$5:$B$64,0)),"Not on roster"))</f>
        <v/>
      </c>
      <c r="D765" s="12" t="str">
        <f>IF(B765="","",IFERROR(INDEX('Cashier Roster'!$D$5:$D$64,MATCH(B765,'Cashier Roster'!$B$5:$B$64,0)),""))</f>
        <v/>
      </c>
      <c r="E765" s="13"/>
      <c r="F765" s="14"/>
      <c r="G765" s="8" t="str">
        <f>IF(OR(B765="",E765=""),"",IF(E765="No","Missed",IF(F765="","",IF(F765&lt;=Settings!$B$7,"On time","Late"))))</f>
        <v/>
      </c>
      <c r="H765" s="15"/>
      <c r="I765" s="16"/>
      <c r="J765" s="16"/>
      <c r="K765" s="17" t="str">
        <f>IF(J765="","",ROUND(J765*Settings!$B$8,2))</f>
        <v/>
      </c>
      <c r="L765" s="16"/>
      <c r="M765" s="8" t="str">
        <f t="shared" si="11"/>
        <v/>
      </c>
      <c r="N765" s="9"/>
    </row>
    <row r="766" spans="1:14" ht="15.75">
      <c r="A766" s="11"/>
      <c r="B766" s="9"/>
      <c r="C766" s="12" t="str">
        <f>IF(B766="","",IFERROR(INDEX('Cashier Roster'!$C$5:$C$64,MATCH(B766,'Cashier Roster'!$B$5:$B$64,0)),"Not on roster"))</f>
        <v/>
      </c>
      <c r="D766" s="12" t="str">
        <f>IF(B766="","",IFERROR(INDEX('Cashier Roster'!$D$5:$D$64,MATCH(B766,'Cashier Roster'!$B$5:$B$64,0)),""))</f>
        <v/>
      </c>
      <c r="E766" s="13"/>
      <c r="F766" s="14"/>
      <c r="G766" s="8" t="str">
        <f>IF(OR(B766="",E766=""),"",IF(E766="No","Missed",IF(F766="","",IF(F766&lt;=Settings!$B$7,"On time","Late"))))</f>
        <v/>
      </c>
      <c r="H766" s="15"/>
      <c r="I766" s="16"/>
      <c r="J766" s="16"/>
      <c r="K766" s="17" t="str">
        <f>IF(J766="","",ROUND(J766*Settings!$B$8,2))</f>
        <v/>
      </c>
      <c r="L766" s="16"/>
      <c r="M766" s="8" t="str">
        <f t="shared" si="11"/>
        <v/>
      </c>
      <c r="N766" s="9"/>
    </row>
    <row r="767" spans="1:14" ht="15.75">
      <c r="A767" s="11"/>
      <c r="B767" s="9"/>
      <c r="C767" s="12" t="str">
        <f>IF(B767="","",IFERROR(INDEX('Cashier Roster'!$C$5:$C$64,MATCH(B767,'Cashier Roster'!$B$5:$B$64,0)),"Not on roster"))</f>
        <v/>
      </c>
      <c r="D767" s="12" t="str">
        <f>IF(B767="","",IFERROR(INDEX('Cashier Roster'!$D$5:$D$64,MATCH(B767,'Cashier Roster'!$B$5:$B$64,0)),""))</f>
        <v/>
      </c>
      <c r="E767" s="13"/>
      <c r="F767" s="14"/>
      <c r="G767" s="8" t="str">
        <f>IF(OR(B767="",E767=""),"",IF(E767="No","Missed",IF(F767="","",IF(F767&lt;=Settings!$B$7,"On time","Late"))))</f>
        <v/>
      </c>
      <c r="H767" s="15"/>
      <c r="I767" s="16"/>
      <c r="J767" s="16"/>
      <c r="K767" s="17" t="str">
        <f>IF(J767="","",ROUND(J767*Settings!$B$8,2))</f>
        <v/>
      </c>
      <c r="L767" s="16"/>
      <c r="M767" s="8" t="str">
        <f t="shared" si="11"/>
        <v/>
      </c>
      <c r="N767" s="9"/>
    </row>
    <row r="768" spans="1:14" ht="15.75">
      <c r="A768" s="11"/>
      <c r="B768" s="9"/>
      <c r="C768" s="12" t="str">
        <f>IF(B768="","",IFERROR(INDEX('Cashier Roster'!$C$5:$C$64,MATCH(B768,'Cashier Roster'!$B$5:$B$64,0)),"Not on roster"))</f>
        <v/>
      </c>
      <c r="D768" s="12" t="str">
        <f>IF(B768="","",IFERROR(INDEX('Cashier Roster'!$D$5:$D$64,MATCH(B768,'Cashier Roster'!$B$5:$B$64,0)),""))</f>
        <v/>
      </c>
      <c r="E768" s="13"/>
      <c r="F768" s="14"/>
      <c r="G768" s="8" t="str">
        <f>IF(OR(B768="",E768=""),"",IF(E768="No","Missed",IF(F768="","",IF(F768&lt;=Settings!$B$7,"On time","Late"))))</f>
        <v/>
      </c>
      <c r="H768" s="15"/>
      <c r="I768" s="16"/>
      <c r="J768" s="16"/>
      <c r="K768" s="17" t="str">
        <f>IF(J768="","",ROUND(J768*Settings!$B$8,2))</f>
        <v/>
      </c>
      <c r="L768" s="16"/>
      <c r="M768" s="8" t="str">
        <f t="shared" si="11"/>
        <v/>
      </c>
      <c r="N768" s="9"/>
    </row>
    <row r="769" spans="1:14" ht="15.75">
      <c r="A769" s="11"/>
      <c r="B769" s="9"/>
      <c r="C769" s="12" t="str">
        <f>IF(B769="","",IFERROR(INDEX('Cashier Roster'!$C$5:$C$64,MATCH(B769,'Cashier Roster'!$B$5:$B$64,0)),"Not on roster"))</f>
        <v/>
      </c>
      <c r="D769" s="12" t="str">
        <f>IF(B769="","",IFERROR(INDEX('Cashier Roster'!$D$5:$D$64,MATCH(B769,'Cashier Roster'!$B$5:$B$64,0)),""))</f>
        <v/>
      </c>
      <c r="E769" s="13"/>
      <c r="F769" s="14"/>
      <c r="G769" s="8" t="str">
        <f>IF(OR(B769="",E769=""),"",IF(E769="No","Missed",IF(F769="","",IF(F769&lt;=Settings!$B$7,"On time","Late"))))</f>
        <v/>
      </c>
      <c r="H769" s="15"/>
      <c r="I769" s="16"/>
      <c r="J769" s="16"/>
      <c r="K769" s="17" t="str">
        <f>IF(J769="","",ROUND(J769*Settings!$B$8,2))</f>
        <v/>
      </c>
      <c r="L769" s="16"/>
      <c r="M769" s="8" t="str">
        <f t="shared" si="11"/>
        <v/>
      </c>
      <c r="N769" s="9"/>
    </row>
    <row r="770" spans="1:14" ht="15.75">
      <c r="A770" s="11"/>
      <c r="B770" s="9"/>
      <c r="C770" s="12" t="str">
        <f>IF(B770="","",IFERROR(INDEX('Cashier Roster'!$C$5:$C$64,MATCH(B770,'Cashier Roster'!$B$5:$B$64,0)),"Not on roster"))</f>
        <v/>
      </c>
      <c r="D770" s="12" t="str">
        <f>IF(B770="","",IFERROR(INDEX('Cashier Roster'!$D$5:$D$64,MATCH(B770,'Cashier Roster'!$B$5:$B$64,0)),""))</f>
        <v/>
      </c>
      <c r="E770" s="13"/>
      <c r="F770" s="14"/>
      <c r="G770" s="8" t="str">
        <f>IF(OR(B770="",E770=""),"",IF(E770="No","Missed",IF(F770="","",IF(F770&lt;=Settings!$B$7,"On time","Late"))))</f>
        <v/>
      </c>
      <c r="H770" s="15"/>
      <c r="I770" s="16"/>
      <c r="J770" s="16"/>
      <c r="K770" s="17" t="str">
        <f>IF(J770="","",ROUND(J770*Settings!$B$8,2))</f>
        <v/>
      </c>
      <c r="L770" s="16"/>
      <c r="M770" s="8" t="str">
        <f t="shared" si="11"/>
        <v/>
      </c>
      <c r="N770" s="9"/>
    </row>
    <row r="771" spans="1:14" ht="15.75">
      <c r="A771" s="11"/>
      <c r="B771" s="9"/>
      <c r="C771" s="12" t="str">
        <f>IF(B771="","",IFERROR(INDEX('Cashier Roster'!$C$5:$C$64,MATCH(B771,'Cashier Roster'!$B$5:$B$64,0)),"Not on roster"))</f>
        <v/>
      </c>
      <c r="D771" s="12" t="str">
        <f>IF(B771="","",IFERROR(INDEX('Cashier Roster'!$D$5:$D$64,MATCH(B771,'Cashier Roster'!$B$5:$B$64,0)),""))</f>
        <v/>
      </c>
      <c r="E771" s="13"/>
      <c r="F771" s="14"/>
      <c r="G771" s="8" t="str">
        <f>IF(OR(B771="",E771=""),"",IF(E771="No","Missed",IF(F771="","",IF(F771&lt;=Settings!$B$7,"On time","Late"))))</f>
        <v/>
      </c>
      <c r="H771" s="15"/>
      <c r="I771" s="16"/>
      <c r="J771" s="16"/>
      <c r="K771" s="17" t="str">
        <f>IF(J771="","",ROUND(J771*Settings!$B$8,2))</f>
        <v/>
      </c>
      <c r="L771" s="16"/>
      <c r="M771" s="8" t="str">
        <f t="shared" si="11"/>
        <v/>
      </c>
      <c r="N771" s="9"/>
    </row>
    <row r="772" spans="1:14" ht="15.75">
      <c r="A772" s="11"/>
      <c r="B772" s="9"/>
      <c r="C772" s="12" t="str">
        <f>IF(B772="","",IFERROR(INDEX('Cashier Roster'!$C$5:$C$64,MATCH(B772,'Cashier Roster'!$B$5:$B$64,0)),"Not on roster"))</f>
        <v/>
      </c>
      <c r="D772" s="12" t="str">
        <f>IF(B772="","",IFERROR(INDEX('Cashier Roster'!$D$5:$D$64,MATCH(B772,'Cashier Roster'!$B$5:$B$64,0)),""))</f>
        <v/>
      </c>
      <c r="E772" s="13"/>
      <c r="F772" s="14"/>
      <c r="G772" s="8" t="str">
        <f>IF(OR(B772="",E772=""),"",IF(E772="No","Missed",IF(F772="","",IF(F772&lt;=Settings!$B$7,"On time","Late"))))</f>
        <v/>
      </c>
      <c r="H772" s="15"/>
      <c r="I772" s="16"/>
      <c r="J772" s="16"/>
      <c r="K772" s="17" t="str">
        <f>IF(J772="","",ROUND(J772*Settings!$B$8,2))</f>
        <v/>
      </c>
      <c r="L772" s="16"/>
      <c r="M772" s="8" t="str">
        <f t="shared" si="11"/>
        <v/>
      </c>
      <c r="N772" s="9"/>
    </row>
    <row r="773" spans="1:14" ht="15.75">
      <c r="A773" s="11"/>
      <c r="B773" s="9"/>
      <c r="C773" s="12" t="str">
        <f>IF(B773="","",IFERROR(INDEX('Cashier Roster'!$C$5:$C$64,MATCH(B773,'Cashier Roster'!$B$5:$B$64,0)),"Not on roster"))</f>
        <v/>
      </c>
      <c r="D773" s="12" t="str">
        <f>IF(B773="","",IFERROR(INDEX('Cashier Roster'!$D$5:$D$64,MATCH(B773,'Cashier Roster'!$B$5:$B$64,0)),""))</f>
        <v/>
      </c>
      <c r="E773" s="13"/>
      <c r="F773" s="14"/>
      <c r="G773" s="8" t="str">
        <f>IF(OR(B773="",E773=""),"",IF(E773="No","Missed",IF(F773="","",IF(F773&lt;=Settings!$B$7,"On time","Late"))))</f>
        <v/>
      </c>
      <c r="H773" s="15"/>
      <c r="I773" s="16"/>
      <c r="J773" s="16"/>
      <c r="K773" s="17" t="str">
        <f>IF(J773="","",ROUND(J773*Settings!$B$8,2))</f>
        <v/>
      </c>
      <c r="L773" s="16"/>
      <c r="M773" s="8" t="str">
        <f t="shared" ref="M773:M836" si="12">IF(L773="","",IF(L773&lt;=0,"Yes","No"))</f>
        <v/>
      </c>
      <c r="N773" s="9"/>
    </row>
    <row r="774" spans="1:14" ht="15.75">
      <c r="A774" s="11"/>
      <c r="B774" s="9"/>
      <c r="C774" s="12" t="str">
        <f>IF(B774="","",IFERROR(INDEX('Cashier Roster'!$C$5:$C$64,MATCH(B774,'Cashier Roster'!$B$5:$B$64,0)),"Not on roster"))</f>
        <v/>
      </c>
      <c r="D774" s="12" t="str">
        <f>IF(B774="","",IFERROR(INDEX('Cashier Roster'!$D$5:$D$64,MATCH(B774,'Cashier Roster'!$B$5:$B$64,0)),""))</f>
        <v/>
      </c>
      <c r="E774" s="13"/>
      <c r="F774" s="14"/>
      <c r="G774" s="8" t="str">
        <f>IF(OR(B774="",E774=""),"",IF(E774="No","Missed",IF(F774="","",IF(F774&lt;=Settings!$B$7,"On time","Late"))))</f>
        <v/>
      </c>
      <c r="H774" s="15"/>
      <c r="I774" s="16"/>
      <c r="J774" s="16"/>
      <c r="K774" s="17" t="str">
        <f>IF(J774="","",ROUND(J774*Settings!$B$8,2))</f>
        <v/>
      </c>
      <c r="L774" s="16"/>
      <c r="M774" s="8" t="str">
        <f t="shared" si="12"/>
        <v/>
      </c>
      <c r="N774" s="9"/>
    </row>
    <row r="775" spans="1:14" ht="15.75">
      <c r="A775" s="11"/>
      <c r="B775" s="9"/>
      <c r="C775" s="12" t="str">
        <f>IF(B775="","",IFERROR(INDEX('Cashier Roster'!$C$5:$C$64,MATCH(B775,'Cashier Roster'!$B$5:$B$64,0)),"Not on roster"))</f>
        <v/>
      </c>
      <c r="D775" s="12" t="str">
        <f>IF(B775="","",IFERROR(INDEX('Cashier Roster'!$D$5:$D$64,MATCH(B775,'Cashier Roster'!$B$5:$B$64,0)),""))</f>
        <v/>
      </c>
      <c r="E775" s="13"/>
      <c r="F775" s="14"/>
      <c r="G775" s="8" t="str">
        <f>IF(OR(B775="",E775=""),"",IF(E775="No","Missed",IF(F775="","",IF(F775&lt;=Settings!$B$7,"On time","Late"))))</f>
        <v/>
      </c>
      <c r="H775" s="15"/>
      <c r="I775" s="16"/>
      <c r="J775" s="16"/>
      <c r="K775" s="17" t="str">
        <f>IF(J775="","",ROUND(J775*Settings!$B$8,2))</f>
        <v/>
      </c>
      <c r="L775" s="16"/>
      <c r="M775" s="8" t="str">
        <f t="shared" si="12"/>
        <v/>
      </c>
      <c r="N775" s="9"/>
    </row>
    <row r="776" spans="1:14" ht="15.75">
      <c r="A776" s="11"/>
      <c r="B776" s="9"/>
      <c r="C776" s="12" t="str">
        <f>IF(B776="","",IFERROR(INDEX('Cashier Roster'!$C$5:$C$64,MATCH(B776,'Cashier Roster'!$B$5:$B$64,0)),"Not on roster"))</f>
        <v/>
      </c>
      <c r="D776" s="12" t="str">
        <f>IF(B776="","",IFERROR(INDEX('Cashier Roster'!$D$5:$D$64,MATCH(B776,'Cashier Roster'!$B$5:$B$64,0)),""))</f>
        <v/>
      </c>
      <c r="E776" s="13"/>
      <c r="F776" s="14"/>
      <c r="G776" s="8" t="str">
        <f>IF(OR(B776="",E776=""),"",IF(E776="No","Missed",IF(F776="","",IF(F776&lt;=Settings!$B$7,"On time","Late"))))</f>
        <v/>
      </c>
      <c r="H776" s="15"/>
      <c r="I776" s="16"/>
      <c r="J776" s="16"/>
      <c r="K776" s="17" t="str">
        <f>IF(J776="","",ROUND(J776*Settings!$B$8,2))</f>
        <v/>
      </c>
      <c r="L776" s="16"/>
      <c r="M776" s="8" t="str">
        <f t="shared" si="12"/>
        <v/>
      </c>
      <c r="N776" s="9"/>
    </row>
    <row r="777" spans="1:14" ht="15.75">
      <c r="A777" s="11"/>
      <c r="B777" s="9"/>
      <c r="C777" s="12" t="str">
        <f>IF(B777="","",IFERROR(INDEX('Cashier Roster'!$C$5:$C$64,MATCH(B777,'Cashier Roster'!$B$5:$B$64,0)),"Not on roster"))</f>
        <v/>
      </c>
      <c r="D777" s="12" t="str">
        <f>IF(B777="","",IFERROR(INDEX('Cashier Roster'!$D$5:$D$64,MATCH(B777,'Cashier Roster'!$B$5:$B$64,0)),""))</f>
        <v/>
      </c>
      <c r="E777" s="13"/>
      <c r="F777" s="14"/>
      <c r="G777" s="8" t="str">
        <f>IF(OR(B777="",E777=""),"",IF(E777="No","Missed",IF(F777="","",IF(F777&lt;=Settings!$B$7,"On time","Late"))))</f>
        <v/>
      </c>
      <c r="H777" s="15"/>
      <c r="I777" s="16"/>
      <c r="J777" s="16"/>
      <c r="K777" s="17" t="str">
        <f>IF(J777="","",ROUND(J777*Settings!$B$8,2))</f>
        <v/>
      </c>
      <c r="L777" s="16"/>
      <c r="M777" s="8" t="str">
        <f t="shared" si="12"/>
        <v/>
      </c>
      <c r="N777" s="9"/>
    </row>
    <row r="778" spans="1:14" ht="15.75">
      <c r="A778" s="11"/>
      <c r="B778" s="9"/>
      <c r="C778" s="12" t="str">
        <f>IF(B778="","",IFERROR(INDEX('Cashier Roster'!$C$5:$C$64,MATCH(B778,'Cashier Roster'!$B$5:$B$64,0)),"Not on roster"))</f>
        <v/>
      </c>
      <c r="D778" s="12" t="str">
        <f>IF(B778="","",IFERROR(INDEX('Cashier Roster'!$D$5:$D$64,MATCH(B778,'Cashier Roster'!$B$5:$B$64,0)),""))</f>
        <v/>
      </c>
      <c r="E778" s="13"/>
      <c r="F778" s="14"/>
      <c r="G778" s="8" t="str">
        <f>IF(OR(B778="",E778=""),"",IF(E778="No","Missed",IF(F778="","",IF(F778&lt;=Settings!$B$7,"On time","Late"))))</f>
        <v/>
      </c>
      <c r="H778" s="15"/>
      <c r="I778" s="16"/>
      <c r="J778" s="16"/>
      <c r="K778" s="17" t="str">
        <f>IF(J778="","",ROUND(J778*Settings!$B$8,2))</f>
        <v/>
      </c>
      <c r="L778" s="16"/>
      <c r="M778" s="8" t="str">
        <f t="shared" si="12"/>
        <v/>
      </c>
      <c r="N778" s="9"/>
    </row>
    <row r="779" spans="1:14" ht="15.75">
      <c r="A779" s="11"/>
      <c r="B779" s="9"/>
      <c r="C779" s="12" t="str">
        <f>IF(B779="","",IFERROR(INDEX('Cashier Roster'!$C$5:$C$64,MATCH(B779,'Cashier Roster'!$B$5:$B$64,0)),"Not on roster"))</f>
        <v/>
      </c>
      <c r="D779" s="12" t="str">
        <f>IF(B779="","",IFERROR(INDEX('Cashier Roster'!$D$5:$D$64,MATCH(B779,'Cashier Roster'!$B$5:$B$64,0)),""))</f>
        <v/>
      </c>
      <c r="E779" s="13"/>
      <c r="F779" s="14"/>
      <c r="G779" s="8" t="str">
        <f>IF(OR(B779="",E779=""),"",IF(E779="No","Missed",IF(F779="","",IF(F779&lt;=Settings!$B$7,"On time","Late"))))</f>
        <v/>
      </c>
      <c r="H779" s="15"/>
      <c r="I779" s="16"/>
      <c r="J779" s="16"/>
      <c r="K779" s="17" t="str">
        <f>IF(J779="","",ROUND(J779*Settings!$B$8,2))</f>
        <v/>
      </c>
      <c r="L779" s="16"/>
      <c r="M779" s="8" t="str">
        <f t="shared" si="12"/>
        <v/>
      </c>
      <c r="N779" s="9"/>
    </row>
    <row r="780" spans="1:14" ht="15.75">
      <c r="A780" s="11"/>
      <c r="B780" s="9"/>
      <c r="C780" s="12" t="str">
        <f>IF(B780="","",IFERROR(INDEX('Cashier Roster'!$C$5:$C$64,MATCH(B780,'Cashier Roster'!$B$5:$B$64,0)),"Not on roster"))</f>
        <v/>
      </c>
      <c r="D780" s="12" t="str">
        <f>IF(B780="","",IFERROR(INDEX('Cashier Roster'!$D$5:$D$64,MATCH(B780,'Cashier Roster'!$B$5:$B$64,0)),""))</f>
        <v/>
      </c>
      <c r="E780" s="13"/>
      <c r="F780" s="14"/>
      <c r="G780" s="8" t="str">
        <f>IF(OR(B780="",E780=""),"",IF(E780="No","Missed",IF(F780="","",IF(F780&lt;=Settings!$B$7,"On time","Late"))))</f>
        <v/>
      </c>
      <c r="H780" s="15"/>
      <c r="I780" s="16"/>
      <c r="J780" s="16"/>
      <c r="K780" s="17" t="str">
        <f>IF(J780="","",ROUND(J780*Settings!$B$8,2))</f>
        <v/>
      </c>
      <c r="L780" s="16"/>
      <c r="M780" s="8" t="str">
        <f t="shared" si="12"/>
        <v/>
      </c>
      <c r="N780" s="9"/>
    </row>
    <row r="781" spans="1:14" ht="15.75">
      <c r="A781" s="11"/>
      <c r="B781" s="9"/>
      <c r="C781" s="12" t="str">
        <f>IF(B781="","",IFERROR(INDEX('Cashier Roster'!$C$5:$C$64,MATCH(B781,'Cashier Roster'!$B$5:$B$64,0)),"Not on roster"))</f>
        <v/>
      </c>
      <c r="D781" s="12" t="str">
        <f>IF(B781="","",IFERROR(INDEX('Cashier Roster'!$D$5:$D$64,MATCH(B781,'Cashier Roster'!$B$5:$B$64,0)),""))</f>
        <v/>
      </c>
      <c r="E781" s="13"/>
      <c r="F781" s="14"/>
      <c r="G781" s="8" t="str">
        <f>IF(OR(B781="",E781=""),"",IF(E781="No","Missed",IF(F781="","",IF(F781&lt;=Settings!$B$7,"On time","Late"))))</f>
        <v/>
      </c>
      <c r="H781" s="15"/>
      <c r="I781" s="16"/>
      <c r="J781" s="16"/>
      <c r="K781" s="17" t="str">
        <f>IF(J781="","",ROUND(J781*Settings!$B$8,2))</f>
        <v/>
      </c>
      <c r="L781" s="16"/>
      <c r="M781" s="8" t="str">
        <f t="shared" si="12"/>
        <v/>
      </c>
      <c r="N781" s="9"/>
    </row>
    <row r="782" spans="1:14" ht="15.75">
      <c r="A782" s="11"/>
      <c r="B782" s="9"/>
      <c r="C782" s="12" t="str">
        <f>IF(B782="","",IFERROR(INDEX('Cashier Roster'!$C$5:$C$64,MATCH(B782,'Cashier Roster'!$B$5:$B$64,0)),"Not on roster"))</f>
        <v/>
      </c>
      <c r="D782" s="12" t="str">
        <f>IF(B782="","",IFERROR(INDEX('Cashier Roster'!$D$5:$D$64,MATCH(B782,'Cashier Roster'!$B$5:$B$64,0)),""))</f>
        <v/>
      </c>
      <c r="E782" s="13"/>
      <c r="F782" s="14"/>
      <c r="G782" s="8" t="str">
        <f>IF(OR(B782="",E782=""),"",IF(E782="No","Missed",IF(F782="","",IF(F782&lt;=Settings!$B$7,"On time","Late"))))</f>
        <v/>
      </c>
      <c r="H782" s="15"/>
      <c r="I782" s="16"/>
      <c r="J782" s="16"/>
      <c r="K782" s="17" t="str">
        <f>IF(J782="","",ROUND(J782*Settings!$B$8,2))</f>
        <v/>
      </c>
      <c r="L782" s="16"/>
      <c r="M782" s="8" t="str">
        <f t="shared" si="12"/>
        <v/>
      </c>
      <c r="N782" s="9"/>
    </row>
    <row r="783" spans="1:14" ht="15.75">
      <c r="A783" s="11"/>
      <c r="B783" s="9"/>
      <c r="C783" s="12" t="str">
        <f>IF(B783="","",IFERROR(INDEX('Cashier Roster'!$C$5:$C$64,MATCH(B783,'Cashier Roster'!$B$5:$B$64,0)),"Not on roster"))</f>
        <v/>
      </c>
      <c r="D783" s="12" t="str">
        <f>IF(B783="","",IFERROR(INDEX('Cashier Roster'!$D$5:$D$64,MATCH(B783,'Cashier Roster'!$B$5:$B$64,0)),""))</f>
        <v/>
      </c>
      <c r="E783" s="13"/>
      <c r="F783" s="14"/>
      <c r="G783" s="8" t="str">
        <f>IF(OR(B783="",E783=""),"",IF(E783="No","Missed",IF(F783="","",IF(F783&lt;=Settings!$B$7,"On time","Late"))))</f>
        <v/>
      </c>
      <c r="H783" s="15"/>
      <c r="I783" s="16"/>
      <c r="J783" s="16"/>
      <c r="K783" s="17" t="str">
        <f>IF(J783="","",ROUND(J783*Settings!$B$8,2))</f>
        <v/>
      </c>
      <c r="L783" s="16"/>
      <c r="M783" s="8" t="str">
        <f t="shared" si="12"/>
        <v/>
      </c>
      <c r="N783" s="9"/>
    </row>
    <row r="784" spans="1:14" ht="15.75">
      <c r="A784" s="11"/>
      <c r="B784" s="9"/>
      <c r="C784" s="12" t="str">
        <f>IF(B784="","",IFERROR(INDEX('Cashier Roster'!$C$5:$C$64,MATCH(B784,'Cashier Roster'!$B$5:$B$64,0)),"Not on roster"))</f>
        <v/>
      </c>
      <c r="D784" s="12" t="str">
        <f>IF(B784="","",IFERROR(INDEX('Cashier Roster'!$D$5:$D$64,MATCH(B784,'Cashier Roster'!$B$5:$B$64,0)),""))</f>
        <v/>
      </c>
      <c r="E784" s="13"/>
      <c r="F784" s="14"/>
      <c r="G784" s="8" t="str">
        <f>IF(OR(B784="",E784=""),"",IF(E784="No","Missed",IF(F784="","",IF(F784&lt;=Settings!$B$7,"On time","Late"))))</f>
        <v/>
      </c>
      <c r="H784" s="15"/>
      <c r="I784" s="16"/>
      <c r="J784" s="16"/>
      <c r="K784" s="17" t="str">
        <f>IF(J784="","",ROUND(J784*Settings!$B$8,2))</f>
        <v/>
      </c>
      <c r="L784" s="16"/>
      <c r="M784" s="8" t="str">
        <f t="shared" si="12"/>
        <v/>
      </c>
      <c r="N784" s="9"/>
    </row>
    <row r="785" spans="1:14" ht="15.75">
      <c r="A785" s="11"/>
      <c r="B785" s="9"/>
      <c r="C785" s="12" t="str">
        <f>IF(B785="","",IFERROR(INDEX('Cashier Roster'!$C$5:$C$64,MATCH(B785,'Cashier Roster'!$B$5:$B$64,0)),"Not on roster"))</f>
        <v/>
      </c>
      <c r="D785" s="12" t="str">
        <f>IF(B785="","",IFERROR(INDEX('Cashier Roster'!$D$5:$D$64,MATCH(B785,'Cashier Roster'!$B$5:$B$64,0)),""))</f>
        <v/>
      </c>
      <c r="E785" s="13"/>
      <c r="F785" s="14"/>
      <c r="G785" s="8" t="str">
        <f>IF(OR(B785="",E785=""),"",IF(E785="No","Missed",IF(F785="","",IF(F785&lt;=Settings!$B$7,"On time","Late"))))</f>
        <v/>
      </c>
      <c r="H785" s="15"/>
      <c r="I785" s="16"/>
      <c r="J785" s="16"/>
      <c r="K785" s="17" t="str">
        <f>IF(J785="","",ROUND(J785*Settings!$B$8,2))</f>
        <v/>
      </c>
      <c r="L785" s="16"/>
      <c r="M785" s="8" t="str">
        <f t="shared" si="12"/>
        <v/>
      </c>
      <c r="N785" s="9"/>
    </row>
    <row r="786" spans="1:14" ht="15.75">
      <c r="A786" s="11"/>
      <c r="B786" s="9"/>
      <c r="C786" s="12" t="str">
        <f>IF(B786="","",IFERROR(INDEX('Cashier Roster'!$C$5:$C$64,MATCH(B786,'Cashier Roster'!$B$5:$B$64,0)),"Not on roster"))</f>
        <v/>
      </c>
      <c r="D786" s="12" t="str">
        <f>IF(B786="","",IFERROR(INDEX('Cashier Roster'!$D$5:$D$64,MATCH(B786,'Cashier Roster'!$B$5:$B$64,0)),""))</f>
        <v/>
      </c>
      <c r="E786" s="13"/>
      <c r="F786" s="14"/>
      <c r="G786" s="8" t="str">
        <f>IF(OR(B786="",E786=""),"",IF(E786="No","Missed",IF(F786="","",IF(F786&lt;=Settings!$B$7,"On time","Late"))))</f>
        <v/>
      </c>
      <c r="H786" s="15"/>
      <c r="I786" s="16"/>
      <c r="J786" s="16"/>
      <c r="K786" s="17" t="str">
        <f>IF(J786="","",ROUND(J786*Settings!$B$8,2))</f>
        <v/>
      </c>
      <c r="L786" s="16"/>
      <c r="M786" s="8" t="str">
        <f t="shared" si="12"/>
        <v/>
      </c>
      <c r="N786" s="9"/>
    </row>
    <row r="787" spans="1:14" ht="15.75">
      <c r="A787" s="11"/>
      <c r="B787" s="9"/>
      <c r="C787" s="12" t="str">
        <f>IF(B787="","",IFERROR(INDEX('Cashier Roster'!$C$5:$C$64,MATCH(B787,'Cashier Roster'!$B$5:$B$64,0)),"Not on roster"))</f>
        <v/>
      </c>
      <c r="D787" s="12" t="str">
        <f>IF(B787="","",IFERROR(INDEX('Cashier Roster'!$D$5:$D$64,MATCH(B787,'Cashier Roster'!$B$5:$B$64,0)),""))</f>
        <v/>
      </c>
      <c r="E787" s="13"/>
      <c r="F787" s="14"/>
      <c r="G787" s="8" t="str">
        <f>IF(OR(B787="",E787=""),"",IF(E787="No","Missed",IF(F787="","",IF(F787&lt;=Settings!$B$7,"On time","Late"))))</f>
        <v/>
      </c>
      <c r="H787" s="15"/>
      <c r="I787" s="16"/>
      <c r="J787" s="16"/>
      <c r="K787" s="17" t="str">
        <f>IF(J787="","",ROUND(J787*Settings!$B$8,2))</f>
        <v/>
      </c>
      <c r="L787" s="16"/>
      <c r="M787" s="8" t="str">
        <f t="shared" si="12"/>
        <v/>
      </c>
      <c r="N787" s="9"/>
    </row>
    <row r="788" spans="1:14" ht="15.75">
      <c r="A788" s="11"/>
      <c r="B788" s="9"/>
      <c r="C788" s="12" t="str">
        <f>IF(B788="","",IFERROR(INDEX('Cashier Roster'!$C$5:$C$64,MATCH(B788,'Cashier Roster'!$B$5:$B$64,0)),"Not on roster"))</f>
        <v/>
      </c>
      <c r="D788" s="12" t="str">
        <f>IF(B788="","",IFERROR(INDEX('Cashier Roster'!$D$5:$D$64,MATCH(B788,'Cashier Roster'!$B$5:$B$64,0)),""))</f>
        <v/>
      </c>
      <c r="E788" s="13"/>
      <c r="F788" s="14"/>
      <c r="G788" s="8" t="str">
        <f>IF(OR(B788="",E788=""),"",IF(E788="No","Missed",IF(F788="","",IF(F788&lt;=Settings!$B$7,"On time","Late"))))</f>
        <v/>
      </c>
      <c r="H788" s="15"/>
      <c r="I788" s="16"/>
      <c r="J788" s="16"/>
      <c r="K788" s="17" t="str">
        <f>IF(J788="","",ROUND(J788*Settings!$B$8,2))</f>
        <v/>
      </c>
      <c r="L788" s="16"/>
      <c r="M788" s="8" t="str">
        <f t="shared" si="12"/>
        <v/>
      </c>
      <c r="N788" s="9"/>
    </row>
    <row r="789" spans="1:14" ht="15.75">
      <c r="A789" s="11"/>
      <c r="B789" s="9"/>
      <c r="C789" s="12" t="str">
        <f>IF(B789="","",IFERROR(INDEX('Cashier Roster'!$C$5:$C$64,MATCH(B789,'Cashier Roster'!$B$5:$B$64,0)),"Not on roster"))</f>
        <v/>
      </c>
      <c r="D789" s="12" t="str">
        <f>IF(B789="","",IFERROR(INDEX('Cashier Roster'!$D$5:$D$64,MATCH(B789,'Cashier Roster'!$B$5:$B$64,0)),""))</f>
        <v/>
      </c>
      <c r="E789" s="13"/>
      <c r="F789" s="14"/>
      <c r="G789" s="8" t="str">
        <f>IF(OR(B789="",E789=""),"",IF(E789="No","Missed",IF(F789="","",IF(F789&lt;=Settings!$B$7,"On time","Late"))))</f>
        <v/>
      </c>
      <c r="H789" s="15"/>
      <c r="I789" s="16"/>
      <c r="J789" s="16"/>
      <c r="K789" s="17" t="str">
        <f>IF(J789="","",ROUND(J789*Settings!$B$8,2))</f>
        <v/>
      </c>
      <c r="L789" s="16"/>
      <c r="M789" s="8" t="str">
        <f t="shared" si="12"/>
        <v/>
      </c>
      <c r="N789" s="9"/>
    </row>
    <row r="790" spans="1:14" ht="15.75">
      <c r="A790" s="11"/>
      <c r="B790" s="9"/>
      <c r="C790" s="12" t="str">
        <f>IF(B790="","",IFERROR(INDEX('Cashier Roster'!$C$5:$C$64,MATCH(B790,'Cashier Roster'!$B$5:$B$64,0)),"Not on roster"))</f>
        <v/>
      </c>
      <c r="D790" s="12" t="str">
        <f>IF(B790="","",IFERROR(INDEX('Cashier Roster'!$D$5:$D$64,MATCH(B790,'Cashier Roster'!$B$5:$B$64,0)),""))</f>
        <v/>
      </c>
      <c r="E790" s="13"/>
      <c r="F790" s="14"/>
      <c r="G790" s="8" t="str">
        <f>IF(OR(B790="",E790=""),"",IF(E790="No","Missed",IF(F790="","",IF(F790&lt;=Settings!$B$7,"On time","Late"))))</f>
        <v/>
      </c>
      <c r="H790" s="15"/>
      <c r="I790" s="16"/>
      <c r="J790" s="16"/>
      <c r="K790" s="17" t="str">
        <f>IF(J790="","",ROUND(J790*Settings!$B$8,2))</f>
        <v/>
      </c>
      <c r="L790" s="16"/>
      <c r="M790" s="8" t="str">
        <f t="shared" si="12"/>
        <v/>
      </c>
      <c r="N790" s="9"/>
    </row>
    <row r="791" spans="1:14" ht="15.75">
      <c r="A791" s="11"/>
      <c r="B791" s="9"/>
      <c r="C791" s="12" t="str">
        <f>IF(B791="","",IFERROR(INDEX('Cashier Roster'!$C$5:$C$64,MATCH(B791,'Cashier Roster'!$B$5:$B$64,0)),"Not on roster"))</f>
        <v/>
      </c>
      <c r="D791" s="12" t="str">
        <f>IF(B791="","",IFERROR(INDEX('Cashier Roster'!$D$5:$D$64,MATCH(B791,'Cashier Roster'!$B$5:$B$64,0)),""))</f>
        <v/>
      </c>
      <c r="E791" s="13"/>
      <c r="F791" s="14"/>
      <c r="G791" s="8" t="str">
        <f>IF(OR(B791="",E791=""),"",IF(E791="No","Missed",IF(F791="","",IF(F791&lt;=Settings!$B$7,"On time","Late"))))</f>
        <v/>
      </c>
      <c r="H791" s="15"/>
      <c r="I791" s="16"/>
      <c r="J791" s="16"/>
      <c r="K791" s="17" t="str">
        <f>IF(J791="","",ROUND(J791*Settings!$B$8,2))</f>
        <v/>
      </c>
      <c r="L791" s="16"/>
      <c r="M791" s="8" t="str">
        <f t="shared" si="12"/>
        <v/>
      </c>
      <c r="N791" s="9"/>
    </row>
    <row r="792" spans="1:14" ht="15.75">
      <c r="A792" s="11"/>
      <c r="B792" s="9"/>
      <c r="C792" s="12" t="str">
        <f>IF(B792="","",IFERROR(INDEX('Cashier Roster'!$C$5:$C$64,MATCH(B792,'Cashier Roster'!$B$5:$B$64,0)),"Not on roster"))</f>
        <v/>
      </c>
      <c r="D792" s="12" t="str">
        <f>IF(B792="","",IFERROR(INDEX('Cashier Roster'!$D$5:$D$64,MATCH(B792,'Cashier Roster'!$B$5:$B$64,0)),""))</f>
        <v/>
      </c>
      <c r="E792" s="13"/>
      <c r="F792" s="14"/>
      <c r="G792" s="8" t="str">
        <f>IF(OR(B792="",E792=""),"",IF(E792="No","Missed",IF(F792="","",IF(F792&lt;=Settings!$B$7,"On time","Late"))))</f>
        <v/>
      </c>
      <c r="H792" s="15"/>
      <c r="I792" s="16"/>
      <c r="J792" s="16"/>
      <c r="K792" s="17" t="str">
        <f>IF(J792="","",ROUND(J792*Settings!$B$8,2))</f>
        <v/>
      </c>
      <c r="L792" s="16"/>
      <c r="M792" s="8" t="str">
        <f t="shared" si="12"/>
        <v/>
      </c>
      <c r="N792" s="9"/>
    </row>
    <row r="793" spans="1:14" ht="15.75">
      <c r="A793" s="11"/>
      <c r="B793" s="9"/>
      <c r="C793" s="12" t="str">
        <f>IF(B793="","",IFERROR(INDEX('Cashier Roster'!$C$5:$C$64,MATCH(B793,'Cashier Roster'!$B$5:$B$64,0)),"Not on roster"))</f>
        <v/>
      </c>
      <c r="D793" s="12" t="str">
        <f>IF(B793="","",IFERROR(INDEX('Cashier Roster'!$D$5:$D$64,MATCH(B793,'Cashier Roster'!$B$5:$B$64,0)),""))</f>
        <v/>
      </c>
      <c r="E793" s="13"/>
      <c r="F793" s="14"/>
      <c r="G793" s="8" t="str">
        <f>IF(OR(B793="",E793=""),"",IF(E793="No","Missed",IF(F793="","",IF(F793&lt;=Settings!$B$7,"On time","Late"))))</f>
        <v/>
      </c>
      <c r="H793" s="15"/>
      <c r="I793" s="16"/>
      <c r="J793" s="16"/>
      <c r="K793" s="17" t="str">
        <f>IF(J793="","",ROUND(J793*Settings!$B$8,2))</f>
        <v/>
      </c>
      <c r="L793" s="16"/>
      <c r="M793" s="8" t="str">
        <f t="shared" si="12"/>
        <v/>
      </c>
      <c r="N793" s="9"/>
    </row>
    <row r="794" spans="1:14" ht="15.75">
      <c r="A794" s="11"/>
      <c r="B794" s="9"/>
      <c r="C794" s="12" t="str">
        <f>IF(B794="","",IFERROR(INDEX('Cashier Roster'!$C$5:$C$64,MATCH(B794,'Cashier Roster'!$B$5:$B$64,0)),"Not on roster"))</f>
        <v/>
      </c>
      <c r="D794" s="12" t="str">
        <f>IF(B794="","",IFERROR(INDEX('Cashier Roster'!$D$5:$D$64,MATCH(B794,'Cashier Roster'!$B$5:$B$64,0)),""))</f>
        <v/>
      </c>
      <c r="E794" s="13"/>
      <c r="F794" s="14"/>
      <c r="G794" s="8" t="str">
        <f>IF(OR(B794="",E794=""),"",IF(E794="No","Missed",IF(F794="","",IF(F794&lt;=Settings!$B$7,"On time","Late"))))</f>
        <v/>
      </c>
      <c r="H794" s="15"/>
      <c r="I794" s="16"/>
      <c r="J794" s="16"/>
      <c r="K794" s="17" t="str">
        <f>IF(J794="","",ROUND(J794*Settings!$B$8,2))</f>
        <v/>
      </c>
      <c r="L794" s="16"/>
      <c r="M794" s="8" t="str">
        <f t="shared" si="12"/>
        <v/>
      </c>
      <c r="N794" s="9"/>
    </row>
    <row r="795" spans="1:14" ht="15.75">
      <c r="A795" s="11"/>
      <c r="B795" s="9"/>
      <c r="C795" s="12" t="str">
        <f>IF(B795="","",IFERROR(INDEX('Cashier Roster'!$C$5:$C$64,MATCH(B795,'Cashier Roster'!$B$5:$B$64,0)),"Not on roster"))</f>
        <v/>
      </c>
      <c r="D795" s="12" t="str">
        <f>IF(B795="","",IFERROR(INDEX('Cashier Roster'!$D$5:$D$64,MATCH(B795,'Cashier Roster'!$B$5:$B$64,0)),""))</f>
        <v/>
      </c>
      <c r="E795" s="13"/>
      <c r="F795" s="14"/>
      <c r="G795" s="8" t="str">
        <f>IF(OR(B795="",E795=""),"",IF(E795="No","Missed",IF(F795="","",IF(F795&lt;=Settings!$B$7,"On time","Late"))))</f>
        <v/>
      </c>
      <c r="H795" s="15"/>
      <c r="I795" s="16"/>
      <c r="J795" s="16"/>
      <c r="K795" s="17" t="str">
        <f>IF(J795="","",ROUND(J795*Settings!$B$8,2))</f>
        <v/>
      </c>
      <c r="L795" s="16"/>
      <c r="M795" s="8" t="str">
        <f t="shared" si="12"/>
        <v/>
      </c>
      <c r="N795" s="9"/>
    </row>
    <row r="796" spans="1:14" ht="15.75">
      <c r="A796" s="11"/>
      <c r="B796" s="9"/>
      <c r="C796" s="12" t="str">
        <f>IF(B796="","",IFERROR(INDEX('Cashier Roster'!$C$5:$C$64,MATCH(B796,'Cashier Roster'!$B$5:$B$64,0)),"Not on roster"))</f>
        <v/>
      </c>
      <c r="D796" s="12" t="str">
        <f>IF(B796="","",IFERROR(INDEX('Cashier Roster'!$D$5:$D$64,MATCH(B796,'Cashier Roster'!$B$5:$B$64,0)),""))</f>
        <v/>
      </c>
      <c r="E796" s="13"/>
      <c r="F796" s="14"/>
      <c r="G796" s="8" t="str">
        <f>IF(OR(B796="",E796=""),"",IF(E796="No","Missed",IF(F796="","",IF(F796&lt;=Settings!$B$7,"On time","Late"))))</f>
        <v/>
      </c>
      <c r="H796" s="15"/>
      <c r="I796" s="16"/>
      <c r="J796" s="16"/>
      <c r="K796" s="17" t="str">
        <f>IF(J796="","",ROUND(J796*Settings!$B$8,2))</f>
        <v/>
      </c>
      <c r="L796" s="16"/>
      <c r="M796" s="8" t="str">
        <f t="shared" si="12"/>
        <v/>
      </c>
      <c r="N796" s="9"/>
    </row>
    <row r="797" spans="1:14" ht="15.75">
      <c r="A797" s="11"/>
      <c r="B797" s="9"/>
      <c r="C797" s="12" t="str">
        <f>IF(B797="","",IFERROR(INDEX('Cashier Roster'!$C$5:$C$64,MATCH(B797,'Cashier Roster'!$B$5:$B$64,0)),"Not on roster"))</f>
        <v/>
      </c>
      <c r="D797" s="12" t="str">
        <f>IF(B797="","",IFERROR(INDEX('Cashier Roster'!$D$5:$D$64,MATCH(B797,'Cashier Roster'!$B$5:$B$64,0)),""))</f>
        <v/>
      </c>
      <c r="E797" s="13"/>
      <c r="F797" s="14"/>
      <c r="G797" s="8" t="str">
        <f>IF(OR(B797="",E797=""),"",IF(E797="No","Missed",IF(F797="","",IF(F797&lt;=Settings!$B$7,"On time","Late"))))</f>
        <v/>
      </c>
      <c r="H797" s="15"/>
      <c r="I797" s="16"/>
      <c r="J797" s="16"/>
      <c r="K797" s="17" t="str">
        <f>IF(J797="","",ROUND(J797*Settings!$B$8,2))</f>
        <v/>
      </c>
      <c r="L797" s="16"/>
      <c r="M797" s="8" t="str">
        <f t="shared" si="12"/>
        <v/>
      </c>
      <c r="N797" s="9"/>
    </row>
    <row r="798" spans="1:14" ht="15.75">
      <c r="A798" s="11"/>
      <c r="B798" s="9"/>
      <c r="C798" s="12" t="str">
        <f>IF(B798="","",IFERROR(INDEX('Cashier Roster'!$C$5:$C$64,MATCH(B798,'Cashier Roster'!$B$5:$B$64,0)),"Not on roster"))</f>
        <v/>
      </c>
      <c r="D798" s="12" t="str">
        <f>IF(B798="","",IFERROR(INDEX('Cashier Roster'!$D$5:$D$64,MATCH(B798,'Cashier Roster'!$B$5:$B$64,0)),""))</f>
        <v/>
      </c>
      <c r="E798" s="13"/>
      <c r="F798" s="14"/>
      <c r="G798" s="8" t="str">
        <f>IF(OR(B798="",E798=""),"",IF(E798="No","Missed",IF(F798="","",IF(F798&lt;=Settings!$B$7,"On time","Late"))))</f>
        <v/>
      </c>
      <c r="H798" s="15"/>
      <c r="I798" s="16"/>
      <c r="J798" s="16"/>
      <c r="K798" s="17" t="str">
        <f>IF(J798="","",ROUND(J798*Settings!$B$8,2))</f>
        <v/>
      </c>
      <c r="L798" s="16"/>
      <c r="M798" s="8" t="str">
        <f t="shared" si="12"/>
        <v/>
      </c>
      <c r="N798" s="9"/>
    </row>
    <row r="799" spans="1:14" ht="15.75">
      <c r="A799" s="11"/>
      <c r="B799" s="9"/>
      <c r="C799" s="12" t="str">
        <f>IF(B799="","",IFERROR(INDEX('Cashier Roster'!$C$5:$C$64,MATCH(B799,'Cashier Roster'!$B$5:$B$64,0)),"Not on roster"))</f>
        <v/>
      </c>
      <c r="D799" s="12" t="str">
        <f>IF(B799="","",IFERROR(INDEX('Cashier Roster'!$D$5:$D$64,MATCH(B799,'Cashier Roster'!$B$5:$B$64,0)),""))</f>
        <v/>
      </c>
      <c r="E799" s="13"/>
      <c r="F799" s="14"/>
      <c r="G799" s="8" t="str">
        <f>IF(OR(B799="",E799=""),"",IF(E799="No","Missed",IF(F799="","",IF(F799&lt;=Settings!$B$7,"On time","Late"))))</f>
        <v/>
      </c>
      <c r="H799" s="15"/>
      <c r="I799" s="16"/>
      <c r="J799" s="16"/>
      <c r="K799" s="17" t="str">
        <f>IF(J799="","",ROUND(J799*Settings!$B$8,2))</f>
        <v/>
      </c>
      <c r="L799" s="16"/>
      <c r="M799" s="8" t="str">
        <f t="shared" si="12"/>
        <v/>
      </c>
      <c r="N799" s="9"/>
    </row>
    <row r="800" spans="1:14" ht="15.75">
      <c r="A800" s="11"/>
      <c r="B800" s="9"/>
      <c r="C800" s="12" t="str">
        <f>IF(B800="","",IFERROR(INDEX('Cashier Roster'!$C$5:$C$64,MATCH(B800,'Cashier Roster'!$B$5:$B$64,0)),"Not on roster"))</f>
        <v/>
      </c>
      <c r="D800" s="12" t="str">
        <f>IF(B800="","",IFERROR(INDEX('Cashier Roster'!$D$5:$D$64,MATCH(B800,'Cashier Roster'!$B$5:$B$64,0)),""))</f>
        <v/>
      </c>
      <c r="E800" s="13"/>
      <c r="F800" s="14"/>
      <c r="G800" s="8" t="str">
        <f>IF(OR(B800="",E800=""),"",IF(E800="No","Missed",IF(F800="","",IF(F800&lt;=Settings!$B$7,"On time","Late"))))</f>
        <v/>
      </c>
      <c r="H800" s="15"/>
      <c r="I800" s="16"/>
      <c r="J800" s="16"/>
      <c r="K800" s="17" t="str">
        <f>IF(J800="","",ROUND(J800*Settings!$B$8,2))</f>
        <v/>
      </c>
      <c r="L800" s="16"/>
      <c r="M800" s="8" t="str">
        <f t="shared" si="12"/>
        <v/>
      </c>
      <c r="N800" s="9"/>
    </row>
    <row r="801" spans="1:14" ht="15.75">
      <c r="A801" s="11"/>
      <c r="B801" s="9"/>
      <c r="C801" s="12" t="str">
        <f>IF(B801="","",IFERROR(INDEX('Cashier Roster'!$C$5:$C$64,MATCH(B801,'Cashier Roster'!$B$5:$B$64,0)),"Not on roster"))</f>
        <v/>
      </c>
      <c r="D801" s="12" t="str">
        <f>IF(B801="","",IFERROR(INDEX('Cashier Roster'!$D$5:$D$64,MATCH(B801,'Cashier Roster'!$B$5:$B$64,0)),""))</f>
        <v/>
      </c>
      <c r="E801" s="13"/>
      <c r="F801" s="14"/>
      <c r="G801" s="8" t="str">
        <f>IF(OR(B801="",E801=""),"",IF(E801="No","Missed",IF(F801="","",IF(F801&lt;=Settings!$B$7,"On time","Late"))))</f>
        <v/>
      </c>
      <c r="H801" s="15"/>
      <c r="I801" s="16"/>
      <c r="J801" s="16"/>
      <c r="K801" s="17" t="str">
        <f>IF(J801="","",ROUND(J801*Settings!$B$8,2))</f>
        <v/>
      </c>
      <c r="L801" s="16"/>
      <c r="M801" s="8" t="str">
        <f t="shared" si="12"/>
        <v/>
      </c>
      <c r="N801" s="9"/>
    </row>
    <row r="802" spans="1:14" ht="15.75">
      <c r="A802" s="11"/>
      <c r="B802" s="9"/>
      <c r="C802" s="12" t="str">
        <f>IF(B802="","",IFERROR(INDEX('Cashier Roster'!$C$5:$C$64,MATCH(B802,'Cashier Roster'!$B$5:$B$64,0)),"Not on roster"))</f>
        <v/>
      </c>
      <c r="D802" s="12" t="str">
        <f>IF(B802="","",IFERROR(INDEX('Cashier Roster'!$D$5:$D$64,MATCH(B802,'Cashier Roster'!$B$5:$B$64,0)),""))</f>
        <v/>
      </c>
      <c r="E802" s="13"/>
      <c r="F802" s="14"/>
      <c r="G802" s="8" t="str">
        <f>IF(OR(B802="",E802=""),"",IF(E802="No","Missed",IF(F802="","",IF(F802&lt;=Settings!$B$7,"On time","Late"))))</f>
        <v/>
      </c>
      <c r="H802" s="15"/>
      <c r="I802" s="16"/>
      <c r="J802" s="16"/>
      <c r="K802" s="17" t="str">
        <f>IF(J802="","",ROUND(J802*Settings!$B$8,2))</f>
        <v/>
      </c>
      <c r="L802" s="16"/>
      <c r="M802" s="8" t="str">
        <f t="shared" si="12"/>
        <v/>
      </c>
      <c r="N802" s="9"/>
    </row>
    <row r="803" spans="1:14" ht="15.75">
      <c r="A803" s="11"/>
      <c r="B803" s="9"/>
      <c r="C803" s="12" t="str">
        <f>IF(B803="","",IFERROR(INDEX('Cashier Roster'!$C$5:$C$64,MATCH(B803,'Cashier Roster'!$B$5:$B$64,0)),"Not on roster"))</f>
        <v/>
      </c>
      <c r="D803" s="12" t="str">
        <f>IF(B803="","",IFERROR(INDEX('Cashier Roster'!$D$5:$D$64,MATCH(B803,'Cashier Roster'!$B$5:$B$64,0)),""))</f>
        <v/>
      </c>
      <c r="E803" s="13"/>
      <c r="F803" s="14"/>
      <c r="G803" s="8" t="str">
        <f>IF(OR(B803="",E803=""),"",IF(E803="No","Missed",IF(F803="","",IF(F803&lt;=Settings!$B$7,"On time","Late"))))</f>
        <v/>
      </c>
      <c r="H803" s="15"/>
      <c r="I803" s="16"/>
      <c r="J803" s="16"/>
      <c r="K803" s="17" t="str">
        <f>IF(J803="","",ROUND(J803*Settings!$B$8,2))</f>
        <v/>
      </c>
      <c r="L803" s="16"/>
      <c r="M803" s="8" t="str">
        <f t="shared" si="12"/>
        <v/>
      </c>
      <c r="N803" s="9"/>
    </row>
    <row r="804" spans="1:14" ht="15.75">
      <c r="A804" s="11"/>
      <c r="B804" s="9"/>
      <c r="C804" s="12" t="str">
        <f>IF(B804="","",IFERROR(INDEX('Cashier Roster'!$C$5:$C$64,MATCH(B804,'Cashier Roster'!$B$5:$B$64,0)),"Not on roster"))</f>
        <v/>
      </c>
      <c r="D804" s="12" t="str">
        <f>IF(B804="","",IFERROR(INDEX('Cashier Roster'!$D$5:$D$64,MATCH(B804,'Cashier Roster'!$B$5:$B$64,0)),""))</f>
        <v/>
      </c>
      <c r="E804" s="13"/>
      <c r="F804" s="14"/>
      <c r="G804" s="8" t="str">
        <f>IF(OR(B804="",E804=""),"",IF(E804="No","Missed",IF(F804="","",IF(F804&lt;=Settings!$B$7,"On time","Late"))))</f>
        <v/>
      </c>
      <c r="H804" s="15"/>
      <c r="I804" s="16"/>
      <c r="J804" s="16"/>
      <c r="K804" s="17" t="str">
        <f>IF(J804="","",ROUND(J804*Settings!$B$8,2))</f>
        <v/>
      </c>
      <c r="L804" s="16"/>
      <c r="M804" s="8" t="str">
        <f t="shared" si="12"/>
        <v/>
      </c>
      <c r="N804" s="9"/>
    </row>
    <row r="805" spans="1:14" ht="15.75">
      <c r="A805" s="11"/>
      <c r="B805" s="9"/>
      <c r="C805" s="12" t="str">
        <f>IF(B805="","",IFERROR(INDEX('Cashier Roster'!$C$5:$C$64,MATCH(B805,'Cashier Roster'!$B$5:$B$64,0)),"Not on roster"))</f>
        <v/>
      </c>
      <c r="D805" s="12" t="str">
        <f>IF(B805="","",IFERROR(INDEX('Cashier Roster'!$D$5:$D$64,MATCH(B805,'Cashier Roster'!$B$5:$B$64,0)),""))</f>
        <v/>
      </c>
      <c r="E805" s="13"/>
      <c r="F805" s="14"/>
      <c r="G805" s="8" t="str">
        <f>IF(OR(B805="",E805=""),"",IF(E805="No","Missed",IF(F805="","",IF(F805&lt;=Settings!$B$7,"On time","Late"))))</f>
        <v/>
      </c>
      <c r="H805" s="15"/>
      <c r="I805" s="16"/>
      <c r="J805" s="16"/>
      <c r="K805" s="17" t="str">
        <f>IF(J805="","",ROUND(J805*Settings!$B$8,2))</f>
        <v/>
      </c>
      <c r="L805" s="16"/>
      <c r="M805" s="8" t="str">
        <f t="shared" si="12"/>
        <v/>
      </c>
      <c r="N805" s="9"/>
    </row>
    <row r="806" spans="1:14" ht="15.75">
      <c r="A806" s="11"/>
      <c r="B806" s="9"/>
      <c r="C806" s="12" t="str">
        <f>IF(B806="","",IFERROR(INDEX('Cashier Roster'!$C$5:$C$64,MATCH(B806,'Cashier Roster'!$B$5:$B$64,0)),"Not on roster"))</f>
        <v/>
      </c>
      <c r="D806" s="12" t="str">
        <f>IF(B806="","",IFERROR(INDEX('Cashier Roster'!$D$5:$D$64,MATCH(B806,'Cashier Roster'!$B$5:$B$64,0)),""))</f>
        <v/>
      </c>
      <c r="E806" s="13"/>
      <c r="F806" s="14"/>
      <c r="G806" s="8" t="str">
        <f>IF(OR(B806="",E806=""),"",IF(E806="No","Missed",IF(F806="","",IF(F806&lt;=Settings!$B$7,"On time","Late"))))</f>
        <v/>
      </c>
      <c r="H806" s="15"/>
      <c r="I806" s="16"/>
      <c r="J806" s="16"/>
      <c r="K806" s="17" t="str">
        <f>IF(J806="","",ROUND(J806*Settings!$B$8,2))</f>
        <v/>
      </c>
      <c r="L806" s="16"/>
      <c r="M806" s="8" t="str">
        <f t="shared" si="12"/>
        <v/>
      </c>
      <c r="N806" s="9"/>
    </row>
    <row r="807" spans="1:14" ht="15.75">
      <c r="A807" s="11"/>
      <c r="B807" s="9"/>
      <c r="C807" s="12" t="str">
        <f>IF(B807="","",IFERROR(INDEX('Cashier Roster'!$C$5:$C$64,MATCH(B807,'Cashier Roster'!$B$5:$B$64,0)),"Not on roster"))</f>
        <v/>
      </c>
      <c r="D807" s="12" t="str">
        <f>IF(B807="","",IFERROR(INDEX('Cashier Roster'!$D$5:$D$64,MATCH(B807,'Cashier Roster'!$B$5:$B$64,0)),""))</f>
        <v/>
      </c>
      <c r="E807" s="13"/>
      <c r="F807" s="14"/>
      <c r="G807" s="8" t="str">
        <f>IF(OR(B807="",E807=""),"",IF(E807="No","Missed",IF(F807="","",IF(F807&lt;=Settings!$B$7,"On time","Late"))))</f>
        <v/>
      </c>
      <c r="H807" s="15"/>
      <c r="I807" s="16"/>
      <c r="J807" s="16"/>
      <c r="K807" s="17" t="str">
        <f>IF(J807="","",ROUND(J807*Settings!$B$8,2))</f>
        <v/>
      </c>
      <c r="L807" s="16"/>
      <c r="M807" s="8" t="str">
        <f t="shared" si="12"/>
        <v/>
      </c>
      <c r="N807" s="9"/>
    </row>
    <row r="808" spans="1:14" ht="15.75">
      <c r="A808" s="11"/>
      <c r="B808" s="9"/>
      <c r="C808" s="12" t="str">
        <f>IF(B808="","",IFERROR(INDEX('Cashier Roster'!$C$5:$C$64,MATCH(B808,'Cashier Roster'!$B$5:$B$64,0)),"Not on roster"))</f>
        <v/>
      </c>
      <c r="D808" s="12" t="str">
        <f>IF(B808="","",IFERROR(INDEX('Cashier Roster'!$D$5:$D$64,MATCH(B808,'Cashier Roster'!$B$5:$B$64,0)),""))</f>
        <v/>
      </c>
      <c r="E808" s="13"/>
      <c r="F808" s="14"/>
      <c r="G808" s="8" t="str">
        <f>IF(OR(B808="",E808=""),"",IF(E808="No","Missed",IF(F808="","",IF(F808&lt;=Settings!$B$7,"On time","Late"))))</f>
        <v/>
      </c>
      <c r="H808" s="15"/>
      <c r="I808" s="16"/>
      <c r="J808" s="16"/>
      <c r="K808" s="17" t="str">
        <f>IF(J808="","",ROUND(J808*Settings!$B$8,2))</f>
        <v/>
      </c>
      <c r="L808" s="16"/>
      <c r="M808" s="8" t="str">
        <f t="shared" si="12"/>
        <v/>
      </c>
      <c r="N808" s="9"/>
    </row>
    <row r="809" spans="1:14" ht="15.75">
      <c r="A809" s="11"/>
      <c r="B809" s="9"/>
      <c r="C809" s="12" t="str">
        <f>IF(B809="","",IFERROR(INDEX('Cashier Roster'!$C$5:$C$64,MATCH(B809,'Cashier Roster'!$B$5:$B$64,0)),"Not on roster"))</f>
        <v/>
      </c>
      <c r="D809" s="12" t="str">
        <f>IF(B809="","",IFERROR(INDEX('Cashier Roster'!$D$5:$D$64,MATCH(B809,'Cashier Roster'!$B$5:$B$64,0)),""))</f>
        <v/>
      </c>
      <c r="E809" s="13"/>
      <c r="F809" s="14"/>
      <c r="G809" s="8" t="str">
        <f>IF(OR(B809="",E809=""),"",IF(E809="No","Missed",IF(F809="","",IF(F809&lt;=Settings!$B$7,"On time","Late"))))</f>
        <v/>
      </c>
      <c r="H809" s="15"/>
      <c r="I809" s="16"/>
      <c r="J809" s="16"/>
      <c r="K809" s="17" t="str">
        <f>IF(J809="","",ROUND(J809*Settings!$B$8,2))</f>
        <v/>
      </c>
      <c r="L809" s="16"/>
      <c r="M809" s="8" t="str">
        <f t="shared" si="12"/>
        <v/>
      </c>
      <c r="N809" s="9"/>
    </row>
    <row r="810" spans="1:14" ht="15.75">
      <c r="A810" s="11"/>
      <c r="B810" s="9"/>
      <c r="C810" s="12" t="str">
        <f>IF(B810="","",IFERROR(INDEX('Cashier Roster'!$C$5:$C$64,MATCH(B810,'Cashier Roster'!$B$5:$B$64,0)),"Not on roster"))</f>
        <v/>
      </c>
      <c r="D810" s="12" t="str">
        <f>IF(B810="","",IFERROR(INDEX('Cashier Roster'!$D$5:$D$64,MATCH(B810,'Cashier Roster'!$B$5:$B$64,0)),""))</f>
        <v/>
      </c>
      <c r="E810" s="13"/>
      <c r="F810" s="14"/>
      <c r="G810" s="8" t="str">
        <f>IF(OR(B810="",E810=""),"",IF(E810="No","Missed",IF(F810="","",IF(F810&lt;=Settings!$B$7,"On time","Late"))))</f>
        <v/>
      </c>
      <c r="H810" s="15"/>
      <c r="I810" s="16"/>
      <c r="J810" s="16"/>
      <c r="K810" s="17" t="str">
        <f>IF(J810="","",ROUND(J810*Settings!$B$8,2))</f>
        <v/>
      </c>
      <c r="L810" s="16"/>
      <c r="M810" s="8" t="str">
        <f t="shared" si="12"/>
        <v/>
      </c>
      <c r="N810" s="9"/>
    </row>
    <row r="811" spans="1:14" ht="15.75">
      <c r="A811" s="11"/>
      <c r="B811" s="9"/>
      <c r="C811" s="12" t="str">
        <f>IF(B811="","",IFERROR(INDEX('Cashier Roster'!$C$5:$C$64,MATCH(B811,'Cashier Roster'!$B$5:$B$64,0)),"Not on roster"))</f>
        <v/>
      </c>
      <c r="D811" s="12" t="str">
        <f>IF(B811="","",IFERROR(INDEX('Cashier Roster'!$D$5:$D$64,MATCH(B811,'Cashier Roster'!$B$5:$B$64,0)),""))</f>
        <v/>
      </c>
      <c r="E811" s="13"/>
      <c r="F811" s="14"/>
      <c r="G811" s="8" t="str">
        <f>IF(OR(B811="",E811=""),"",IF(E811="No","Missed",IF(F811="","",IF(F811&lt;=Settings!$B$7,"On time","Late"))))</f>
        <v/>
      </c>
      <c r="H811" s="15"/>
      <c r="I811" s="16"/>
      <c r="J811" s="16"/>
      <c r="K811" s="17" t="str">
        <f>IF(J811="","",ROUND(J811*Settings!$B$8,2))</f>
        <v/>
      </c>
      <c r="L811" s="16"/>
      <c r="M811" s="8" t="str">
        <f t="shared" si="12"/>
        <v/>
      </c>
      <c r="N811" s="9"/>
    </row>
    <row r="812" spans="1:14" ht="15.75">
      <c r="A812" s="11"/>
      <c r="B812" s="9"/>
      <c r="C812" s="12" t="str">
        <f>IF(B812="","",IFERROR(INDEX('Cashier Roster'!$C$5:$C$64,MATCH(B812,'Cashier Roster'!$B$5:$B$64,0)),"Not on roster"))</f>
        <v/>
      </c>
      <c r="D812" s="12" t="str">
        <f>IF(B812="","",IFERROR(INDEX('Cashier Roster'!$D$5:$D$64,MATCH(B812,'Cashier Roster'!$B$5:$B$64,0)),""))</f>
        <v/>
      </c>
      <c r="E812" s="13"/>
      <c r="F812" s="14"/>
      <c r="G812" s="8" t="str">
        <f>IF(OR(B812="",E812=""),"",IF(E812="No","Missed",IF(F812="","",IF(F812&lt;=Settings!$B$7,"On time","Late"))))</f>
        <v/>
      </c>
      <c r="H812" s="15"/>
      <c r="I812" s="16"/>
      <c r="J812" s="16"/>
      <c r="K812" s="17" t="str">
        <f>IF(J812="","",ROUND(J812*Settings!$B$8,2))</f>
        <v/>
      </c>
      <c r="L812" s="16"/>
      <c r="M812" s="8" t="str">
        <f t="shared" si="12"/>
        <v/>
      </c>
      <c r="N812" s="9"/>
    </row>
    <row r="813" spans="1:14" ht="15.75">
      <c r="A813" s="11"/>
      <c r="B813" s="9"/>
      <c r="C813" s="12" t="str">
        <f>IF(B813="","",IFERROR(INDEX('Cashier Roster'!$C$5:$C$64,MATCH(B813,'Cashier Roster'!$B$5:$B$64,0)),"Not on roster"))</f>
        <v/>
      </c>
      <c r="D813" s="12" t="str">
        <f>IF(B813="","",IFERROR(INDEX('Cashier Roster'!$D$5:$D$64,MATCH(B813,'Cashier Roster'!$B$5:$B$64,0)),""))</f>
        <v/>
      </c>
      <c r="E813" s="13"/>
      <c r="F813" s="14"/>
      <c r="G813" s="8" t="str">
        <f>IF(OR(B813="",E813=""),"",IF(E813="No","Missed",IF(F813="","",IF(F813&lt;=Settings!$B$7,"On time","Late"))))</f>
        <v/>
      </c>
      <c r="H813" s="15"/>
      <c r="I813" s="16"/>
      <c r="J813" s="16"/>
      <c r="K813" s="17" t="str">
        <f>IF(J813="","",ROUND(J813*Settings!$B$8,2))</f>
        <v/>
      </c>
      <c r="L813" s="16"/>
      <c r="M813" s="8" t="str">
        <f t="shared" si="12"/>
        <v/>
      </c>
      <c r="N813" s="9"/>
    </row>
    <row r="814" spans="1:14" ht="15.75">
      <c r="A814" s="11"/>
      <c r="B814" s="9"/>
      <c r="C814" s="12" t="str">
        <f>IF(B814="","",IFERROR(INDEX('Cashier Roster'!$C$5:$C$64,MATCH(B814,'Cashier Roster'!$B$5:$B$64,0)),"Not on roster"))</f>
        <v/>
      </c>
      <c r="D814" s="12" t="str">
        <f>IF(B814="","",IFERROR(INDEX('Cashier Roster'!$D$5:$D$64,MATCH(B814,'Cashier Roster'!$B$5:$B$64,0)),""))</f>
        <v/>
      </c>
      <c r="E814" s="13"/>
      <c r="F814" s="14"/>
      <c r="G814" s="8" t="str">
        <f>IF(OR(B814="",E814=""),"",IF(E814="No","Missed",IF(F814="","",IF(F814&lt;=Settings!$B$7,"On time","Late"))))</f>
        <v/>
      </c>
      <c r="H814" s="15"/>
      <c r="I814" s="16"/>
      <c r="J814" s="16"/>
      <c r="K814" s="17" t="str">
        <f>IF(J814="","",ROUND(J814*Settings!$B$8,2))</f>
        <v/>
      </c>
      <c r="L814" s="16"/>
      <c r="M814" s="8" t="str">
        <f t="shared" si="12"/>
        <v/>
      </c>
      <c r="N814" s="9"/>
    </row>
    <row r="815" spans="1:14" ht="15.75">
      <c r="A815" s="11"/>
      <c r="B815" s="9"/>
      <c r="C815" s="12" t="str">
        <f>IF(B815="","",IFERROR(INDEX('Cashier Roster'!$C$5:$C$64,MATCH(B815,'Cashier Roster'!$B$5:$B$64,0)),"Not on roster"))</f>
        <v/>
      </c>
      <c r="D815" s="12" t="str">
        <f>IF(B815="","",IFERROR(INDEX('Cashier Roster'!$D$5:$D$64,MATCH(B815,'Cashier Roster'!$B$5:$B$64,0)),""))</f>
        <v/>
      </c>
      <c r="E815" s="13"/>
      <c r="F815" s="14"/>
      <c r="G815" s="8" t="str">
        <f>IF(OR(B815="",E815=""),"",IF(E815="No","Missed",IF(F815="","",IF(F815&lt;=Settings!$B$7,"On time","Late"))))</f>
        <v/>
      </c>
      <c r="H815" s="15"/>
      <c r="I815" s="16"/>
      <c r="J815" s="16"/>
      <c r="K815" s="17" t="str">
        <f>IF(J815="","",ROUND(J815*Settings!$B$8,2))</f>
        <v/>
      </c>
      <c r="L815" s="16"/>
      <c r="M815" s="8" t="str">
        <f t="shared" si="12"/>
        <v/>
      </c>
      <c r="N815" s="9"/>
    </row>
    <row r="816" spans="1:14" ht="15.75">
      <c r="A816" s="11"/>
      <c r="B816" s="9"/>
      <c r="C816" s="12" t="str">
        <f>IF(B816="","",IFERROR(INDEX('Cashier Roster'!$C$5:$C$64,MATCH(B816,'Cashier Roster'!$B$5:$B$64,0)),"Not on roster"))</f>
        <v/>
      </c>
      <c r="D816" s="12" t="str">
        <f>IF(B816="","",IFERROR(INDEX('Cashier Roster'!$D$5:$D$64,MATCH(B816,'Cashier Roster'!$B$5:$B$64,0)),""))</f>
        <v/>
      </c>
      <c r="E816" s="13"/>
      <c r="F816" s="14"/>
      <c r="G816" s="8" t="str">
        <f>IF(OR(B816="",E816=""),"",IF(E816="No","Missed",IF(F816="","",IF(F816&lt;=Settings!$B$7,"On time","Late"))))</f>
        <v/>
      </c>
      <c r="H816" s="15"/>
      <c r="I816" s="16"/>
      <c r="J816" s="16"/>
      <c r="K816" s="17" t="str">
        <f>IF(J816="","",ROUND(J816*Settings!$B$8,2))</f>
        <v/>
      </c>
      <c r="L816" s="16"/>
      <c r="M816" s="8" t="str">
        <f t="shared" si="12"/>
        <v/>
      </c>
      <c r="N816" s="9"/>
    </row>
    <row r="817" spans="1:14" ht="15.75">
      <c r="A817" s="11"/>
      <c r="B817" s="9"/>
      <c r="C817" s="12" t="str">
        <f>IF(B817="","",IFERROR(INDEX('Cashier Roster'!$C$5:$C$64,MATCH(B817,'Cashier Roster'!$B$5:$B$64,0)),"Not on roster"))</f>
        <v/>
      </c>
      <c r="D817" s="12" t="str">
        <f>IF(B817="","",IFERROR(INDEX('Cashier Roster'!$D$5:$D$64,MATCH(B817,'Cashier Roster'!$B$5:$B$64,0)),""))</f>
        <v/>
      </c>
      <c r="E817" s="13"/>
      <c r="F817" s="14"/>
      <c r="G817" s="8" t="str">
        <f>IF(OR(B817="",E817=""),"",IF(E817="No","Missed",IF(F817="","",IF(F817&lt;=Settings!$B$7,"On time","Late"))))</f>
        <v/>
      </c>
      <c r="H817" s="15"/>
      <c r="I817" s="16"/>
      <c r="J817" s="16"/>
      <c r="K817" s="17" t="str">
        <f>IF(J817="","",ROUND(J817*Settings!$B$8,2))</f>
        <v/>
      </c>
      <c r="L817" s="16"/>
      <c r="M817" s="8" t="str">
        <f t="shared" si="12"/>
        <v/>
      </c>
      <c r="N817" s="9"/>
    </row>
    <row r="818" spans="1:14" ht="15.75">
      <c r="A818" s="11"/>
      <c r="B818" s="9"/>
      <c r="C818" s="12" t="str">
        <f>IF(B818="","",IFERROR(INDEX('Cashier Roster'!$C$5:$C$64,MATCH(B818,'Cashier Roster'!$B$5:$B$64,0)),"Not on roster"))</f>
        <v/>
      </c>
      <c r="D818" s="12" t="str">
        <f>IF(B818="","",IFERROR(INDEX('Cashier Roster'!$D$5:$D$64,MATCH(B818,'Cashier Roster'!$B$5:$B$64,0)),""))</f>
        <v/>
      </c>
      <c r="E818" s="13"/>
      <c r="F818" s="14"/>
      <c r="G818" s="8" t="str">
        <f>IF(OR(B818="",E818=""),"",IF(E818="No","Missed",IF(F818="","",IF(F818&lt;=Settings!$B$7,"On time","Late"))))</f>
        <v/>
      </c>
      <c r="H818" s="15"/>
      <c r="I818" s="16"/>
      <c r="J818" s="16"/>
      <c r="K818" s="17" t="str">
        <f>IF(J818="","",ROUND(J818*Settings!$B$8,2))</f>
        <v/>
      </c>
      <c r="L818" s="16"/>
      <c r="M818" s="8" t="str">
        <f t="shared" si="12"/>
        <v/>
      </c>
      <c r="N818" s="9"/>
    </row>
    <row r="819" spans="1:14" ht="15.75">
      <c r="A819" s="11"/>
      <c r="B819" s="9"/>
      <c r="C819" s="12" t="str">
        <f>IF(B819="","",IFERROR(INDEX('Cashier Roster'!$C$5:$C$64,MATCH(B819,'Cashier Roster'!$B$5:$B$64,0)),"Not on roster"))</f>
        <v/>
      </c>
      <c r="D819" s="12" t="str">
        <f>IF(B819="","",IFERROR(INDEX('Cashier Roster'!$D$5:$D$64,MATCH(B819,'Cashier Roster'!$B$5:$B$64,0)),""))</f>
        <v/>
      </c>
      <c r="E819" s="13"/>
      <c r="F819" s="14"/>
      <c r="G819" s="8" t="str">
        <f>IF(OR(B819="",E819=""),"",IF(E819="No","Missed",IF(F819="","",IF(F819&lt;=Settings!$B$7,"On time","Late"))))</f>
        <v/>
      </c>
      <c r="H819" s="15"/>
      <c r="I819" s="16"/>
      <c r="J819" s="16"/>
      <c r="K819" s="17" t="str">
        <f>IF(J819="","",ROUND(J819*Settings!$B$8,2))</f>
        <v/>
      </c>
      <c r="L819" s="16"/>
      <c r="M819" s="8" t="str">
        <f t="shared" si="12"/>
        <v/>
      </c>
      <c r="N819" s="9"/>
    </row>
    <row r="820" spans="1:14" ht="15.75">
      <c r="A820" s="11"/>
      <c r="B820" s="9"/>
      <c r="C820" s="12" t="str">
        <f>IF(B820="","",IFERROR(INDEX('Cashier Roster'!$C$5:$C$64,MATCH(B820,'Cashier Roster'!$B$5:$B$64,0)),"Not on roster"))</f>
        <v/>
      </c>
      <c r="D820" s="12" t="str">
        <f>IF(B820="","",IFERROR(INDEX('Cashier Roster'!$D$5:$D$64,MATCH(B820,'Cashier Roster'!$B$5:$B$64,0)),""))</f>
        <v/>
      </c>
      <c r="E820" s="13"/>
      <c r="F820" s="14"/>
      <c r="G820" s="8" t="str">
        <f>IF(OR(B820="",E820=""),"",IF(E820="No","Missed",IF(F820="","",IF(F820&lt;=Settings!$B$7,"On time","Late"))))</f>
        <v/>
      </c>
      <c r="H820" s="15"/>
      <c r="I820" s="16"/>
      <c r="J820" s="16"/>
      <c r="K820" s="17" t="str">
        <f>IF(J820="","",ROUND(J820*Settings!$B$8,2))</f>
        <v/>
      </c>
      <c r="L820" s="16"/>
      <c r="M820" s="8" t="str">
        <f t="shared" si="12"/>
        <v/>
      </c>
      <c r="N820" s="9"/>
    </row>
    <row r="821" spans="1:14" ht="15.75">
      <c r="A821" s="11"/>
      <c r="B821" s="9"/>
      <c r="C821" s="12" t="str">
        <f>IF(B821="","",IFERROR(INDEX('Cashier Roster'!$C$5:$C$64,MATCH(B821,'Cashier Roster'!$B$5:$B$64,0)),"Not on roster"))</f>
        <v/>
      </c>
      <c r="D821" s="12" t="str">
        <f>IF(B821="","",IFERROR(INDEX('Cashier Roster'!$D$5:$D$64,MATCH(B821,'Cashier Roster'!$B$5:$B$64,0)),""))</f>
        <v/>
      </c>
      <c r="E821" s="13"/>
      <c r="F821" s="14"/>
      <c r="G821" s="8" t="str">
        <f>IF(OR(B821="",E821=""),"",IF(E821="No","Missed",IF(F821="","",IF(F821&lt;=Settings!$B$7,"On time","Late"))))</f>
        <v/>
      </c>
      <c r="H821" s="15"/>
      <c r="I821" s="16"/>
      <c r="J821" s="16"/>
      <c r="K821" s="17" t="str">
        <f>IF(J821="","",ROUND(J821*Settings!$B$8,2))</f>
        <v/>
      </c>
      <c r="L821" s="16"/>
      <c r="M821" s="8" t="str">
        <f t="shared" si="12"/>
        <v/>
      </c>
      <c r="N821" s="9"/>
    </row>
    <row r="822" spans="1:14" ht="15.75">
      <c r="A822" s="11"/>
      <c r="B822" s="9"/>
      <c r="C822" s="12" t="str">
        <f>IF(B822="","",IFERROR(INDEX('Cashier Roster'!$C$5:$C$64,MATCH(B822,'Cashier Roster'!$B$5:$B$64,0)),"Not on roster"))</f>
        <v/>
      </c>
      <c r="D822" s="12" t="str">
        <f>IF(B822="","",IFERROR(INDEX('Cashier Roster'!$D$5:$D$64,MATCH(B822,'Cashier Roster'!$B$5:$B$64,0)),""))</f>
        <v/>
      </c>
      <c r="E822" s="13"/>
      <c r="F822" s="14"/>
      <c r="G822" s="8" t="str">
        <f>IF(OR(B822="",E822=""),"",IF(E822="No","Missed",IF(F822="","",IF(F822&lt;=Settings!$B$7,"On time","Late"))))</f>
        <v/>
      </c>
      <c r="H822" s="15"/>
      <c r="I822" s="16"/>
      <c r="J822" s="16"/>
      <c r="K822" s="17" t="str">
        <f>IF(J822="","",ROUND(J822*Settings!$B$8,2))</f>
        <v/>
      </c>
      <c r="L822" s="16"/>
      <c r="M822" s="8" t="str">
        <f t="shared" si="12"/>
        <v/>
      </c>
      <c r="N822" s="9"/>
    </row>
    <row r="823" spans="1:14" ht="15.75">
      <c r="A823" s="11"/>
      <c r="B823" s="9"/>
      <c r="C823" s="12" t="str">
        <f>IF(B823="","",IFERROR(INDEX('Cashier Roster'!$C$5:$C$64,MATCH(B823,'Cashier Roster'!$B$5:$B$64,0)),"Not on roster"))</f>
        <v/>
      </c>
      <c r="D823" s="12" t="str">
        <f>IF(B823="","",IFERROR(INDEX('Cashier Roster'!$D$5:$D$64,MATCH(B823,'Cashier Roster'!$B$5:$B$64,0)),""))</f>
        <v/>
      </c>
      <c r="E823" s="13"/>
      <c r="F823" s="14"/>
      <c r="G823" s="8" t="str">
        <f>IF(OR(B823="",E823=""),"",IF(E823="No","Missed",IF(F823="","",IF(F823&lt;=Settings!$B$7,"On time","Late"))))</f>
        <v/>
      </c>
      <c r="H823" s="15"/>
      <c r="I823" s="16"/>
      <c r="J823" s="16"/>
      <c r="K823" s="17" t="str">
        <f>IF(J823="","",ROUND(J823*Settings!$B$8,2))</f>
        <v/>
      </c>
      <c r="L823" s="16"/>
      <c r="M823" s="8" t="str">
        <f t="shared" si="12"/>
        <v/>
      </c>
      <c r="N823" s="9"/>
    </row>
    <row r="824" spans="1:14" ht="15.75">
      <c r="A824" s="11"/>
      <c r="B824" s="9"/>
      <c r="C824" s="12" t="str">
        <f>IF(B824="","",IFERROR(INDEX('Cashier Roster'!$C$5:$C$64,MATCH(B824,'Cashier Roster'!$B$5:$B$64,0)),"Not on roster"))</f>
        <v/>
      </c>
      <c r="D824" s="12" t="str">
        <f>IF(B824="","",IFERROR(INDEX('Cashier Roster'!$D$5:$D$64,MATCH(B824,'Cashier Roster'!$B$5:$B$64,0)),""))</f>
        <v/>
      </c>
      <c r="E824" s="13"/>
      <c r="F824" s="14"/>
      <c r="G824" s="8" t="str">
        <f>IF(OR(B824="",E824=""),"",IF(E824="No","Missed",IF(F824="","",IF(F824&lt;=Settings!$B$7,"On time","Late"))))</f>
        <v/>
      </c>
      <c r="H824" s="15"/>
      <c r="I824" s="16"/>
      <c r="J824" s="16"/>
      <c r="K824" s="17" t="str">
        <f>IF(J824="","",ROUND(J824*Settings!$B$8,2))</f>
        <v/>
      </c>
      <c r="L824" s="16"/>
      <c r="M824" s="8" t="str">
        <f t="shared" si="12"/>
        <v/>
      </c>
      <c r="N824" s="9"/>
    </row>
    <row r="825" spans="1:14" ht="15.75">
      <c r="A825" s="11"/>
      <c r="B825" s="9"/>
      <c r="C825" s="12" t="str">
        <f>IF(B825="","",IFERROR(INDEX('Cashier Roster'!$C$5:$C$64,MATCH(B825,'Cashier Roster'!$B$5:$B$64,0)),"Not on roster"))</f>
        <v/>
      </c>
      <c r="D825" s="12" t="str">
        <f>IF(B825="","",IFERROR(INDEX('Cashier Roster'!$D$5:$D$64,MATCH(B825,'Cashier Roster'!$B$5:$B$64,0)),""))</f>
        <v/>
      </c>
      <c r="E825" s="13"/>
      <c r="F825" s="14"/>
      <c r="G825" s="8" t="str">
        <f>IF(OR(B825="",E825=""),"",IF(E825="No","Missed",IF(F825="","",IF(F825&lt;=Settings!$B$7,"On time","Late"))))</f>
        <v/>
      </c>
      <c r="H825" s="15"/>
      <c r="I825" s="16"/>
      <c r="J825" s="16"/>
      <c r="K825" s="17" t="str">
        <f>IF(J825="","",ROUND(J825*Settings!$B$8,2))</f>
        <v/>
      </c>
      <c r="L825" s="16"/>
      <c r="M825" s="8" t="str">
        <f t="shared" si="12"/>
        <v/>
      </c>
      <c r="N825" s="9"/>
    </row>
    <row r="826" spans="1:14" ht="15.75">
      <c r="A826" s="11"/>
      <c r="B826" s="9"/>
      <c r="C826" s="12" t="str">
        <f>IF(B826="","",IFERROR(INDEX('Cashier Roster'!$C$5:$C$64,MATCH(B826,'Cashier Roster'!$B$5:$B$64,0)),"Not on roster"))</f>
        <v/>
      </c>
      <c r="D826" s="12" t="str">
        <f>IF(B826="","",IFERROR(INDEX('Cashier Roster'!$D$5:$D$64,MATCH(B826,'Cashier Roster'!$B$5:$B$64,0)),""))</f>
        <v/>
      </c>
      <c r="E826" s="13"/>
      <c r="F826" s="14"/>
      <c r="G826" s="8" t="str">
        <f>IF(OR(B826="",E826=""),"",IF(E826="No","Missed",IF(F826="","",IF(F826&lt;=Settings!$B$7,"On time","Late"))))</f>
        <v/>
      </c>
      <c r="H826" s="15"/>
      <c r="I826" s="16"/>
      <c r="J826" s="16"/>
      <c r="K826" s="17" t="str">
        <f>IF(J826="","",ROUND(J826*Settings!$B$8,2))</f>
        <v/>
      </c>
      <c r="L826" s="16"/>
      <c r="M826" s="8" t="str">
        <f t="shared" si="12"/>
        <v/>
      </c>
      <c r="N826" s="9"/>
    </row>
    <row r="827" spans="1:14" ht="15.75">
      <c r="A827" s="11"/>
      <c r="B827" s="9"/>
      <c r="C827" s="12" t="str">
        <f>IF(B827="","",IFERROR(INDEX('Cashier Roster'!$C$5:$C$64,MATCH(B827,'Cashier Roster'!$B$5:$B$64,0)),"Not on roster"))</f>
        <v/>
      </c>
      <c r="D827" s="12" t="str">
        <f>IF(B827="","",IFERROR(INDEX('Cashier Roster'!$D$5:$D$64,MATCH(B827,'Cashier Roster'!$B$5:$B$64,0)),""))</f>
        <v/>
      </c>
      <c r="E827" s="13"/>
      <c r="F827" s="14"/>
      <c r="G827" s="8" t="str">
        <f>IF(OR(B827="",E827=""),"",IF(E827="No","Missed",IF(F827="","",IF(F827&lt;=Settings!$B$7,"On time","Late"))))</f>
        <v/>
      </c>
      <c r="H827" s="15"/>
      <c r="I827" s="16"/>
      <c r="J827" s="16"/>
      <c r="K827" s="17" t="str">
        <f>IF(J827="","",ROUND(J827*Settings!$B$8,2))</f>
        <v/>
      </c>
      <c r="L827" s="16"/>
      <c r="M827" s="8" t="str">
        <f t="shared" si="12"/>
        <v/>
      </c>
      <c r="N827" s="9"/>
    </row>
    <row r="828" spans="1:14" ht="15.75">
      <c r="A828" s="11"/>
      <c r="B828" s="9"/>
      <c r="C828" s="12" t="str">
        <f>IF(B828="","",IFERROR(INDEX('Cashier Roster'!$C$5:$C$64,MATCH(B828,'Cashier Roster'!$B$5:$B$64,0)),"Not on roster"))</f>
        <v/>
      </c>
      <c r="D828" s="12" t="str">
        <f>IF(B828="","",IFERROR(INDEX('Cashier Roster'!$D$5:$D$64,MATCH(B828,'Cashier Roster'!$B$5:$B$64,0)),""))</f>
        <v/>
      </c>
      <c r="E828" s="13"/>
      <c r="F828" s="14"/>
      <c r="G828" s="8" t="str">
        <f>IF(OR(B828="",E828=""),"",IF(E828="No","Missed",IF(F828="","",IF(F828&lt;=Settings!$B$7,"On time","Late"))))</f>
        <v/>
      </c>
      <c r="H828" s="15"/>
      <c r="I828" s="16"/>
      <c r="J828" s="16"/>
      <c r="K828" s="17" t="str">
        <f>IF(J828="","",ROUND(J828*Settings!$B$8,2))</f>
        <v/>
      </c>
      <c r="L828" s="16"/>
      <c r="M828" s="8" t="str">
        <f t="shared" si="12"/>
        <v/>
      </c>
      <c r="N828" s="9"/>
    </row>
    <row r="829" spans="1:14" ht="15.75">
      <c r="A829" s="11"/>
      <c r="B829" s="9"/>
      <c r="C829" s="12" t="str">
        <f>IF(B829="","",IFERROR(INDEX('Cashier Roster'!$C$5:$C$64,MATCH(B829,'Cashier Roster'!$B$5:$B$64,0)),"Not on roster"))</f>
        <v/>
      </c>
      <c r="D829" s="12" t="str">
        <f>IF(B829="","",IFERROR(INDEX('Cashier Roster'!$D$5:$D$64,MATCH(B829,'Cashier Roster'!$B$5:$B$64,0)),""))</f>
        <v/>
      </c>
      <c r="E829" s="13"/>
      <c r="F829" s="14"/>
      <c r="G829" s="8" t="str">
        <f>IF(OR(B829="",E829=""),"",IF(E829="No","Missed",IF(F829="","",IF(F829&lt;=Settings!$B$7,"On time","Late"))))</f>
        <v/>
      </c>
      <c r="H829" s="15"/>
      <c r="I829" s="16"/>
      <c r="J829" s="16"/>
      <c r="K829" s="17" t="str">
        <f>IF(J829="","",ROUND(J829*Settings!$B$8,2))</f>
        <v/>
      </c>
      <c r="L829" s="16"/>
      <c r="M829" s="8" t="str">
        <f t="shared" si="12"/>
        <v/>
      </c>
      <c r="N829" s="9"/>
    </row>
    <row r="830" spans="1:14" ht="15.75">
      <c r="A830" s="11"/>
      <c r="B830" s="9"/>
      <c r="C830" s="12" t="str">
        <f>IF(B830="","",IFERROR(INDEX('Cashier Roster'!$C$5:$C$64,MATCH(B830,'Cashier Roster'!$B$5:$B$64,0)),"Not on roster"))</f>
        <v/>
      </c>
      <c r="D830" s="12" t="str">
        <f>IF(B830="","",IFERROR(INDEX('Cashier Roster'!$D$5:$D$64,MATCH(B830,'Cashier Roster'!$B$5:$B$64,0)),""))</f>
        <v/>
      </c>
      <c r="E830" s="13"/>
      <c r="F830" s="14"/>
      <c r="G830" s="8" t="str">
        <f>IF(OR(B830="",E830=""),"",IF(E830="No","Missed",IF(F830="","",IF(F830&lt;=Settings!$B$7,"On time","Late"))))</f>
        <v/>
      </c>
      <c r="H830" s="15"/>
      <c r="I830" s="16"/>
      <c r="J830" s="16"/>
      <c r="K830" s="17" t="str">
        <f>IF(J830="","",ROUND(J830*Settings!$B$8,2))</f>
        <v/>
      </c>
      <c r="L830" s="16"/>
      <c r="M830" s="8" t="str">
        <f t="shared" si="12"/>
        <v/>
      </c>
      <c r="N830" s="9"/>
    </row>
    <row r="831" spans="1:14" ht="15.75">
      <c r="A831" s="11"/>
      <c r="B831" s="9"/>
      <c r="C831" s="12" t="str">
        <f>IF(B831="","",IFERROR(INDEX('Cashier Roster'!$C$5:$C$64,MATCH(B831,'Cashier Roster'!$B$5:$B$64,0)),"Not on roster"))</f>
        <v/>
      </c>
      <c r="D831" s="12" t="str">
        <f>IF(B831="","",IFERROR(INDEX('Cashier Roster'!$D$5:$D$64,MATCH(B831,'Cashier Roster'!$B$5:$B$64,0)),""))</f>
        <v/>
      </c>
      <c r="E831" s="13"/>
      <c r="F831" s="14"/>
      <c r="G831" s="8" t="str">
        <f>IF(OR(B831="",E831=""),"",IF(E831="No","Missed",IF(F831="","",IF(F831&lt;=Settings!$B$7,"On time","Late"))))</f>
        <v/>
      </c>
      <c r="H831" s="15"/>
      <c r="I831" s="16"/>
      <c r="J831" s="16"/>
      <c r="K831" s="17" t="str">
        <f>IF(J831="","",ROUND(J831*Settings!$B$8,2))</f>
        <v/>
      </c>
      <c r="L831" s="16"/>
      <c r="M831" s="8" t="str">
        <f t="shared" si="12"/>
        <v/>
      </c>
      <c r="N831" s="9"/>
    </row>
    <row r="832" spans="1:14" ht="15.75">
      <c r="A832" s="11"/>
      <c r="B832" s="9"/>
      <c r="C832" s="12" t="str">
        <f>IF(B832="","",IFERROR(INDEX('Cashier Roster'!$C$5:$C$64,MATCH(B832,'Cashier Roster'!$B$5:$B$64,0)),"Not on roster"))</f>
        <v/>
      </c>
      <c r="D832" s="12" t="str">
        <f>IF(B832="","",IFERROR(INDEX('Cashier Roster'!$D$5:$D$64,MATCH(B832,'Cashier Roster'!$B$5:$B$64,0)),""))</f>
        <v/>
      </c>
      <c r="E832" s="13"/>
      <c r="F832" s="14"/>
      <c r="G832" s="8" t="str">
        <f>IF(OR(B832="",E832=""),"",IF(E832="No","Missed",IF(F832="","",IF(F832&lt;=Settings!$B$7,"On time","Late"))))</f>
        <v/>
      </c>
      <c r="H832" s="15"/>
      <c r="I832" s="16"/>
      <c r="J832" s="16"/>
      <c r="K832" s="17" t="str">
        <f>IF(J832="","",ROUND(J832*Settings!$B$8,2))</f>
        <v/>
      </c>
      <c r="L832" s="16"/>
      <c r="M832" s="8" t="str">
        <f t="shared" si="12"/>
        <v/>
      </c>
      <c r="N832" s="9"/>
    </row>
    <row r="833" spans="1:14" ht="15.75">
      <c r="A833" s="11"/>
      <c r="B833" s="9"/>
      <c r="C833" s="12" t="str">
        <f>IF(B833="","",IFERROR(INDEX('Cashier Roster'!$C$5:$C$64,MATCH(B833,'Cashier Roster'!$B$5:$B$64,0)),"Not on roster"))</f>
        <v/>
      </c>
      <c r="D833" s="12" t="str">
        <f>IF(B833="","",IFERROR(INDEX('Cashier Roster'!$D$5:$D$64,MATCH(B833,'Cashier Roster'!$B$5:$B$64,0)),""))</f>
        <v/>
      </c>
      <c r="E833" s="13"/>
      <c r="F833" s="14"/>
      <c r="G833" s="8" t="str">
        <f>IF(OR(B833="",E833=""),"",IF(E833="No","Missed",IF(F833="","",IF(F833&lt;=Settings!$B$7,"On time","Late"))))</f>
        <v/>
      </c>
      <c r="H833" s="15"/>
      <c r="I833" s="16"/>
      <c r="J833" s="16"/>
      <c r="K833" s="17" t="str">
        <f>IF(J833="","",ROUND(J833*Settings!$B$8,2))</f>
        <v/>
      </c>
      <c r="L833" s="16"/>
      <c r="M833" s="8" t="str">
        <f t="shared" si="12"/>
        <v/>
      </c>
      <c r="N833" s="9"/>
    </row>
    <row r="834" spans="1:14" ht="15.75">
      <c r="A834" s="11"/>
      <c r="B834" s="9"/>
      <c r="C834" s="12" t="str">
        <f>IF(B834="","",IFERROR(INDEX('Cashier Roster'!$C$5:$C$64,MATCH(B834,'Cashier Roster'!$B$5:$B$64,0)),"Not on roster"))</f>
        <v/>
      </c>
      <c r="D834" s="12" t="str">
        <f>IF(B834="","",IFERROR(INDEX('Cashier Roster'!$D$5:$D$64,MATCH(B834,'Cashier Roster'!$B$5:$B$64,0)),""))</f>
        <v/>
      </c>
      <c r="E834" s="13"/>
      <c r="F834" s="14"/>
      <c r="G834" s="8" t="str">
        <f>IF(OR(B834="",E834=""),"",IF(E834="No","Missed",IF(F834="","",IF(F834&lt;=Settings!$B$7,"On time","Late"))))</f>
        <v/>
      </c>
      <c r="H834" s="15"/>
      <c r="I834" s="16"/>
      <c r="J834" s="16"/>
      <c r="K834" s="17" t="str">
        <f>IF(J834="","",ROUND(J834*Settings!$B$8,2))</f>
        <v/>
      </c>
      <c r="L834" s="16"/>
      <c r="M834" s="8" t="str">
        <f t="shared" si="12"/>
        <v/>
      </c>
      <c r="N834" s="9"/>
    </row>
    <row r="835" spans="1:14" ht="15.75">
      <c r="A835" s="11"/>
      <c r="B835" s="9"/>
      <c r="C835" s="12" t="str">
        <f>IF(B835="","",IFERROR(INDEX('Cashier Roster'!$C$5:$C$64,MATCH(B835,'Cashier Roster'!$B$5:$B$64,0)),"Not on roster"))</f>
        <v/>
      </c>
      <c r="D835" s="12" t="str">
        <f>IF(B835="","",IFERROR(INDEX('Cashier Roster'!$D$5:$D$64,MATCH(B835,'Cashier Roster'!$B$5:$B$64,0)),""))</f>
        <v/>
      </c>
      <c r="E835" s="13"/>
      <c r="F835" s="14"/>
      <c r="G835" s="8" t="str">
        <f>IF(OR(B835="",E835=""),"",IF(E835="No","Missed",IF(F835="","",IF(F835&lt;=Settings!$B$7,"On time","Late"))))</f>
        <v/>
      </c>
      <c r="H835" s="15"/>
      <c r="I835" s="16"/>
      <c r="J835" s="16"/>
      <c r="K835" s="17" t="str">
        <f>IF(J835="","",ROUND(J835*Settings!$B$8,2))</f>
        <v/>
      </c>
      <c r="L835" s="16"/>
      <c r="M835" s="8" t="str">
        <f t="shared" si="12"/>
        <v/>
      </c>
      <c r="N835" s="9"/>
    </row>
    <row r="836" spans="1:14" ht="15.75">
      <c r="A836" s="11"/>
      <c r="B836" s="9"/>
      <c r="C836" s="12" t="str">
        <f>IF(B836="","",IFERROR(INDEX('Cashier Roster'!$C$5:$C$64,MATCH(B836,'Cashier Roster'!$B$5:$B$64,0)),"Not on roster"))</f>
        <v/>
      </c>
      <c r="D836" s="12" t="str">
        <f>IF(B836="","",IFERROR(INDEX('Cashier Roster'!$D$5:$D$64,MATCH(B836,'Cashier Roster'!$B$5:$B$64,0)),""))</f>
        <v/>
      </c>
      <c r="E836" s="13"/>
      <c r="F836" s="14"/>
      <c r="G836" s="8" t="str">
        <f>IF(OR(B836="",E836=""),"",IF(E836="No","Missed",IF(F836="","",IF(F836&lt;=Settings!$B$7,"On time","Late"))))</f>
        <v/>
      </c>
      <c r="H836" s="15"/>
      <c r="I836" s="16"/>
      <c r="J836" s="16"/>
      <c r="K836" s="17" t="str">
        <f>IF(J836="","",ROUND(J836*Settings!$B$8,2))</f>
        <v/>
      </c>
      <c r="L836" s="16"/>
      <c r="M836" s="8" t="str">
        <f t="shared" si="12"/>
        <v/>
      </c>
      <c r="N836" s="9"/>
    </row>
    <row r="837" spans="1:14" ht="15.75">
      <c r="A837" s="11"/>
      <c r="B837" s="9"/>
      <c r="C837" s="12" t="str">
        <f>IF(B837="","",IFERROR(INDEX('Cashier Roster'!$C$5:$C$64,MATCH(B837,'Cashier Roster'!$B$5:$B$64,0)),"Not on roster"))</f>
        <v/>
      </c>
      <c r="D837" s="12" t="str">
        <f>IF(B837="","",IFERROR(INDEX('Cashier Roster'!$D$5:$D$64,MATCH(B837,'Cashier Roster'!$B$5:$B$64,0)),""))</f>
        <v/>
      </c>
      <c r="E837" s="13"/>
      <c r="F837" s="14"/>
      <c r="G837" s="8" t="str">
        <f>IF(OR(B837="",E837=""),"",IF(E837="No","Missed",IF(F837="","",IF(F837&lt;=Settings!$B$7,"On time","Late"))))</f>
        <v/>
      </c>
      <c r="H837" s="15"/>
      <c r="I837" s="16"/>
      <c r="J837" s="16"/>
      <c r="K837" s="17" t="str">
        <f>IF(J837="","",ROUND(J837*Settings!$B$8,2))</f>
        <v/>
      </c>
      <c r="L837" s="16"/>
      <c r="M837" s="8" t="str">
        <f t="shared" ref="M837:M900" si="13">IF(L837="","",IF(L837&lt;=0,"Yes","No"))</f>
        <v/>
      </c>
      <c r="N837" s="9"/>
    </row>
    <row r="838" spans="1:14" ht="15.75">
      <c r="A838" s="11"/>
      <c r="B838" s="9"/>
      <c r="C838" s="12" t="str">
        <f>IF(B838="","",IFERROR(INDEX('Cashier Roster'!$C$5:$C$64,MATCH(B838,'Cashier Roster'!$B$5:$B$64,0)),"Not on roster"))</f>
        <v/>
      </c>
      <c r="D838" s="12" t="str">
        <f>IF(B838="","",IFERROR(INDEX('Cashier Roster'!$D$5:$D$64,MATCH(B838,'Cashier Roster'!$B$5:$B$64,0)),""))</f>
        <v/>
      </c>
      <c r="E838" s="13"/>
      <c r="F838" s="14"/>
      <c r="G838" s="8" t="str">
        <f>IF(OR(B838="",E838=""),"",IF(E838="No","Missed",IF(F838="","",IF(F838&lt;=Settings!$B$7,"On time","Late"))))</f>
        <v/>
      </c>
      <c r="H838" s="15"/>
      <c r="I838" s="16"/>
      <c r="J838" s="16"/>
      <c r="K838" s="17" t="str">
        <f>IF(J838="","",ROUND(J838*Settings!$B$8,2))</f>
        <v/>
      </c>
      <c r="L838" s="16"/>
      <c r="M838" s="8" t="str">
        <f t="shared" si="13"/>
        <v/>
      </c>
      <c r="N838" s="9"/>
    </row>
    <row r="839" spans="1:14" ht="15.75">
      <c r="A839" s="11"/>
      <c r="B839" s="9"/>
      <c r="C839" s="12" t="str">
        <f>IF(B839="","",IFERROR(INDEX('Cashier Roster'!$C$5:$C$64,MATCH(B839,'Cashier Roster'!$B$5:$B$64,0)),"Not on roster"))</f>
        <v/>
      </c>
      <c r="D839" s="12" t="str">
        <f>IF(B839="","",IFERROR(INDEX('Cashier Roster'!$D$5:$D$64,MATCH(B839,'Cashier Roster'!$B$5:$B$64,0)),""))</f>
        <v/>
      </c>
      <c r="E839" s="13"/>
      <c r="F839" s="14"/>
      <c r="G839" s="8" t="str">
        <f>IF(OR(B839="",E839=""),"",IF(E839="No","Missed",IF(F839="","",IF(F839&lt;=Settings!$B$7,"On time","Late"))))</f>
        <v/>
      </c>
      <c r="H839" s="15"/>
      <c r="I839" s="16"/>
      <c r="J839" s="16"/>
      <c r="K839" s="17" t="str">
        <f>IF(J839="","",ROUND(J839*Settings!$B$8,2))</f>
        <v/>
      </c>
      <c r="L839" s="16"/>
      <c r="M839" s="8" t="str">
        <f t="shared" si="13"/>
        <v/>
      </c>
      <c r="N839" s="9"/>
    </row>
    <row r="840" spans="1:14" ht="15.75">
      <c r="A840" s="11"/>
      <c r="B840" s="9"/>
      <c r="C840" s="12" t="str">
        <f>IF(B840="","",IFERROR(INDEX('Cashier Roster'!$C$5:$C$64,MATCH(B840,'Cashier Roster'!$B$5:$B$64,0)),"Not on roster"))</f>
        <v/>
      </c>
      <c r="D840" s="12" t="str">
        <f>IF(B840="","",IFERROR(INDEX('Cashier Roster'!$D$5:$D$64,MATCH(B840,'Cashier Roster'!$B$5:$B$64,0)),""))</f>
        <v/>
      </c>
      <c r="E840" s="13"/>
      <c r="F840" s="14"/>
      <c r="G840" s="8" t="str">
        <f>IF(OR(B840="",E840=""),"",IF(E840="No","Missed",IF(F840="","",IF(F840&lt;=Settings!$B$7,"On time","Late"))))</f>
        <v/>
      </c>
      <c r="H840" s="15"/>
      <c r="I840" s="16"/>
      <c r="J840" s="16"/>
      <c r="K840" s="17" t="str">
        <f>IF(J840="","",ROUND(J840*Settings!$B$8,2))</f>
        <v/>
      </c>
      <c r="L840" s="16"/>
      <c r="M840" s="8" t="str">
        <f t="shared" si="13"/>
        <v/>
      </c>
      <c r="N840" s="9"/>
    </row>
    <row r="841" spans="1:14" ht="15.75">
      <c r="A841" s="11"/>
      <c r="B841" s="9"/>
      <c r="C841" s="12" t="str">
        <f>IF(B841="","",IFERROR(INDEX('Cashier Roster'!$C$5:$C$64,MATCH(B841,'Cashier Roster'!$B$5:$B$64,0)),"Not on roster"))</f>
        <v/>
      </c>
      <c r="D841" s="12" t="str">
        <f>IF(B841="","",IFERROR(INDEX('Cashier Roster'!$D$5:$D$64,MATCH(B841,'Cashier Roster'!$B$5:$B$64,0)),""))</f>
        <v/>
      </c>
      <c r="E841" s="13"/>
      <c r="F841" s="14"/>
      <c r="G841" s="8" t="str">
        <f>IF(OR(B841="",E841=""),"",IF(E841="No","Missed",IF(F841="","",IF(F841&lt;=Settings!$B$7,"On time","Late"))))</f>
        <v/>
      </c>
      <c r="H841" s="15"/>
      <c r="I841" s="16"/>
      <c r="J841" s="16"/>
      <c r="K841" s="17" t="str">
        <f>IF(J841="","",ROUND(J841*Settings!$B$8,2))</f>
        <v/>
      </c>
      <c r="L841" s="16"/>
      <c r="M841" s="8" t="str">
        <f t="shared" si="13"/>
        <v/>
      </c>
      <c r="N841" s="9"/>
    </row>
    <row r="842" spans="1:14" ht="15.75">
      <c r="A842" s="11"/>
      <c r="B842" s="9"/>
      <c r="C842" s="12" t="str">
        <f>IF(B842="","",IFERROR(INDEX('Cashier Roster'!$C$5:$C$64,MATCH(B842,'Cashier Roster'!$B$5:$B$64,0)),"Not on roster"))</f>
        <v/>
      </c>
      <c r="D842" s="12" t="str">
        <f>IF(B842="","",IFERROR(INDEX('Cashier Roster'!$D$5:$D$64,MATCH(B842,'Cashier Roster'!$B$5:$B$64,0)),""))</f>
        <v/>
      </c>
      <c r="E842" s="13"/>
      <c r="F842" s="14"/>
      <c r="G842" s="8" t="str">
        <f>IF(OR(B842="",E842=""),"",IF(E842="No","Missed",IF(F842="","",IF(F842&lt;=Settings!$B$7,"On time","Late"))))</f>
        <v/>
      </c>
      <c r="H842" s="15"/>
      <c r="I842" s="16"/>
      <c r="J842" s="16"/>
      <c r="K842" s="17" t="str">
        <f>IF(J842="","",ROUND(J842*Settings!$B$8,2))</f>
        <v/>
      </c>
      <c r="L842" s="16"/>
      <c r="M842" s="8" t="str">
        <f t="shared" si="13"/>
        <v/>
      </c>
      <c r="N842" s="9"/>
    </row>
    <row r="843" spans="1:14" ht="15.75">
      <c r="A843" s="11"/>
      <c r="B843" s="9"/>
      <c r="C843" s="12" t="str">
        <f>IF(B843="","",IFERROR(INDEX('Cashier Roster'!$C$5:$C$64,MATCH(B843,'Cashier Roster'!$B$5:$B$64,0)),"Not on roster"))</f>
        <v/>
      </c>
      <c r="D843" s="12" t="str">
        <f>IF(B843="","",IFERROR(INDEX('Cashier Roster'!$D$5:$D$64,MATCH(B843,'Cashier Roster'!$B$5:$B$64,0)),""))</f>
        <v/>
      </c>
      <c r="E843" s="13"/>
      <c r="F843" s="14"/>
      <c r="G843" s="8" t="str">
        <f>IF(OR(B843="",E843=""),"",IF(E843="No","Missed",IF(F843="","",IF(F843&lt;=Settings!$B$7,"On time","Late"))))</f>
        <v/>
      </c>
      <c r="H843" s="15"/>
      <c r="I843" s="16"/>
      <c r="J843" s="16"/>
      <c r="K843" s="17" t="str">
        <f>IF(J843="","",ROUND(J843*Settings!$B$8,2))</f>
        <v/>
      </c>
      <c r="L843" s="16"/>
      <c r="M843" s="8" t="str">
        <f t="shared" si="13"/>
        <v/>
      </c>
      <c r="N843" s="9"/>
    </row>
    <row r="844" spans="1:14" ht="15.75">
      <c r="A844" s="11"/>
      <c r="B844" s="9"/>
      <c r="C844" s="12" t="str">
        <f>IF(B844="","",IFERROR(INDEX('Cashier Roster'!$C$5:$C$64,MATCH(B844,'Cashier Roster'!$B$5:$B$64,0)),"Not on roster"))</f>
        <v/>
      </c>
      <c r="D844" s="12" t="str">
        <f>IF(B844="","",IFERROR(INDEX('Cashier Roster'!$D$5:$D$64,MATCH(B844,'Cashier Roster'!$B$5:$B$64,0)),""))</f>
        <v/>
      </c>
      <c r="E844" s="13"/>
      <c r="F844" s="14"/>
      <c r="G844" s="8" t="str">
        <f>IF(OR(B844="",E844=""),"",IF(E844="No","Missed",IF(F844="","",IF(F844&lt;=Settings!$B$7,"On time","Late"))))</f>
        <v/>
      </c>
      <c r="H844" s="15"/>
      <c r="I844" s="16"/>
      <c r="J844" s="16"/>
      <c r="K844" s="17" t="str">
        <f>IF(J844="","",ROUND(J844*Settings!$B$8,2))</f>
        <v/>
      </c>
      <c r="L844" s="16"/>
      <c r="M844" s="8" t="str">
        <f t="shared" si="13"/>
        <v/>
      </c>
      <c r="N844" s="9"/>
    </row>
    <row r="845" spans="1:14" ht="15.75">
      <c r="A845" s="11"/>
      <c r="B845" s="9"/>
      <c r="C845" s="12" t="str">
        <f>IF(B845="","",IFERROR(INDEX('Cashier Roster'!$C$5:$C$64,MATCH(B845,'Cashier Roster'!$B$5:$B$64,0)),"Not on roster"))</f>
        <v/>
      </c>
      <c r="D845" s="12" t="str">
        <f>IF(B845="","",IFERROR(INDEX('Cashier Roster'!$D$5:$D$64,MATCH(B845,'Cashier Roster'!$B$5:$B$64,0)),""))</f>
        <v/>
      </c>
      <c r="E845" s="13"/>
      <c r="F845" s="14"/>
      <c r="G845" s="8" t="str">
        <f>IF(OR(B845="",E845=""),"",IF(E845="No","Missed",IF(F845="","",IF(F845&lt;=Settings!$B$7,"On time","Late"))))</f>
        <v/>
      </c>
      <c r="H845" s="15"/>
      <c r="I845" s="16"/>
      <c r="J845" s="16"/>
      <c r="K845" s="17" t="str">
        <f>IF(J845="","",ROUND(J845*Settings!$B$8,2))</f>
        <v/>
      </c>
      <c r="L845" s="16"/>
      <c r="M845" s="8" t="str">
        <f t="shared" si="13"/>
        <v/>
      </c>
      <c r="N845" s="9"/>
    </row>
    <row r="846" spans="1:14" ht="15.75">
      <c r="A846" s="11"/>
      <c r="B846" s="9"/>
      <c r="C846" s="12" t="str">
        <f>IF(B846="","",IFERROR(INDEX('Cashier Roster'!$C$5:$C$64,MATCH(B846,'Cashier Roster'!$B$5:$B$64,0)),"Not on roster"))</f>
        <v/>
      </c>
      <c r="D846" s="12" t="str">
        <f>IF(B846="","",IFERROR(INDEX('Cashier Roster'!$D$5:$D$64,MATCH(B846,'Cashier Roster'!$B$5:$B$64,0)),""))</f>
        <v/>
      </c>
      <c r="E846" s="13"/>
      <c r="F846" s="14"/>
      <c r="G846" s="8" t="str">
        <f>IF(OR(B846="",E846=""),"",IF(E846="No","Missed",IF(F846="","",IF(F846&lt;=Settings!$B$7,"On time","Late"))))</f>
        <v/>
      </c>
      <c r="H846" s="15"/>
      <c r="I846" s="16"/>
      <c r="J846" s="16"/>
      <c r="K846" s="17" t="str">
        <f>IF(J846="","",ROUND(J846*Settings!$B$8,2))</f>
        <v/>
      </c>
      <c r="L846" s="16"/>
      <c r="M846" s="8" t="str">
        <f t="shared" si="13"/>
        <v/>
      </c>
      <c r="N846" s="9"/>
    </row>
    <row r="847" spans="1:14" ht="15.75">
      <c r="A847" s="11"/>
      <c r="B847" s="9"/>
      <c r="C847" s="12" t="str">
        <f>IF(B847="","",IFERROR(INDEX('Cashier Roster'!$C$5:$C$64,MATCH(B847,'Cashier Roster'!$B$5:$B$64,0)),"Not on roster"))</f>
        <v/>
      </c>
      <c r="D847" s="12" t="str">
        <f>IF(B847="","",IFERROR(INDEX('Cashier Roster'!$D$5:$D$64,MATCH(B847,'Cashier Roster'!$B$5:$B$64,0)),""))</f>
        <v/>
      </c>
      <c r="E847" s="13"/>
      <c r="F847" s="14"/>
      <c r="G847" s="8" t="str">
        <f>IF(OR(B847="",E847=""),"",IF(E847="No","Missed",IF(F847="","",IF(F847&lt;=Settings!$B$7,"On time","Late"))))</f>
        <v/>
      </c>
      <c r="H847" s="15"/>
      <c r="I847" s="16"/>
      <c r="J847" s="16"/>
      <c r="K847" s="17" t="str">
        <f>IF(J847="","",ROUND(J847*Settings!$B$8,2))</f>
        <v/>
      </c>
      <c r="L847" s="16"/>
      <c r="M847" s="8" t="str">
        <f t="shared" si="13"/>
        <v/>
      </c>
      <c r="N847" s="9"/>
    </row>
    <row r="848" spans="1:14" ht="15.75">
      <c r="A848" s="11"/>
      <c r="B848" s="9"/>
      <c r="C848" s="12" t="str">
        <f>IF(B848="","",IFERROR(INDEX('Cashier Roster'!$C$5:$C$64,MATCH(B848,'Cashier Roster'!$B$5:$B$64,0)),"Not on roster"))</f>
        <v/>
      </c>
      <c r="D848" s="12" t="str">
        <f>IF(B848="","",IFERROR(INDEX('Cashier Roster'!$D$5:$D$64,MATCH(B848,'Cashier Roster'!$B$5:$B$64,0)),""))</f>
        <v/>
      </c>
      <c r="E848" s="13"/>
      <c r="F848" s="14"/>
      <c r="G848" s="8" t="str">
        <f>IF(OR(B848="",E848=""),"",IF(E848="No","Missed",IF(F848="","",IF(F848&lt;=Settings!$B$7,"On time","Late"))))</f>
        <v/>
      </c>
      <c r="H848" s="15"/>
      <c r="I848" s="16"/>
      <c r="J848" s="16"/>
      <c r="K848" s="17" t="str">
        <f>IF(J848="","",ROUND(J848*Settings!$B$8,2))</f>
        <v/>
      </c>
      <c r="L848" s="16"/>
      <c r="M848" s="8" t="str">
        <f t="shared" si="13"/>
        <v/>
      </c>
      <c r="N848" s="9"/>
    </row>
    <row r="849" spans="1:14" ht="15.75">
      <c r="A849" s="11"/>
      <c r="B849" s="9"/>
      <c r="C849" s="12" t="str">
        <f>IF(B849="","",IFERROR(INDEX('Cashier Roster'!$C$5:$C$64,MATCH(B849,'Cashier Roster'!$B$5:$B$64,0)),"Not on roster"))</f>
        <v/>
      </c>
      <c r="D849" s="12" t="str">
        <f>IF(B849="","",IFERROR(INDEX('Cashier Roster'!$D$5:$D$64,MATCH(B849,'Cashier Roster'!$B$5:$B$64,0)),""))</f>
        <v/>
      </c>
      <c r="E849" s="13"/>
      <c r="F849" s="14"/>
      <c r="G849" s="8" t="str">
        <f>IF(OR(B849="",E849=""),"",IF(E849="No","Missed",IF(F849="","",IF(F849&lt;=Settings!$B$7,"On time","Late"))))</f>
        <v/>
      </c>
      <c r="H849" s="15"/>
      <c r="I849" s="16"/>
      <c r="J849" s="16"/>
      <c r="K849" s="17" t="str">
        <f>IF(J849="","",ROUND(J849*Settings!$B$8,2))</f>
        <v/>
      </c>
      <c r="L849" s="16"/>
      <c r="M849" s="8" t="str">
        <f t="shared" si="13"/>
        <v/>
      </c>
      <c r="N849" s="9"/>
    </row>
    <row r="850" spans="1:14" ht="15.75">
      <c r="A850" s="11"/>
      <c r="B850" s="9"/>
      <c r="C850" s="12" t="str">
        <f>IF(B850="","",IFERROR(INDEX('Cashier Roster'!$C$5:$C$64,MATCH(B850,'Cashier Roster'!$B$5:$B$64,0)),"Not on roster"))</f>
        <v/>
      </c>
      <c r="D850" s="12" t="str">
        <f>IF(B850="","",IFERROR(INDEX('Cashier Roster'!$D$5:$D$64,MATCH(B850,'Cashier Roster'!$B$5:$B$64,0)),""))</f>
        <v/>
      </c>
      <c r="E850" s="13"/>
      <c r="F850" s="14"/>
      <c r="G850" s="8" t="str">
        <f>IF(OR(B850="",E850=""),"",IF(E850="No","Missed",IF(F850="","",IF(F850&lt;=Settings!$B$7,"On time","Late"))))</f>
        <v/>
      </c>
      <c r="H850" s="15"/>
      <c r="I850" s="16"/>
      <c r="J850" s="16"/>
      <c r="K850" s="17" t="str">
        <f>IF(J850="","",ROUND(J850*Settings!$B$8,2))</f>
        <v/>
      </c>
      <c r="L850" s="16"/>
      <c r="M850" s="8" t="str">
        <f t="shared" si="13"/>
        <v/>
      </c>
      <c r="N850" s="9"/>
    </row>
    <row r="851" spans="1:14" ht="15.75">
      <c r="A851" s="11"/>
      <c r="B851" s="9"/>
      <c r="C851" s="12" t="str">
        <f>IF(B851="","",IFERROR(INDEX('Cashier Roster'!$C$5:$C$64,MATCH(B851,'Cashier Roster'!$B$5:$B$64,0)),"Not on roster"))</f>
        <v/>
      </c>
      <c r="D851" s="12" t="str">
        <f>IF(B851="","",IFERROR(INDEX('Cashier Roster'!$D$5:$D$64,MATCH(B851,'Cashier Roster'!$B$5:$B$64,0)),""))</f>
        <v/>
      </c>
      <c r="E851" s="13"/>
      <c r="F851" s="14"/>
      <c r="G851" s="8" t="str">
        <f>IF(OR(B851="",E851=""),"",IF(E851="No","Missed",IF(F851="","",IF(F851&lt;=Settings!$B$7,"On time","Late"))))</f>
        <v/>
      </c>
      <c r="H851" s="15"/>
      <c r="I851" s="16"/>
      <c r="J851" s="16"/>
      <c r="K851" s="17" t="str">
        <f>IF(J851="","",ROUND(J851*Settings!$B$8,2))</f>
        <v/>
      </c>
      <c r="L851" s="16"/>
      <c r="M851" s="8" t="str">
        <f t="shared" si="13"/>
        <v/>
      </c>
      <c r="N851" s="9"/>
    </row>
    <row r="852" spans="1:14" ht="15.75">
      <c r="A852" s="11"/>
      <c r="B852" s="9"/>
      <c r="C852" s="12" t="str">
        <f>IF(B852="","",IFERROR(INDEX('Cashier Roster'!$C$5:$C$64,MATCH(B852,'Cashier Roster'!$B$5:$B$64,0)),"Not on roster"))</f>
        <v/>
      </c>
      <c r="D852" s="12" t="str">
        <f>IF(B852="","",IFERROR(INDEX('Cashier Roster'!$D$5:$D$64,MATCH(B852,'Cashier Roster'!$B$5:$B$64,0)),""))</f>
        <v/>
      </c>
      <c r="E852" s="13"/>
      <c r="F852" s="14"/>
      <c r="G852" s="8" t="str">
        <f>IF(OR(B852="",E852=""),"",IF(E852="No","Missed",IF(F852="","",IF(F852&lt;=Settings!$B$7,"On time","Late"))))</f>
        <v/>
      </c>
      <c r="H852" s="15"/>
      <c r="I852" s="16"/>
      <c r="J852" s="16"/>
      <c r="K852" s="17" t="str">
        <f>IF(J852="","",ROUND(J852*Settings!$B$8,2))</f>
        <v/>
      </c>
      <c r="L852" s="16"/>
      <c r="M852" s="8" t="str">
        <f t="shared" si="13"/>
        <v/>
      </c>
      <c r="N852" s="9"/>
    </row>
    <row r="853" spans="1:14" ht="15.75">
      <c r="A853" s="11"/>
      <c r="B853" s="9"/>
      <c r="C853" s="12" t="str">
        <f>IF(B853="","",IFERROR(INDEX('Cashier Roster'!$C$5:$C$64,MATCH(B853,'Cashier Roster'!$B$5:$B$64,0)),"Not on roster"))</f>
        <v/>
      </c>
      <c r="D853" s="12" t="str">
        <f>IF(B853="","",IFERROR(INDEX('Cashier Roster'!$D$5:$D$64,MATCH(B853,'Cashier Roster'!$B$5:$B$64,0)),""))</f>
        <v/>
      </c>
      <c r="E853" s="13"/>
      <c r="F853" s="14"/>
      <c r="G853" s="8" t="str">
        <f>IF(OR(B853="",E853=""),"",IF(E853="No","Missed",IF(F853="","",IF(F853&lt;=Settings!$B$7,"On time","Late"))))</f>
        <v/>
      </c>
      <c r="H853" s="15"/>
      <c r="I853" s="16"/>
      <c r="J853" s="16"/>
      <c r="K853" s="17" t="str">
        <f>IF(J853="","",ROUND(J853*Settings!$B$8,2))</f>
        <v/>
      </c>
      <c r="L853" s="16"/>
      <c r="M853" s="8" t="str">
        <f t="shared" si="13"/>
        <v/>
      </c>
      <c r="N853" s="9"/>
    </row>
    <row r="854" spans="1:14" ht="15.75">
      <c r="A854" s="11"/>
      <c r="B854" s="9"/>
      <c r="C854" s="12" t="str">
        <f>IF(B854="","",IFERROR(INDEX('Cashier Roster'!$C$5:$C$64,MATCH(B854,'Cashier Roster'!$B$5:$B$64,0)),"Not on roster"))</f>
        <v/>
      </c>
      <c r="D854" s="12" t="str">
        <f>IF(B854="","",IFERROR(INDEX('Cashier Roster'!$D$5:$D$64,MATCH(B854,'Cashier Roster'!$B$5:$B$64,0)),""))</f>
        <v/>
      </c>
      <c r="E854" s="13"/>
      <c r="F854" s="14"/>
      <c r="G854" s="8" t="str">
        <f>IF(OR(B854="",E854=""),"",IF(E854="No","Missed",IF(F854="","",IF(F854&lt;=Settings!$B$7,"On time","Late"))))</f>
        <v/>
      </c>
      <c r="H854" s="15"/>
      <c r="I854" s="16"/>
      <c r="J854" s="16"/>
      <c r="K854" s="17" t="str">
        <f>IF(J854="","",ROUND(J854*Settings!$B$8,2))</f>
        <v/>
      </c>
      <c r="L854" s="16"/>
      <c r="M854" s="8" t="str">
        <f t="shared" si="13"/>
        <v/>
      </c>
      <c r="N854" s="9"/>
    </row>
    <row r="855" spans="1:14" ht="15.75">
      <c r="A855" s="11"/>
      <c r="B855" s="9"/>
      <c r="C855" s="12" t="str">
        <f>IF(B855="","",IFERROR(INDEX('Cashier Roster'!$C$5:$C$64,MATCH(B855,'Cashier Roster'!$B$5:$B$64,0)),"Not on roster"))</f>
        <v/>
      </c>
      <c r="D855" s="12" t="str">
        <f>IF(B855="","",IFERROR(INDEX('Cashier Roster'!$D$5:$D$64,MATCH(B855,'Cashier Roster'!$B$5:$B$64,0)),""))</f>
        <v/>
      </c>
      <c r="E855" s="13"/>
      <c r="F855" s="14"/>
      <c r="G855" s="8" t="str">
        <f>IF(OR(B855="",E855=""),"",IF(E855="No","Missed",IF(F855="","",IF(F855&lt;=Settings!$B$7,"On time","Late"))))</f>
        <v/>
      </c>
      <c r="H855" s="15"/>
      <c r="I855" s="16"/>
      <c r="J855" s="16"/>
      <c r="K855" s="17" t="str">
        <f>IF(J855="","",ROUND(J855*Settings!$B$8,2))</f>
        <v/>
      </c>
      <c r="L855" s="16"/>
      <c r="M855" s="8" t="str">
        <f t="shared" si="13"/>
        <v/>
      </c>
      <c r="N855" s="9"/>
    </row>
    <row r="856" spans="1:14" ht="15.75">
      <c r="A856" s="11"/>
      <c r="B856" s="9"/>
      <c r="C856" s="12" t="str">
        <f>IF(B856="","",IFERROR(INDEX('Cashier Roster'!$C$5:$C$64,MATCH(B856,'Cashier Roster'!$B$5:$B$64,0)),"Not on roster"))</f>
        <v/>
      </c>
      <c r="D856" s="12" t="str">
        <f>IF(B856="","",IFERROR(INDEX('Cashier Roster'!$D$5:$D$64,MATCH(B856,'Cashier Roster'!$B$5:$B$64,0)),""))</f>
        <v/>
      </c>
      <c r="E856" s="13"/>
      <c r="F856" s="14"/>
      <c r="G856" s="8" t="str">
        <f>IF(OR(B856="",E856=""),"",IF(E856="No","Missed",IF(F856="","",IF(F856&lt;=Settings!$B$7,"On time","Late"))))</f>
        <v/>
      </c>
      <c r="H856" s="15"/>
      <c r="I856" s="16"/>
      <c r="J856" s="16"/>
      <c r="K856" s="17" t="str">
        <f>IF(J856="","",ROUND(J856*Settings!$B$8,2))</f>
        <v/>
      </c>
      <c r="L856" s="16"/>
      <c r="M856" s="8" t="str">
        <f t="shared" si="13"/>
        <v/>
      </c>
      <c r="N856" s="9"/>
    </row>
    <row r="857" spans="1:14" ht="15.75">
      <c r="A857" s="11"/>
      <c r="B857" s="9"/>
      <c r="C857" s="12" t="str">
        <f>IF(B857="","",IFERROR(INDEX('Cashier Roster'!$C$5:$C$64,MATCH(B857,'Cashier Roster'!$B$5:$B$64,0)),"Not on roster"))</f>
        <v/>
      </c>
      <c r="D857" s="12" t="str">
        <f>IF(B857="","",IFERROR(INDEX('Cashier Roster'!$D$5:$D$64,MATCH(B857,'Cashier Roster'!$B$5:$B$64,0)),""))</f>
        <v/>
      </c>
      <c r="E857" s="13"/>
      <c r="F857" s="14"/>
      <c r="G857" s="8" t="str">
        <f>IF(OR(B857="",E857=""),"",IF(E857="No","Missed",IF(F857="","",IF(F857&lt;=Settings!$B$7,"On time","Late"))))</f>
        <v/>
      </c>
      <c r="H857" s="15"/>
      <c r="I857" s="16"/>
      <c r="J857" s="16"/>
      <c r="K857" s="17" t="str">
        <f>IF(J857="","",ROUND(J857*Settings!$B$8,2))</f>
        <v/>
      </c>
      <c r="L857" s="16"/>
      <c r="M857" s="8" t="str">
        <f t="shared" si="13"/>
        <v/>
      </c>
      <c r="N857" s="9"/>
    </row>
    <row r="858" spans="1:14" ht="15.75">
      <c r="A858" s="11"/>
      <c r="B858" s="9"/>
      <c r="C858" s="12" t="str">
        <f>IF(B858="","",IFERROR(INDEX('Cashier Roster'!$C$5:$C$64,MATCH(B858,'Cashier Roster'!$B$5:$B$64,0)),"Not on roster"))</f>
        <v/>
      </c>
      <c r="D858" s="12" t="str">
        <f>IF(B858="","",IFERROR(INDEX('Cashier Roster'!$D$5:$D$64,MATCH(B858,'Cashier Roster'!$B$5:$B$64,0)),""))</f>
        <v/>
      </c>
      <c r="E858" s="13"/>
      <c r="F858" s="14"/>
      <c r="G858" s="8" t="str">
        <f>IF(OR(B858="",E858=""),"",IF(E858="No","Missed",IF(F858="","",IF(F858&lt;=Settings!$B$7,"On time","Late"))))</f>
        <v/>
      </c>
      <c r="H858" s="15"/>
      <c r="I858" s="16"/>
      <c r="J858" s="16"/>
      <c r="K858" s="17" t="str">
        <f>IF(J858="","",ROUND(J858*Settings!$B$8,2))</f>
        <v/>
      </c>
      <c r="L858" s="16"/>
      <c r="M858" s="8" t="str">
        <f t="shared" si="13"/>
        <v/>
      </c>
      <c r="N858" s="9"/>
    </row>
    <row r="859" spans="1:14" ht="15.75">
      <c r="A859" s="11"/>
      <c r="B859" s="9"/>
      <c r="C859" s="12" t="str">
        <f>IF(B859="","",IFERROR(INDEX('Cashier Roster'!$C$5:$C$64,MATCH(B859,'Cashier Roster'!$B$5:$B$64,0)),"Not on roster"))</f>
        <v/>
      </c>
      <c r="D859" s="12" t="str">
        <f>IF(B859="","",IFERROR(INDEX('Cashier Roster'!$D$5:$D$64,MATCH(B859,'Cashier Roster'!$B$5:$B$64,0)),""))</f>
        <v/>
      </c>
      <c r="E859" s="13"/>
      <c r="F859" s="14"/>
      <c r="G859" s="8" t="str">
        <f>IF(OR(B859="",E859=""),"",IF(E859="No","Missed",IF(F859="","",IF(F859&lt;=Settings!$B$7,"On time","Late"))))</f>
        <v/>
      </c>
      <c r="H859" s="15"/>
      <c r="I859" s="16"/>
      <c r="J859" s="16"/>
      <c r="K859" s="17" t="str">
        <f>IF(J859="","",ROUND(J859*Settings!$B$8,2))</f>
        <v/>
      </c>
      <c r="L859" s="16"/>
      <c r="M859" s="8" t="str">
        <f t="shared" si="13"/>
        <v/>
      </c>
      <c r="N859" s="9"/>
    </row>
    <row r="860" spans="1:14" ht="15.75">
      <c r="A860" s="11"/>
      <c r="B860" s="9"/>
      <c r="C860" s="12" t="str">
        <f>IF(B860="","",IFERROR(INDEX('Cashier Roster'!$C$5:$C$64,MATCH(B860,'Cashier Roster'!$B$5:$B$64,0)),"Not on roster"))</f>
        <v/>
      </c>
      <c r="D860" s="12" t="str">
        <f>IF(B860="","",IFERROR(INDEX('Cashier Roster'!$D$5:$D$64,MATCH(B860,'Cashier Roster'!$B$5:$B$64,0)),""))</f>
        <v/>
      </c>
      <c r="E860" s="13"/>
      <c r="F860" s="14"/>
      <c r="G860" s="8" t="str">
        <f>IF(OR(B860="",E860=""),"",IF(E860="No","Missed",IF(F860="","",IF(F860&lt;=Settings!$B$7,"On time","Late"))))</f>
        <v/>
      </c>
      <c r="H860" s="15"/>
      <c r="I860" s="16"/>
      <c r="J860" s="16"/>
      <c r="K860" s="17" t="str">
        <f>IF(J860="","",ROUND(J860*Settings!$B$8,2))</f>
        <v/>
      </c>
      <c r="L860" s="16"/>
      <c r="M860" s="8" t="str">
        <f t="shared" si="13"/>
        <v/>
      </c>
      <c r="N860" s="9"/>
    </row>
    <row r="861" spans="1:14" ht="15.75">
      <c r="A861" s="11"/>
      <c r="B861" s="9"/>
      <c r="C861" s="12" t="str">
        <f>IF(B861="","",IFERROR(INDEX('Cashier Roster'!$C$5:$C$64,MATCH(B861,'Cashier Roster'!$B$5:$B$64,0)),"Not on roster"))</f>
        <v/>
      </c>
      <c r="D861" s="12" t="str">
        <f>IF(B861="","",IFERROR(INDEX('Cashier Roster'!$D$5:$D$64,MATCH(B861,'Cashier Roster'!$B$5:$B$64,0)),""))</f>
        <v/>
      </c>
      <c r="E861" s="13"/>
      <c r="F861" s="14"/>
      <c r="G861" s="8" t="str">
        <f>IF(OR(B861="",E861=""),"",IF(E861="No","Missed",IF(F861="","",IF(F861&lt;=Settings!$B$7,"On time","Late"))))</f>
        <v/>
      </c>
      <c r="H861" s="15"/>
      <c r="I861" s="16"/>
      <c r="J861" s="16"/>
      <c r="K861" s="17" t="str">
        <f>IF(J861="","",ROUND(J861*Settings!$B$8,2))</f>
        <v/>
      </c>
      <c r="L861" s="16"/>
      <c r="M861" s="8" t="str">
        <f t="shared" si="13"/>
        <v/>
      </c>
      <c r="N861" s="9"/>
    </row>
    <row r="862" spans="1:14" ht="15.75">
      <c r="A862" s="11"/>
      <c r="B862" s="9"/>
      <c r="C862" s="12" t="str">
        <f>IF(B862="","",IFERROR(INDEX('Cashier Roster'!$C$5:$C$64,MATCH(B862,'Cashier Roster'!$B$5:$B$64,0)),"Not on roster"))</f>
        <v/>
      </c>
      <c r="D862" s="12" t="str">
        <f>IF(B862="","",IFERROR(INDEX('Cashier Roster'!$D$5:$D$64,MATCH(B862,'Cashier Roster'!$B$5:$B$64,0)),""))</f>
        <v/>
      </c>
      <c r="E862" s="13"/>
      <c r="F862" s="14"/>
      <c r="G862" s="8" t="str">
        <f>IF(OR(B862="",E862=""),"",IF(E862="No","Missed",IF(F862="","",IF(F862&lt;=Settings!$B$7,"On time","Late"))))</f>
        <v/>
      </c>
      <c r="H862" s="15"/>
      <c r="I862" s="16"/>
      <c r="J862" s="16"/>
      <c r="K862" s="17" t="str">
        <f>IF(J862="","",ROUND(J862*Settings!$B$8,2))</f>
        <v/>
      </c>
      <c r="L862" s="16"/>
      <c r="M862" s="8" t="str">
        <f t="shared" si="13"/>
        <v/>
      </c>
      <c r="N862" s="9"/>
    </row>
    <row r="863" spans="1:14" ht="15.75">
      <c r="A863" s="11"/>
      <c r="B863" s="9"/>
      <c r="C863" s="12" t="str">
        <f>IF(B863="","",IFERROR(INDEX('Cashier Roster'!$C$5:$C$64,MATCH(B863,'Cashier Roster'!$B$5:$B$64,0)),"Not on roster"))</f>
        <v/>
      </c>
      <c r="D863" s="12" t="str">
        <f>IF(B863="","",IFERROR(INDEX('Cashier Roster'!$D$5:$D$64,MATCH(B863,'Cashier Roster'!$B$5:$B$64,0)),""))</f>
        <v/>
      </c>
      <c r="E863" s="13"/>
      <c r="F863" s="14"/>
      <c r="G863" s="8" t="str">
        <f>IF(OR(B863="",E863=""),"",IF(E863="No","Missed",IF(F863="","",IF(F863&lt;=Settings!$B$7,"On time","Late"))))</f>
        <v/>
      </c>
      <c r="H863" s="15"/>
      <c r="I863" s="16"/>
      <c r="J863" s="16"/>
      <c r="K863" s="17" t="str">
        <f>IF(J863="","",ROUND(J863*Settings!$B$8,2))</f>
        <v/>
      </c>
      <c r="L863" s="16"/>
      <c r="M863" s="8" t="str">
        <f t="shared" si="13"/>
        <v/>
      </c>
      <c r="N863" s="9"/>
    </row>
    <row r="864" spans="1:14" ht="15.75">
      <c r="A864" s="11"/>
      <c r="B864" s="9"/>
      <c r="C864" s="12" t="str">
        <f>IF(B864="","",IFERROR(INDEX('Cashier Roster'!$C$5:$C$64,MATCH(B864,'Cashier Roster'!$B$5:$B$64,0)),"Not on roster"))</f>
        <v/>
      </c>
      <c r="D864" s="12" t="str">
        <f>IF(B864="","",IFERROR(INDEX('Cashier Roster'!$D$5:$D$64,MATCH(B864,'Cashier Roster'!$B$5:$B$64,0)),""))</f>
        <v/>
      </c>
      <c r="E864" s="13"/>
      <c r="F864" s="14"/>
      <c r="G864" s="8" t="str">
        <f>IF(OR(B864="",E864=""),"",IF(E864="No","Missed",IF(F864="","",IF(F864&lt;=Settings!$B$7,"On time","Late"))))</f>
        <v/>
      </c>
      <c r="H864" s="15"/>
      <c r="I864" s="16"/>
      <c r="J864" s="16"/>
      <c r="K864" s="17" t="str">
        <f>IF(J864="","",ROUND(J864*Settings!$B$8,2))</f>
        <v/>
      </c>
      <c r="L864" s="16"/>
      <c r="M864" s="8" t="str">
        <f t="shared" si="13"/>
        <v/>
      </c>
      <c r="N864" s="9"/>
    </row>
    <row r="865" spans="1:14" ht="15.75">
      <c r="A865" s="11"/>
      <c r="B865" s="9"/>
      <c r="C865" s="12" t="str">
        <f>IF(B865="","",IFERROR(INDEX('Cashier Roster'!$C$5:$C$64,MATCH(B865,'Cashier Roster'!$B$5:$B$64,0)),"Not on roster"))</f>
        <v/>
      </c>
      <c r="D865" s="12" t="str">
        <f>IF(B865="","",IFERROR(INDEX('Cashier Roster'!$D$5:$D$64,MATCH(B865,'Cashier Roster'!$B$5:$B$64,0)),""))</f>
        <v/>
      </c>
      <c r="E865" s="13"/>
      <c r="F865" s="14"/>
      <c r="G865" s="8" t="str">
        <f>IF(OR(B865="",E865=""),"",IF(E865="No","Missed",IF(F865="","",IF(F865&lt;=Settings!$B$7,"On time","Late"))))</f>
        <v/>
      </c>
      <c r="H865" s="15"/>
      <c r="I865" s="16"/>
      <c r="J865" s="16"/>
      <c r="K865" s="17" t="str">
        <f>IF(J865="","",ROUND(J865*Settings!$B$8,2))</f>
        <v/>
      </c>
      <c r="L865" s="16"/>
      <c r="M865" s="8" t="str">
        <f t="shared" si="13"/>
        <v/>
      </c>
      <c r="N865" s="9"/>
    </row>
    <row r="866" spans="1:14" ht="15.75">
      <c r="A866" s="11"/>
      <c r="B866" s="9"/>
      <c r="C866" s="12" t="str">
        <f>IF(B866="","",IFERROR(INDEX('Cashier Roster'!$C$5:$C$64,MATCH(B866,'Cashier Roster'!$B$5:$B$64,0)),"Not on roster"))</f>
        <v/>
      </c>
      <c r="D866" s="12" t="str">
        <f>IF(B866="","",IFERROR(INDEX('Cashier Roster'!$D$5:$D$64,MATCH(B866,'Cashier Roster'!$B$5:$B$64,0)),""))</f>
        <v/>
      </c>
      <c r="E866" s="13"/>
      <c r="F866" s="14"/>
      <c r="G866" s="8" t="str">
        <f>IF(OR(B866="",E866=""),"",IF(E866="No","Missed",IF(F866="","",IF(F866&lt;=Settings!$B$7,"On time","Late"))))</f>
        <v/>
      </c>
      <c r="H866" s="15"/>
      <c r="I866" s="16"/>
      <c r="J866" s="16"/>
      <c r="K866" s="17" t="str">
        <f>IF(J866="","",ROUND(J866*Settings!$B$8,2))</f>
        <v/>
      </c>
      <c r="L866" s="16"/>
      <c r="M866" s="8" t="str">
        <f t="shared" si="13"/>
        <v/>
      </c>
      <c r="N866" s="9"/>
    </row>
    <row r="867" spans="1:14" ht="15.75">
      <c r="A867" s="11"/>
      <c r="B867" s="9"/>
      <c r="C867" s="12" t="str">
        <f>IF(B867="","",IFERROR(INDEX('Cashier Roster'!$C$5:$C$64,MATCH(B867,'Cashier Roster'!$B$5:$B$64,0)),"Not on roster"))</f>
        <v/>
      </c>
      <c r="D867" s="12" t="str">
        <f>IF(B867="","",IFERROR(INDEX('Cashier Roster'!$D$5:$D$64,MATCH(B867,'Cashier Roster'!$B$5:$B$64,0)),""))</f>
        <v/>
      </c>
      <c r="E867" s="13"/>
      <c r="F867" s="14"/>
      <c r="G867" s="8" t="str">
        <f>IF(OR(B867="",E867=""),"",IF(E867="No","Missed",IF(F867="","",IF(F867&lt;=Settings!$B$7,"On time","Late"))))</f>
        <v/>
      </c>
      <c r="H867" s="15"/>
      <c r="I867" s="16"/>
      <c r="J867" s="16"/>
      <c r="K867" s="17" t="str">
        <f>IF(J867="","",ROUND(J867*Settings!$B$8,2))</f>
        <v/>
      </c>
      <c r="L867" s="16"/>
      <c r="M867" s="8" t="str">
        <f t="shared" si="13"/>
        <v/>
      </c>
      <c r="N867" s="9"/>
    </row>
    <row r="868" spans="1:14" ht="15.75">
      <c r="A868" s="11"/>
      <c r="B868" s="9"/>
      <c r="C868" s="12" t="str">
        <f>IF(B868="","",IFERROR(INDEX('Cashier Roster'!$C$5:$C$64,MATCH(B868,'Cashier Roster'!$B$5:$B$64,0)),"Not on roster"))</f>
        <v/>
      </c>
      <c r="D868" s="12" t="str">
        <f>IF(B868="","",IFERROR(INDEX('Cashier Roster'!$D$5:$D$64,MATCH(B868,'Cashier Roster'!$B$5:$B$64,0)),""))</f>
        <v/>
      </c>
      <c r="E868" s="13"/>
      <c r="F868" s="14"/>
      <c r="G868" s="8" t="str">
        <f>IF(OR(B868="",E868=""),"",IF(E868="No","Missed",IF(F868="","",IF(F868&lt;=Settings!$B$7,"On time","Late"))))</f>
        <v/>
      </c>
      <c r="H868" s="15"/>
      <c r="I868" s="16"/>
      <c r="J868" s="16"/>
      <c r="K868" s="17" t="str">
        <f>IF(J868="","",ROUND(J868*Settings!$B$8,2))</f>
        <v/>
      </c>
      <c r="L868" s="16"/>
      <c r="M868" s="8" t="str">
        <f t="shared" si="13"/>
        <v/>
      </c>
      <c r="N868" s="9"/>
    </row>
    <row r="869" spans="1:14" ht="15.75">
      <c r="A869" s="11"/>
      <c r="B869" s="9"/>
      <c r="C869" s="12" t="str">
        <f>IF(B869="","",IFERROR(INDEX('Cashier Roster'!$C$5:$C$64,MATCH(B869,'Cashier Roster'!$B$5:$B$64,0)),"Not on roster"))</f>
        <v/>
      </c>
      <c r="D869" s="12" t="str">
        <f>IF(B869="","",IFERROR(INDEX('Cashier Roster'!$D$5:$D$64,MATCH(B869,'Cashier Roster'!$B$5:$B$64,0)),""))</f>
        <v/>
      </c>
      <c r="E869" s="13"/>
      <c r="F869" s="14"/>
      <c r="G869" s="8" t="str">
        <f>IF(OR(B869="",E869=""),"",IF(E869="No","Missed",IF(F869="","",IF(F869&lt;=Settings!$B$7,"On time","Late"))))</f>
        <v/>
      </c>
      <c r="H869" s="15"/>
      <c r="I869" s="16"/>
      <c r="J869" s="16"/>
      <c r="K869" s="17" t="str">
        <f>IF(J869="","",ROUND(J869*Settings!$B$8,2))</f>
        <v/>
      </c>
      <c r="L869" s="16"/>
      <c r="M869" s="8" t="str">
        <f t="shared" si="13"/>
        <v/>
      </c>
      <c r="N869" s="9"/>
    </row>
    <row r="870" spans="1:14" ht="15.75">
      <c r="A870" s="11"/>
      <c r="B870" s="9"/>
      <c r="C870" s="12" t="str">
        <f>IF(B870="","",IFERROR(INDEX('Cashier Roster'!$C$5:$C$64,MATCH(B870,'Cashier Roster'!$B$5:$B$64,0)),"Not on roster"))</f>
        <v/>
      </c>
      <c r="D870" s="12" t="str">
        <f>IF(B870="","",IFERROR(INDEX('Cashier Roster'!$D$5:$D$64,MATCH(B870,'Cashier Roster'!$B$5:$B$64,0)),""))</f>
        <v/>
      </c>
      <c r="E870" s="13"/>
      <c r="F870" s="14"/>
      <c r="G870" s="8" t="str">
        <f>IF(OR(B870="",E870=""),"",IF(E870="No","Missed",IF(F870="","",IF(F870&lt;=Settings!$B$7,"On time","Late"))))</f>
        <v/>
      </c>
      <c r="H870" s="15"/>
      <c r="I870" s="16"/>
      <c r="J870" s="16"/>
      <c r="K870" s="17" t="str">
        <f>IF(J870="","",ROUND(J870*Settings!$B$8,2))</f>
        <v/>
      </c>
      <c r="L870" s="16"/>
      <c r="M870" s="8" t="str">
        <f t="shared" si="13"/>
        <v/>
      </c>
      <c r="N870" s="9"/>
    </row>
    <row r="871" spans="1:14" ht="15.75">
      <c r="A871" s="11"/>
      <c r="B871" s="9"/>
      <c r="C871" s="12" t="str">
        <f>IF(B871="","",IFERROR(INDEX('Cashier Roster'!$C$5:$C$64,MATCH(B871,'Cashier Roster'!$B$5:$B$64,0)),"Not on roster"))</f>
        <v/>
      </c>
      <c r="D871" s="12" t="str">
        <f>IF(B871="","",IFERROR(INDEX('Cashier Roster'!$D$5:$D$64,MATCH(B871,'Cashier Roster'!$B$5:$B$64,0)),""))</f>
        <v/>
      </c>
      <c r="E871" s="13"/>
      <c r="F871" s="14"/>
      <c r="G871" s="8" t="str">
        <f>IF(OR(B871="",E871=""),"",IF(E871="No","Missed",IF(F871="","",IF(F871&lt;=Settings!$B$7,"On time","Late"))))</f>
        <v/>
      </c>
      <c r="H871" s="15"/>
      <c r="I871" s="16"/>
      <c r="J871" s="16"/>
      <c r="K871" s="17" t="str">
        <f>IF(J871="","",ROUND(J871*Settings!$B$8,2))</f>
        <v/>
      </c>
      <c r="L871" s="16"/>
      <c r="M871" s="8" t="str">
        <f t="shared" si="13"/>
        <v/>
      </c>
      <c r="N871" s="9"/>
    </row>
    <row r="872" spans="1:14" ht="15.75">
      <c r="A872" s="11"/>
      <c r="B872" s="9"/>
      <c r="C872" s="12" t="str">
        <f>IF(B872="","",IFERROR(INDEX('Cashier Roster'!$C$5:$C$64,MATCH(B872,'Cashier Roster'!$B$5:$B$64,0)),"Not on roster"))</f>
        <v/>
      </c>
      <c r="D872" s="12" t="str">
        <f>IF(B872="","",IFERROR(INDEX('Cashier Roster'!$D$5:$D$64,MATCH(B872,'Cashier Roster'!$B$5:$B$64,0)),""))</f>
        <v/>
      </c>
      <c r="E872" s="13"/>
      <c r="F872" s="14"/>
      <c r="G872" s="8" t="str">
        <f>IF(OR(B872="",E872=""),"",IF(E872="No","Missed",IF(F872="","",IF(F872&lt;=Settings!$B$7,"On time","Late"))))</f>
        <v/>
      </c>
      <c r="H872" s="15"/>
      <c r="I872" s="16"/>
      <c r="J872" s="16"/>
      <c r="K872" s="17" t="str">
        <f>IF(J872="","",ROUND(J872*Settings!$B$8,2))</f>
        <v/>
      </c>
      <c r="L872" s="16"/>
      <c r="M872" s="8" t="str">
        <f t="shared" si="13"/>
        <v/>
      </c>
      <c r="N872" s="9"/>
    </row>
    <row r="873" spans="1:14" ht="15.75">
      <c r="A873" s="11"/>
      <c r="B873" s="9"/>
      <c r="C873" s="12" t="str">
        <f>IF(B873="","",IFERROR(INDEX('Cashier Roster'!$C$5:$C$64,MATCH(B873,'Cashier Roster'!$B$5:$B$64,0)),"Not on roster"))</f>
        <v/>
      </c>
      <c r="D873" s="12" t="str">
        <f>IF(B873="","",IFERROR(INDEX('Cashier Roster'!$D$5:$D$64,MATCH(B873,'Cashier Roster'!$B$5:$B$64,0)),""))</f>
        <v/>
      </c>
      <c r="E873" s="13"/>
      <c r="F873" s="14"/>
      <c r="G873" s="8" t="str">
        <f>IF(OR(B873="",E873=""),"",IF(E873="No","Missed",IF(F873="","",IF(F873&lt;=Settings!$B$7,"On time","Late"))))</f>
        <v/>
      </c>
      <c r="H873" s="15"/>
      <c r="I873" s="16"/>
      <c r="J873" s="16"/>
      <c r="K873" s="17" t="str">
        <f>IF(J873="","",ROUND(J873*Settings!$B$8,2))</f>
        <v/>
      </c>
      <c r="L873" s="16"/>
      <c r="M873" s="8" t="str">
        <f t="shared" si="13"/>
        <v/>
      </c>
      <c r="N873" s="9"/>
    </row>
    <row r="874" spans="1:14" ht="15.75">
      <c r="A874" s="11"/>
      <c r="B874" s="9"/>
      <c r="C874" s="12" t="str">
        <f>IF(B874="","",IFERROR(INDEX('Cashier Roster'!$C$5:$C$64,MATCH(B874,'Cashier Roster'!$B$5:$B$64,0)),"Not on roster"))</f>
        <v/>
      </c>
      <c r="D874" s="12" t="str">
        <f>IF(B874="","",IFERROR(INDEX('Cashier Roster'!$D$5:$D$64,MATCH(B874,'Cashier Roster'!$B$5:$B$64,0)),""))</f>
        <v/>
      </c>
      <c r="E874" s="13"/>
      <c r="F874" s="14"/>
      <c r="G874" s="8" t="str">
        <f>IF(OR(B874="",E874=""),"",IF(E874="No","Missed",IF(F874="","",IF(F874&lt;=Settings!$B$7,"On time","Late"))))</f>
        <v/>
      </c>
      <c r="H874" s="15"/>
      <c r="I874" s="16"/>
      <c r="J874" s="16"/>
      <c r="K874" s="17" t="str">
        <f>IF(J874="","",ROUND(J874*Settings!$B$8,2))</f>
        <v/>
      </c>
      <c r="L874" s="16"/>
      <c r="M874" s="8" t="str">
        <f t="shared" si="13"/>
        <v/>
      </c>
      <c r="N874" s="9"/>
    </row>
    <row r="875" spans="1:14" ht="15.75">
      <c r="A875" s="11"/>
      <c r="B875" s="9"/>
      <c r="C875" s="12" t="str">
        <f>IF(B875="","",IFERROR(INDEX('Cashier Roster'!$C$5:$C$64,MATCH(B875,'Cashier Roster'!$B$5:$B$64,0)),"Not on roster"))</f>
        <v/>
      </c>
      <c r="D875" s="12" t="str">
        <f>IF(B875="","",IFERROR(INDEX('Cashier Roster'!$D$5:$D$64,MATCH(B875,'Cashier Roster'!$B$5:$B$64,0)),""))</f>
        <v/>
      </c>
      <c r="E875" s="13"/>
      <c r="F875" s="14"/>
      <c r="G875" s="8" t="str">
        <f>IF(OR(B875="",E875=""),"",IF(E875="No","Missed",IF(F875="","",IF(F875&lt;=Settings!$B$7,"On time","Late"))))</f>
        <v/>
      </c>
      <c r="H875" s="15"/>
      <c r="I875" s="16"/>
      <c r="J875" s="16"/>
      <c r="K875" s="17" t="str">
        <f>IF(J875="","",ROUND(J875*Settings!$B$8,2))</f>
        <v/>
      </c>
      <c r="L875" s="16"/>
      <c r="M875" s="8" t="str">
        <f t="shared" si="13"/>
        <v/>
      </c>
      <c r="N875" s="9"/>
    </row>
    <row r="876" spans="1:14" ht="15.75">
      <c r="A876" s="11"/>
      <c r="B876" s="9"/>
      <c r="C876" s="12" t="str">
        <f>IF(B876="","",IFERROR(INDEX('Cashier Roster'!$C$5:$C$64,MATCH(B876,'Cashier Roster'!$B$5:$B$64,0)),"Not on roster"))</f>
        <v/>
      </c>
      <c r="D876" s="12" t="str">
        <f>IF(B876="","",IFERROR(INDEX('Cashier Roster'!$D$5:$D$64,MATCH(B876,'Cashier Roster'!$B$5:$B$64,0)),""))</f>
        <v/>
      </c>
      <c r="E876" s="13"/>
      <c r="F876" s="14"/>
      <c r="G876" s="8" t="str">
        <f>IF(OR(B876="",E876=""),"",IF(E876="No","Missed",IF(F876="","",IF(F876&lt;=Settings!$B$7,"On time","Late"))))</f>
        <v/>
      </c>
      <c r="H876" s="15"/>
      <c r="I876" s="16"/>
      <c r="J876" s="16"/>
      <c r="K876" s="17" t="str">
        <f>IF(J876="","",ROUND(J876*Settings!$B$8,2))</f>
        <v/>
      </c>
      <c r="L876" s="16"/>
      <c r="M876" s="8" t="str">
        <f t="shared" si="13"/>
        <v/>
      </c>
      <c r="N876" s="9"/>
    </row>
    <row r="877" spans="1:14" ht="15.75">
      <c r="A877" s="11"/>
      <c r="B877" s="9"/>
      <c r="C877" s="12" t="str">
        <f>IF(B877="","",IFERROR(INDEX('Cashier Roster'!$C$5:$C$64,MATCH(B877,'Cashier Roster'!$B$5:$B$64,0)),"Not on roster"))</f>
        <v/>
      </c>
      <c r="D877" s="12" t="str">
        <f>IF(B877="","",IFERROR(INDEX('Cashier Roster'!$D$5:$D$64,MATCH(B877,'Cashier Roster'!$B$5:$B$64,0)),""))</f>
        <v/>
      </c>
      <c r="E877" s="13"/>
      <c r="F877" s="14"/>
      <c r="G877" s="8" t="str">
        <f>IF(OR(B877="",E877=""),"",IF(E877="No","Missed",IF(F877="","",IF(F877&lt;=Settings!$B$7,"On time","Late"))))</f>
        <v/>
      </c>
      <c r="H877" s="15"/>
      <c r="I877" s="16"/>
      <c r="J877" s="16"/>
      <c r="K877" s="17" t="str">
        <f>IF(J877="","",ROUND(J877*Settings!$B$8,2))</f>
        <v/>
      </c>
      <c r="L877" s="16"/>
      <c r="M877" s="8" t="str">
        <f t="shared" si="13"/>
        <v/>
      </c>
      <c r="N877" s="9"/>
    </row>
    <row r="878" spans="1:14" ht="15.75">
      <c r="A878" s="11"/>
      <c r="B878" s="9"/>
      <c r="C878" s="12" t="str">
        <f>IF(B878="","",IFERROR(INDEX('Cashier Roster'!$C$5:$C$64,MATCH(B878,'Cashier Roster'!$B$5:$B$64,0)),"Not on roster"))</f>
        <v/>
      </c>
      <c r="D878" s="12" t="str">
        <f>IF(B878="","",IFERROR(INDEX('Cashier Roster'!$D$5:$D$64,MATCH(B878,'Cashier Roster'!$B$5:$B$64,0)),""))</f>
        <v/>
      </c>
      <c r="E878" s="13"/>
      <c r="F878" s="14"/>
      <c r="G878" s="8" t="str">
        <f>IF(OR(B878="",E878=""),"",IF(E878="No","Missed",IF(F878="","",IF(F878&lt;=Settings!$B$7,"On time","Late"))))</f>
        <v/>
      </c>
      <c r="H878" s="15"/>
      <c r="I878" s="16"/>
      <c r="J878" s="16"/>
      <c r="K878" s="17" t="str">
        <f>IF(J878="","",ROUND(J878*Settings!$B$8,2))</f>
        <v/>
      </c>
      <c r="L878" s="16"/>
      <c r="M878" s="8" t="str">
        <f t="shared" si="13"/>
        <v/>
      </c>
      <c r="N878" s="9"/>
    </row>
    <row r="879" spans="1:14" ht="15.75">
      <c r="A879" s="11"/>
      <c r="B879" s="9"/>
      <c r="C879" s="12" t="str">
        <f>IF(B879="","",IFERROR(INDEX('Cashier Roster'!$C$5:$C$64,MATCH(B879,'Cashier Roster'!$B$5:$B$64,0)),"Not on roster"))</f>
        <v/>
      </c>
      <c r="D879" s="12" t="str">
        <f>IF(B879="","",IFERROR(INDEX('Cashier Roster'!$D$5:$D$64,MATCH(B879,'Cashier Roster'!$B$5:$B$64,0)),""))</f>
        <v/>
      </c>
      <c r="E879" s="13"/>
      <c r="F879" s="14"/>
      <c r="G879" s="8" t="str">
        <f>IF(OR(B879="",E879=""),"",IF(E879="No","Missed",IF(F879="","",IF(F879&lt;=Settings!$B$7,"On time","Late"))))</f>
        <v/>
      </c>
      <c r="H879" s="15"/>
      <c r="I879" s="16"/>
      <c r="J879" s="16"/>
      <c r="K879" s="17" t="str">
        <f>IF(J879="","",ROUND(J879*Settings!$B$8,2))</f>
        <v/>
      </c>
      <c r="L879" s="16"/>
      <c r="M879" s="8" t="str">
        <f t="shared" si="13"/>
        <v/>
      </c>
      <c r="N879" s="9"/>
    </row>
    <row r="880" spans="1:14" ht="15.75">
      <c r="A880" s="11"/>
      <c r="B880" s="9"/>
      <c r="C880" s="12" t="str">
        <f>IF(B880="","",IFERROR(INDEX('Cashier Roster'!$C$5:$C$64,MATCH(B880,'Cashier Roster'!$B$5:$B$64,0)),"Not on roster"))</f>
        <v/>
      </c>
      <c r="D880" s="12" t="str">
        <f>IF(B880="","",IFERROR(INDEX('Cashier Roster'!$D$5:$D$64,MATCH(B880,'Cashier Roster'!$B$5:$B$64,0)),""))</f>
        <v/>
      </c>
      <c r="E880" s="13"/>
      <c r="F880" s="14"/>
      <c r="G880" s="8" t="str">
        <f>IF(OR(B880="",E880=""),"",IF(E880="No","Missed",IF(F880="","",IF(F880&lt;=Settings!$B$7,"On time","Late"))))</f>
        <v/>
      </c>
      <c r="H880" s="15"/>
      <c r="I880" s="16"/>
      <c r="J880" s="16"/>
      <c r="K880" s="17" t="str">
        <f>IF(J880="","",ROUND(J880*Settings!$B$8,2))</f>
        <v/>
      </c>
      <c r="L880" s="16"/>
      <c r="M880" s="8" t="str">
        <f t="shared" si="13"/>
        <v/>
      </c>
      <c r="N880" s="9"/>
    </row>
    <row r="881" spans="1:14" ht="15.75">
      <c r="A881" s="11"/>
      <c r="B881" s="9"/>
      <c r="C881" s="12" t="str">
        <f>IF(B881="","",IFERROR(INDEX('Cashier Roster'!$C$5:$C$64,MATCH(B881,'Cashier Roster'!$B$5:$B$64,0)),"Not on roster"))</f>
        <v/>
      </c>
      <c r="D881" s="12" t="str">
        <f>IF(B881="","",IFERROR(INDEX('Cashier Roster'!$D$5:$D$64,MATCH(B881,'Cashier Roster'!$B$5:$B$64,0)),""))</f>
        <v/>
      </c>
      <c r="E881" s="13"/>
      <c r="F881" s="14"/>
      <c r="G881" s="8" t="str">
        <f>IF(OR(B881="",E881=""),"",IF(E881="No","Missed",IF(F881="","",IF(F881&lt;=Settings!$B$7,"On time","Late"))))</f>
        <v/>
      </c>
      <c r="H881" s="15"/>
      <c r="I881" s="16"/>
      <c r="J881" s="16"/>
      <c r="K881" s="17" t="str">
        <f>IF(J881="","",ROUND(J881*Settings!$B$8,2))</f>
        <v/>
      </c>
      <c r="L881" s="16"/>
      <c r="M881" s="8" t="str">
        <f t="shared" si="13"/>
        <v/>
      </c>
      <c r="N881" s="9"/>
    </row>
    <row r="882" spans="1:14" ht="15.75">
      <c r="A882" s="11"/>
      <c r="B882" s="9"/>
      <c r="C882" s="12" t="str">
        <f>IF(B882="","",IFERROR(INDEX('Cashier Roster'!$C$5:$C$64,MATCH(B882,'Cashier Roster'!$B$5:$B$64,0)),"Not on roster"))</f>
        <v/>
      </c>
      <c r="D882" s="12" t="str">
        <f>IF(B882="","",IFERROR(INDEX('Cashier Roster'!$D$5:$D$64,MATCH(B882,'Cashier Roster'!$B$5:$B$64,0)),""))</f>
        <v/>
      </c>
      <c r="E882" s="13"/>
      <c r="F882" s="14"/>
      <c r="G882" s="8" t="str">
        <f>IF(OR(B882="",E882=""),"",IF(E882="No","Missed",IF(F882="","",IF(F882&lt;=Settings!$B$7,"On time","Late"))))</f>
        <v/>
      </c>
      <c r="H882" s="15"/>
      <c r="I882" s="16"/>
      <c r="J882" s="16"/>
      <c r="K882" s="17" t="str">
        <f>IF(J882="","",ROUND(J882*Settings!$B$8,2))</f>
        <v/>
      </c>
      <c r="L882" s="16"/>
      <c r="M882" s="8" t="str">
        <f t="shared" si="13"/>
        <v/>
      </c>
      <c r="N882" s="9"/>
    </row>
    <row r="883" spans="1:14" ht="15.75">
      <c r="A883" s="11"/>
      <c r="B883" s="9"/>
      <c r="C883" s="12" t="str">
        <f>IF(B883="","",IFERROR(INDEX('Cashier Roster'!$C$5:$C$64,MATCH(B883,'Cashier Roster'!$B$5:$B$64,0)),"Not on roster"))</f>
        <v/>
      </c>
      <c r="D883" s="12" t="str">
        <f>IF(B883="","",IFERROR(INDEX('Cashier Roster'!$D$5:$D$64,MATCH(B883,'Cashier Roster'!$B$5:$B$64,0)),""))</f>
        <v/>
      </c>
      <c r="E883" s="13"/>
      <c r="F883" s="14"/>
      <c r="G883" s="8" t="str">
        <f>IF(OR(B883="",E883=""),"",IF(E883="No","Missed",IF(F883="","",IF(F883&lt;=Settings!$B$7,"On time","Late"))))</f>
        <v/>
      </c>
      <c r="H883" s="15"/>
      <c r="I883" s="16"/>
      <c r="J883" s="16"/>
      <c r="K883" s="17" t="str">
        <f>IF(J883="","",ROUND(J883*Settings!$B$8,2))</f>
        <v/>
      </c>
      <c r="L883" s="16"/>
      <c r="M883" s="8" t="str">
        <f t="shared" si="13"/>
        <v/>
      </c>
      <c r="N883" s="9"/>
    </row>
    <row r="884" spans="1:14" ht="15.75">
      <c r="A884" s="11"/>
      <c r="B884" s="9"/>
      <c r="C884" s="12" t="str">
        <f>IF(B884="","",IFERROR(INDEX('Cashier Roster'!$C$5:$C$64,MATCH(B884,'Cashier Roster'!$B$5:$B$64,0)),"Not on roster"))</f>
        <v/>
      </c>
      <c r="D884" s="12" t="str">
        <f>IF(B884="","",IFERROR(INDEX('Cashier Roster'!$D$5:$D$64,MATCH(B884,'Cashier Roster'!$B$5:$B$64,0)),""))</f>
        <v/>
      </c>
      <c r="E884" s="13"/>
      <c r="F884" s="14"/>
      <c r="G884" s="8" t="str">
        <f>IF(OR(B884="",E884=""),"",IF(E884="No","Missed",IF(F884="","",IF(F884&lt;=Settings!$B$7,"On time","Late"))))</f>
        <v/>
      </c>
      <c r="H884" s="15"/>
      <c r="I884" s="16"/>
      <c r="J884" s="16"/>
      <c r="K884" s="17" t="str">
        <f>IF(J884="","",ROUND(J884*Settings!$B$8,2))</f>
        <v/>
      </c>
      <c r="L884" s="16"/>
      <c r="M884" s="8" t="str">
        <f t="shared" si="13"/>
        <v/>
      </c>
      <c r="N884" s="9"/>
    </row>
    <row r="885" spans="1:14" ht="15.75">
      <c r="A885" s="11"/>
      <c r="B885" s="9"/>
      <c r="C885" s="12" t="str">
        <f>IF(B885="","",IFERROR(INDEX('Cashier Roster'!$C$5:$C$64,MATCH(B885,'Cashier Roster'!$B$5:$B$64,0)),"Not on roster"))</f>
        <v/>
      </c>
      <c r="D885" s="12" t="str">
        <f>IF(B885="","",IFERROR(INDEX('Cashier Roster'!$D$5:$D$64,MATCH(B885,'Cashier Roster'!$B$5:$B$64,0)),""))</f>
        <v/>
      </c>
      <c r="E885" s="13"/>
      <c r="F885" s="14"/>
      <c r="G885" s="8" t="str">
        <f>IF(OR(B885="",E885=""),"",IF(E885="No","Missed",IF(F885="","",IF(F885&lt;=Settings!$B$7,"On time","Late"))))</f>
        <v/>
      </c>
      <c r="H885" s="15"/>
      <c r="I885" s="16"/>
      <c r="J885" s="16"/>
      <c r="K885" s="17" t="str">
        <f>IF(J885="","",ROUND(J885*Settings!$B$8,2))</f>
        <v/>
      </c>
      <c r="L885" s="16"/>
      <c r="M885" s="8" t="str">
        <f t="shared" si="13"/>
        <v/>
      </c>
      <c r="N885" s="9"/>
    </row>
    <row r="886" spans="1:14" ht="15.75">
      <c r="A886" s="11"/>
      <c r="B886" s="9"/>
      <c r="C886" s="12" t="str">
        <f>IF(B886="","",IFERROR(INDEX('Cashier Roster'!$C$5:$C$64,MATCH(B886,'Cashier Roster'!$B$5:$B$64,0)),"Not on roster"))</f>
        <v/>
      </c>
      <c r="D886" s="12" t="str">
        <f>IF(B886="","",IFERROR(INDEX('Cashier Roster'!$D$5:$D$64,MATCH(B886,'Cashier Roster'!$B$5:$B$64,0)),""))</f>
        <v/>
      </c>
      <c r="E886" s="13"/>
      <c r="F886" s="14"/>
      <c r="G886" s="8" t="str">
        <f>IF(OR(B886="",E886=""),"",IF(E886="No","Missed",IF(F886="","",IF(F886&lt;=Settings!$B$7,"On time","Late"))))</f>
        <v/>
      </c>
      <c r="H886" s="15"/>
      <c r="I886" s="16"/>
      <c r="J886" s="16"/>
      <c r="K886" s="17" t="str">
        <f>IF(J886="","",ROUND(J886*Settings!$B$8,2))</f>
        <v/>
      </c>
      <c r="L886" s="16"/>
      <c r="M886" s="8" t="str">
        <f t="shared" si="13"/>
        <v/>
      </c>
      <c r="N886" s="9"/>
    </row>
    <row r="887" spans="1:14" ht="15.75">
      <c r="A887" s="11"/>
      <c r="B887" s="9"/>
      <c r="C887" s="12" t="str">
        <f>IF(B887="","",IFERROR(INDEX('Cashier Roster'!$C$5:$C$64,MATCH(B887,'Cashier Roster'!$B$5:$B$64,0)),"Not on roster"))</f>
        <v/>
      </c>
      <c r="D887" s="12" t="str">
        <f>IF(B887="","",IFERROR(INDEX('Cashier Roster'!$D$5:$D$64,MATCH(B887,'Cashier Roster'!$B$5:$B$64,0)),""))</f>
        <v/>
      </c>
      <c r="E887" s="13"/>
      <c r="F887" s="14"/>
      <c r="G887" s="8" t="str">
        <f>IF(OR(B887="",E887=""),"",IF(E887="No","Missed",IF(F887="","",IF(F887&lt;=Settings!$B$7,"On time","Late"))))</f>
        <v/>
      </c>
      <c r="H887" s="15"/>
      <c r="I887" s="16"/>
      <c r="J887" s="16"/>
      <c r="K887" s="17" t="str">
        <f>IF(J887="","",ROUND(J887*Settings!$B$8,2))</f>
        <v/>
      </c>
      <c r="L887" s="16"/>
      <c r="M887" s="8" t="str">
        <f t="shared" si="13"/>
        <v/>
      </c>
      <c r="N887" s="9"/>
    </row>
    <row r="888" spans="1:14" ht="15.75">
      <c r="A888" s="11"/>
      <c r="B888" s="9"/>
      <c r="C888" s="12" t="str">
        <f>IF(B888="","",IFERROR(INDEX('Cashier Roster'!$C$5:$C$64,MATCH(B888,'Cashier Roster'!$B$5:$B$64,0)),"Not on roster"))</f>
        <v/>
      </c>
      <c r="D888" s="12" t="str">
        <f>IF(B888="","",IFERROR(INDEX('Cashier Roster'!$D$5:$D$64,MATCH(B888,'Cashier Roster'!$B$5:$B$64,0)),""))</f>
        <v/>
      </c>
      <c r="E888" s="13"/>
      <c r="F888" s="14"/>
      <c r="G888" s="8" t="str">
        <f>IF(OR(B888="",E888=""),"",IF(E888="No","Missed",IF(F888="","",IF(F888&lt;=Settings!$B$7,"On time","Late"))))</f>
        <v/>
      </c>
      <c r="H888" s="15"/>
      <c r="I888" s="16"/>
      <c r="J888" s="16"/>
      <c r="K888" s="17" t="str">
        <f>IF(J888="","",ROUND(J888*Settings!$B$8,2))</f>
        <v/>
      </c>
      <c r="L888" s="16"/>
      <c r="M888" s="8" t="str">
        <f t="shared" si="13"/>
        <v/>
      </c>
      <c r="N888" s="9"/>
    </row>
    <row r="889" spans="1:14" ht="15.75">
      <c r="A889" s="11"/>
      <c r="B889" s="9"/>
      <c r="C889" s="12" t="str">
        <f>IF(B889="","",IFERROR(INDEX('Cashier Roster'!$C$5:$C$64,MATCH(B889,'Cashier Roster'!$B$5:$B$64,0)),"Not on roster"))</f>
        <v/>
      </c>
      <c r="D889" s="12" t="str">
        <f>IF(B889="","",IFERROR(INDEX('Cashier Roster'!$D$5:$D$64,MATCH(B889,'Cashier Roster'!$B$5:$B$64,0)),""))</f>
        <v/>
      </c>
      <c r="E889" s="13"/>
      <c r="F889" s="14"/>
      <c r="G889" s="8" t="str">
        <f>IF(OR(B889="",E889=""),"",IF(E889="No","Missed",IF(F889="","",IF(F889&lt;=Settings!$B$7,"On time","Late"))))</f>
        <v/>
      </c>
      <c r="H889" s="15"/>
      <c r="I889" s="16"/>
      <c r="J889" s="16"/>
      <c r="K889" s="17" t="str">
        <f>IF(J889="","",ROUND(J889*Settings!$B$8,2))</f>
        <v/>
      </c>
      <c r="L889" s="16"/>
      <c r="M889" s="8" t="str">
        <f t="shared" si="13"/>
        <v/>
      </c>
      <c r="N889" s="9"/>
    </row>
    <row r="890" spans="1:14" ht="15.75">
      <c r="A890" s="11"/>
      <c r="B890" s="9"/>
      <c r="C890" s="12" t="str">
        <f>IF(B890="","",IFERROR(INDEX('Cashier Roster'!$C$5:$C$64,MATCH(B890,'Cashier Roster'!$B$5:$B$64,0)),"Not on roster"))</f>
        <v/>
      </c>
      <c r="D890" s="12" t="str">
        <f>IF(B890="","",IFERROR(INDEX('Cashier Roster'!$D$5:$D$64,MATCH(B890,'Cashier Roster'!$B$5:$B$64,0)),""))</f>
        <v/>
      </c>
      <c r="E890" s="13"/>
      <c r="F890" s="14"/>
      <c r="G890" s="8" t="str">
        <f>IF(OR(B890="",E890=""),"",IF(E890="No","Missed",IF(F890="","",IF(F890&lt;=Settings!$B$7,"On time","Late"))))</f>
        <v/>
      </c>
      <c r="H890" s="15"/>
      <c r="I890" s="16"/>
      <c r="J890" s="16"/>
      <c r="K890" s="17" t="str">
        <f>IF(J890="","",ROUND(J890*Settings!$B$8,2))</f>
        <v/>
      </c>
      <c r="L890" s="16"/>
      <c r="M890" s="8" t="str">
        <f t="shared" si="13"/>
        <v/>
      </c>
      <c r="N890" s="9"/>
    </row>
    <row r="891" spans="1:14" ht="15.75">
      <c r="A891" s="11"/>
      <c r="B891" s="9"/>
      <c r="C891" s="12" t="str">
        <f>IF(B891="","",IFERROR(INDEX('Cashier Roster'!$C$5:$C$64,MATCH(B891,'Cashier Roster'!$B$5:$B$64,0)),"Not on roster"))</f>
        <v/>
      </c>
      <c r="D891" s="12" t="str">
        <f>IF(B891="","",IFERROR(INDEX('Cashier Roster'!$D$5:$D$64,MATCH(B891,'Cashier Roster'!$B$5:$B$64,0)),""))</f>
        <v/>
      </c>
      <c r="E891" s="13"/>
      <c r="F891" s="14"/>
      <c r="G891" s="8" t="str">
        <f>IF(OR(B891="",E891=""),"",IF(E891="No","Missed",IF(F891="","",IF(F891&lt;=Settings!$B$7,"On time","Late"))))</f>
        <v/>
      </c>
      <c r="H891" s="15"/>
      <c r="I891" s="16"/>
      <c r="J891" s="16"/>
      <c r="K891" s="17" t="str">
        <f>IF(J891="","",ROUND(J891*Settings!$B$8,2))</f>
        <v/>
      </c>
      <c r="L891" s="16"/>
      <c r="M891" s="8" t="str">
        <f t="shared" si="13"/>
        <v/>
      </c>
      <c r="N891" s="9"/>
    </row>
    <row r="892" spans="1:14" ht="15.75">
      <c r="A892" s="11"/>
      <c r="B892" s="9"/>
      <c r="C892" s="12" t="str">
        <f>IF(B892="","",IFERROR(INDEX('Cashier Roster'!$C$5:$C$64,MATCH(B892,'Cashier Roster'!$B$5:$B$64,0)),"Not on roster"))</f>
        <v/>
      </c>
      <c r="D892" s="12" t="str">
        <f>IF(B892="","",IFERROR(INDEX('Cashier Roster'!$D$5:$D$64,MATCH(B892,'Cashier Roster'!$B$5:$B$64,0)),""))</f>
        <v/>
      </c>
      <c r="E892" s="13"/>
      <c r="F892" s="14"/>
      <c r="G892" s="8" t="str">
        <f>IF(OR(B892="",E892=""),"",IF(E892="No","Missed",IF(F892="","",IF(F892&lt;=Settings!$B$7,"On time","Late"))))</f>
        <v/>
      </c>
      <c r="H892" s="15"/>
      <c r="I892" s="16"/>
      <c r="J892" s="16"/>
      <c r="K892" s="17" t="str">
        <f>IF(J892="","",ROUND(J892*Settings!$B$8,2))</f>
        <v/>
      </c>
      <c r="L892" s="16"/>
      <c r="M892" s="8" t="str">
        <f t="shared" si="13"/>
        <v/>
      </c>
      <c r="N892" s="9"/>
    </row>
    <row r="893" spans="1:14" ht="15.75">
      <c r="A893" s="11"/>
      <c r="B893" s="9"/>
      <c r="C893" s="12" t="str">
        <f>IF(B893="","",IFERROR(INDEX('Cashier Roster'!$C$5:$C$64,MATCH(B893,'Cashier Roster'!$B$5:$B$64,0)),"Not on roster"))</f>
        <v/>
      </c>
      <c r="D893" s="12" t="str">
        <f>IF(B893="","",IFERROR(INDEX('Cashier Roster'!$D$5:$D$64,MATCH(B893,'Cashier Roster'!$B$5:$B$64,0)),""))</f>
        <v/>
      </c>
      <c r="E893" s="13"/>
      <c r="F893" s="14"/>
      <c r="G893" s="8" t="str">
        <f>IF(OR(B893="",E893=""),"",IF(E893="No","Missed",IF(F893="","",IF(F893&lt;=Settings!$B$7,"On time","Late"))))</f>
        <v/>
      </c>
      <c r="H893" s="15"/>
      <c r="I893" s="16"/>
      <c r="J893" s="16"/>
      <c r="K893" s="17" t="str">
        <f>IF(J893="","",ROUND(J893*Settings!$B$8,2))</f>
        <v/>
      </c>
      <c r="L893" s="16"/>
      <c r="M893" s="8" t="str">
        <f t="shared" si="13"/>
        <v/>
      </c>
      <c r="N893" s="9"/>
    </row>
    <row r="894" spans="1:14" ht="15.75">
      <c r="A894" s="11"/>
      <c r="B894" s="9"/>
      <c r="C894" s="12" t="str">
        <f>IF(B894="","",IFERROR(INDEX('Cashier Roster'!$C$5:$C$64,MATCH(B894,'Cashier Roster'!$B$5:$B$64,0)),"Not on roster"))</f>
        <v/>
      </c>
      <c r="D894" s="12" t="str">
        <f>IF(B894="","",IFERROR(INDEX('Cashier Roster'!$D$5:$D$64,MATCH(B894,'Cashier Roster'!$B$5:$B$64,0)),""))</f>
        <v/>
      </c>
      <c r="E894" s="13"/>
      <c r="F894" s="14"/>
      <c r="G894" s="8" t="str">
        <f>IF(OR(B894="",E894=""),"",IF(E894="No","Missed",IF(F894="","",IF(F894&lt;=Settings!$B$7,"On time","Late"))))</f>
        <v/>
      </c>
      <c r="H894" s="15"/>
      <c r="I894" s="16"/>
      <c r="J894" s="16"/>
      <c r="K894" s="17" t="str">
        <f>IF(J894="","",ROUND(J894*Settings!$B$8,2))</f>
        <v/>
      </c>
      <c r="L894" s="16"/>
      <c r="M894" s="8" t="str">
        <f t="shared" si="13"/>
        <v/>
      </c>
      <c r="N894" s="9"/>
    </row>
    <row r="895" spans="1:14" ht="15.75">
      <c r="A895" s="11"/>
      <c r="B895" s="9"/>
      <c r="C895" s="12" t="str">
        <f>IF(B895="","",IFERROR(INDEX('Cashier Roster'!$C$5:$C$64,MATCH(B895,'Cashier Roster'!$B$5:$B$64,0)),"Not on roster"))</f>
        <v/>
      </c>
      <c r="D895" s="12" t="str">
        <f>IF(B895="","",IFERROR(INDEX('Cashier Roster'!$D$5:$D$64,MATCH(B895,'Cashier Roster'!$B$5:$B$64,0)),""))</f>
        <v/>
      </c>
      <c r="E895" s="13"/>
      <c r="F895" s="14"/>
      <c r="G895" s="8" t="str">
        <f>IF(OR(B895="",E895=""),"",IF(E895="No","Missed",IF(F895="","",IF(F895&lt;=Settings!$B$7,"On time","Late"))))</f>
        <v/>
      </c>
      <c r="H895" s="15"/>
      <c r="I895" s="16"/>
      <c r="J895" s="16"/>
      <c r="K895" s="17" t="str">
        <f>IF(J895="","",ROUND(J895*Settings!$B$8,2))</f>
        <v/>
      </c>
      <c r="L895" s="16"/>
      <c r="M895" s="8" t="str">
        <f t="shared" si="13"/>
        <v/>
      </c>
      <c r="N895" s="9"/>
    </row>
    <row r="896" spans="1:14" ht="15.75">
      <c r="A896" s="11"/>
      <c r="B896" s="9"/>
      <c r="C896" s="12" t="str">
        <f>IF(B896="","",IFERROR(INDEX('Cashier Roster'!$C$5:$C$64,MATCH(B896,'Cashier Roster'!$B$5:$B$64,0)),"Not on roster"))</f>
        <v/>
      </c>
      <c r="D896" s="12" t="str">
        <f>IF(B896="","",IFERROR(INDEX('Cashier Roster'!$D$5:$D$64,MATCH(B896,'Cashier Roster'!$B$5:$B$64,0)),""))</f>
        <v/>
      </c>
      <c r="E896" s="13"/>
      <c r="F896" s="14"/>
      <c r="G896" s="8" t="str">
        <f>IF(OR(B896="",E896=""),"",IF(E896="No","Missed",IF(F896="","",IF(F896&lt;=Settings!$B$7,"On time","Late"))))</f>
        <v/>
      </c>
      <c r="H896" s="15"/>
      <c r="I896" s="16"/>
      <c r="J896" s="16"/>
      <c r="K896" s="17" t="str">
        <f>IF(J896="","",ROUND(J896*Settings!$B$8,2))</f>
        <v/>
      </c>
      <c r="L896" s="16"/>
      <c r="M896" s="8" t="str">
        <f t="shared" si="13"/>
        <v/>
      </c>
      <c r="N896" s="9"/>
    </row>
    <row r="897" spans="1:14" ht="15.75">
      <c r="A897" s="11"/>
      <c r="B897" s="9"/>
      <c r="C897" s="12" t="str">
        <f>IF(B897="","",IFERROR(INDEX('Cashier Roster'!$C$5:$C$64,MATCH(B897,'Cashier Roster'!$B$5:$B$64,0)),"Not on roster"))</f>
        <v/>
      </c>
      <c r="D897" s="12" t="str">
        <f>IF(B897="","",IFERROR(INDEX('Cashier Roster'!$D$5:$D$64,MATCH(B897,'Cashier Roster'!$B$5:$B$64,0)),""))</f>
        <v/>
      </c>
      <c r="E897" s="13"/>
      <c r="F897" s="14"/>
      <c r="G897" s="8" t="str">
        <f>IF(OR(B897="",E897=""),"",IF(E897="No","Missed",IF(F897="","",IF(F897&lt;=Settings!$B$7,"On time","Late"))))</f>
        <v/>
      </c>
      <c r="H897" s="15"/>
      <c r="I897" s="16"/>
      <c r="J897" s="16"/>
      <c r="K897" s="17" t="str">
        <f>IF(J897="","",ROUND(J897*Settings!$B$8,2))</f>
        <v/>
      </c>
      <c r="L897" s="16"/>
      <c r="M897" s="8" t="str">
        <f t="shared" si="13"/>
        <v/>
      </c>
      <c r="N897" s="9"/>
    </row>
    <row r="898" spans="1:14" ht="15.75">
      <c r="A898" s="11"/>
      <c r="B898" s="9"/>
      <c r="C898" s="12" t="str">
        <f>IF(B898="","",IFERROR(INDEX('Cashier Roster'!$C$5:$C$64,MATCH(B898,'Cashier Roster'!$B$5:$B$64,0)),"Not on roster"))</f>
        <v/>
      </c>
      <c r="D898" s="12" t="str">
        <f>IF(B898="","",IFERROR(INDEX('Cashier Roster'!$D$5:$D$64,MATCH(B898,'Cashier Roster'!$B$5:$B$64,0)),""))</f>
        <v/>
      </c>
      <c r="E898" s="13"/>
      <c r="F898" s="14"/>
      <c r="G898" s="8" t="str">
        <f>IF(OR(B898="",E898=""),"",IF(E898="No","Missed",IF(F898="","",IF(F898&lt;=Settings!$B$7,"On time","Late"))))</f>
        <v/>
      </c>
      <c r="H898" s="15"/>
      <c r="I898" s="16"/>
      <c r="J898" s="16"/>
      <c r="K898" s="17" t="str">
        <f>IF(J898="","",ROUND(J898*Settings!$B$8,2))</f>
        <v/>
      </c>
      <c r="L898" s="16"/>
      <c r="M898" s="8" t="str">
        <f t="shared" si="13"/>
        <v/>
      </c>
      <c r="N898" s="9"/>
    </row>
    <row r="899" spans="1:14" ht="15.75">
      <c r="A899" s="11"/>
      <c r="B899" s="9"/>
      <c r="C899" s="12" t="str">
        <f>IF(B899="","",IFERROR(INDEX('Cashier Roster'!$C$5:$C$64,MATCH(B899,'Cashier Roster'!$B$5:$B$64,0)),"Not on roster"))</f>
        <v/>
      </c>
      <c r="D899" s="12" t="str">
        <f>IF(B899="","",IFERROR(INDEX('Cashier Roster'!$D$5:$D$64,MATCH(B899,'Cashier Roster'!$B$5:$B$64,0)),""))</f>
        <v/>
      </c>
      <c r="E899" s="13"/>
      <c r="F899" s="14"/>
      <c r="G899" s="8" t="str">
        <f>IF(OR(B899="",E899=""),"",IF(E899="No","Missed",IF(F899="","",IF(F899&lt;=Settings!$B$7,"On time","Late"))))</f>
        <v/>
      </c>
      <c r="H899" s="15"/>
      <c r="I899" s="16"/>
      <c r="J899" s="16"/>
      <c r="K899" s="17" t="str">
        <f>IF(J899="","",ROUND(J899*Settings!$B$8,2))</f>
        <v/>
      </c>
      <c r="L899" s="16"/>
      <c r="M899" s="8" t="str">
        <f t="shared" si="13"/>
        <v/>
      </c>
      <c r="N899" s="9"/>
    </row>
    <row r="900" spans="1:14" ht="15.75">
      <c r="A900" s="11"/>
      <c r="B900" s="9"/>
      <c r="C900" s="12" t="str">
        <f>IF(B900="","",IFERROR(INDEX('Cashier Roster'!$C$5:$C$64,MATCH(B900,'Cashier Roster'!$B$5:$B$64,0)),"Not on roster"))</f>
        <v/>
      </c>
      <c r="D900" s="12" t="str">
        <f>IF(B900="","",IFERROR(INDEX('Cashier Roster'!$D$5:$D$64,MATCH(B900,'Cashier Roster'!$B$5:$B$64,0)),""))</f>
        <v/>
      </c>
      <c r="E900" s="13"/>
      <c r="F900" s="14"/>
      <c r="G900" s="8" t="str">
        <f>IF(OR(B900="",E900=""),"",IF(E900="No","Missed",IF(F900="","",IF(F900&lt;=Settings!$B$7,"On time","Late"))))</f>
        <v/>
      </c>
      <c r="H900" s="15"/>
      <c r="I900" s="16"/>
      <c r="J900" s="16"/>
      <c r="K900" s="17" t="str">
        <f>IF(J900="","",ROUND(J900*Settings!$B$8,2))</f>
        <v/>
      </c>
      <c r="L900" s="16"/>
      <c r="M900" s="8" t="str">
        <f t="shared" si="13"/>
        <v/>
      </c>
      <c r="N900" s="9"/>
    </row>
    <row r="901" spans="1:14" ht="15.75">
      <c r="A901" s="11"/>
      <c r="B901" s="9"/>
      <c r="C901" s="12" t="str">
        <f>IF(B901="","",IFERROR(INDEX('Cashier Roster'!$C$5:$C$64,MATCH(B901,'Cashier Roster'!$B$5:$B$64,0)),"Not on roster"))</f>
        <v/>
      </c>
      <c r="D901" s="12" t="str">
        <f>IF(B901="","",IFERROR(INDEX('Cashier Roster'!$D$5:$D$64,MATCH(B901,'Cashier Roster'!$B$5:$B$64,0)),""))</f>
        <v/>
      </c>
      <c r="E901" s="13"/>
      <c r="F901" s="14"/>
      <c r="G901" s="8" t="str">
        <f>IF(OR(B901="",E901=""),"",IF(E901="No","Missed",IF(F901="","",IF(F901&lt;=Settings!$B$7,"On time","Late"))))</f>
        <v/>
      </c>
      <c r="H901" s="15"/>
      <c r="I901" s="16"/>
      <c r="J901" s="16"/>
      <c r="K901" s="17" t="str">
        <f>IF(J901="","",ROUND(J901*Settings!$B$8,2))</f>
        <v/>
      </c>
      <c r="L901" s="16"/>
      <c r="M901" s="8" t="str">
        <f t="shared" ref="M901:M964" si="14">IF(L901="","",IF(L901&lt;=0,"Yes","No"))</f>
        <v/>
      </c>
      <c r="N901" s="9"/>
    </row>
    <row r="902" spans="1:14" ht="15.75">
      <c r="A902" s="11"/>
      <c r="B902" s="9"/>
      <c r="C902" s="12" t="str">
        <f>IF(B902="","",IFERROR(INDEX('Cashier Roster'!$C$5:$C$64,MATCH(B902,'Cashier Roster'!$B$5:$B$64,0)),"Not on roster"))</f>
        <v/>
      </c>
      <c r="D902" s="12" t="str">
        <f>IF(B902="","",IFERROR(INDEX('Cashier Roster'!$D$5:$D$64,MATCH(B902,'Cashier Roster'!$B$5:$B$64,0)),""))</f>
        <v/>
      </c>
      <c r="E902" s="13"/>
      <c r="F902" s="14"/>
      <c r="G902" s="8" t="str">
        <f>IF(OR(B902="",E902=""),"",IF(E902="No","Missed",IF(F902="","",IF(F902&lt;=Settings!$B$7,"On time","Late"))))</f>
        <v/>
      </c>
      <c r="H902" s="15"/>
      <c r="I902" s="16"/>
      <c r="J902" s="16"/>
      <c r="K902" s="17" t="str">
        <f>IF(J902="","",ROUND(J902*Settings!$B$8,2))</f>
        <v/>
      </c>
      <c r="L902" s="16"/>
      <c r="M902" s="8" t="str">
        <f t="shared" si="14"/>
        <v/>
      </c>
      <c r="N902" s="9"/>
    </row>
    <row r="903" spans="1:14" ht="15.75">
      <c r="A903" s="11"/>
      <c r="B903" s="9"/>
      <c r="C903" s="12" t="str">
        <f>IF(B903="","",IFERROR(INDEX('Cashier Roster'!$C$5:$C$64,MATCH(B903,'Cashier Roster'!$B$5:$B$64,0)),"Not on roster"))</f>
        <v/>
      </c>
      <c r="D903" s="12" t="str">
        <f>IF(B903="","",IFERROR(INDEX('Cashier Roster'!$D$5:$D$64,MATCH(B903,'Cashier Roster'!$B$5:$B$64,0)),""))</f>
        <v/>
      </c>
      <c r="E903" s="13"/>
      <c r="F903" s="14"/>
      <c r="G903" s="8" t="str">
        <f>IF(OR(B903="",E903=""),"",IF(E903="No","Missed",IF(F903="","",IF(F903&lt;=Settings!$B$7,"On time","Late"))))</f>
        <v/>
      </c>
      <c r="H903" s="15"/>
      <c r="I903" s="16"/>
      <c r="J903" s="16"/>
      <c r="K903" s="17" t="str">
        <f>IF(J903="","",ROUND(J903*Settings!$B$8,2))</f>
        <v/>
      </c>
      <c r="L903" s="16"/>
      <c r="M903" s="8" t="str">
        <f t="shared" si="14"/>
        <v/>
      </c>
      <c r="N903" s="9"/>
    </row>
    <row r="904" spans="1:14" ht="15.75">
      <c r="A904" s="11"/>
      <c r="B904" s="9"/>
      <c r="C904" s="12" t="str">
        <f>IF(B904="","",IFERROR(INDEX('Cashier Roster'!$C$5:$C$64,MATCH(B904,'Cashier Roster'!$B$5:$B$64,0)),"Not on roster"))</f>
        <v/>
      </c>
      <c r="D904" s="12" t="str">
        <f>IF(B904="","",IFERROR(INDEX('Cashier Roster'!$D$5:$D$64,MATCH(B904,'Cashier Roster'!$B$5:$B$64,0)),""))</f>
        <v/>
      </c>
      <c r="E904" s="13"/>
      <c r="F904" s="14"/>
      <c r="G904" s="8" t="str">
        <f>IF(OR(B904="",E904=""),"",IF(E904="No","Missed",IF(F904="","",IF(F904&lt;=Settings!$B$7,"On time","Late"))))</f>
        <v/>
      </c>
      <c r="H904" s="15"/>
      <c r="I904" s="16"/>
      <c r="J904" s="16"/>
      <c r="K904" s="17" t="str">
        <f>IF(J904="","",ROUND(J904*Settings!$B$8,2))</f>
        <v/>
      </c>
      <c r="L904" s="16"/>
      <c r="M904" s="8" t="str">
        <f t="shared" si="14"/>
        <v/>
      </c>
      <c r="N904" s="9"/>
    </row>
    <row r="905" spans="1:14" ht="15.75">
      <c r="A905" s="11"/>
      <c r="B905" s="9"/>
      <c r="C905" s="12" t="str">
        <f>IF(B905="","",IFERROR(INDEX('Cashier Roster'!$C$5:$C$64,MATCH(B905,'Cashier Roster'!$B$5:$B$64,0)),"Not on roster"))</f>
        <v/>
      </c>
      <c r="D905" s="12" t="str">
        <f>IF(B905="","",IFERROR(INDEX('Cashier Roster'!$D$5:$D$64,MATCH(B905,'Cashier Roster'!$B$5:$B$64,0)),""))</f>
        <v/>
      </c>
      <c r="E905" s="13"/>
      <c r="F905" s="14"/>
      <c r="G905" s="8" t="str">
        <f>IF(OR(B905="",E905=""),"",IF(E905="No","Missed",IF(F905="","",IF(F905&lt;=Settings!$B$7,"On time","Late"))))</f>
        <v/>
      </c>
      <c r="H905" s="15"/>
      <c r="I905" s="16"/>
      <c r="J905" s="16"/>
      <c r="K905" s="17" t="str">
        <f>IF(J905="","",ROUND(J905*Settings!$B$8,2))</f>
        <v/>
      </c>
      <c r="L905" s="16"/>
      <c r="M905" s="8" t="str">
        <f t="shared" si="14"/>
        <v/>
      </c>
      <c r="N905" s="9"/>
    </row>
    <row r="906" spans="1:14" ht="15.75">
      <c r="A906" s="11"/>
      <c r="B906" s="9"/>
      <c r="C906" s="12" t="str">
        <f>IF(B906="","",IFERROR(INDEX('Cashier Roster'!$C$5:$C$64,MATCH(B906,'Cashier Roster'!$B$5:$B$64,0)),"Not on roster"))</f>
        <v/>
      </c>
      <c r="D906" s="12" t="str">
        <f>IF(B906="","",IFERROR(INDEX('Cashier Roster'!$D$5:$D$64,MATCH(B906,'Cashier Roster'!$B$5:$B$64,0)),""))</f>
        <v/>
      </c>
      <c r="E906" s="13"/>
      <c r="F906" s="14"/>
      <c r="G906" s="8" t="str">
        <f>IF(OR(B906="",E906=""),"",IF(E906="No","Missed",IF(F906="","",IF(F906&lt;=Settings!$B$7,"On time","Late"))))</f>
        <v/>
      </c>
      <c r="H906" s="15"/>
      <c r="I906" s="16"/>
      <c r="J906" s="16"/>
      <c r="K906" s="17" t="str">
        <f>IF(J906="","",ROUND(J906*Settings!$B$8,2))</f>
        <v/>
      </c>
      <c r="L906" s="16"/>
      <c r="M906" s="8" t="str">
        <f t="shared" si="14"/>
        <v/>
      </c>
      <c r="N906" s="9"/>
    </row>
    <row r="907" spans="1:14" ht="15.75">
      <c r="A907" s="11"/>
      <c r="B907" s="9"/>
      <c r="C907" s="12" t="str">
        <f>IF(B907="","",IFERROR(INDEX('Cashier Roster'!$C$5:$C$64,MATCH(B907,'Cashier Roster'!$B$5:$B$64,0)),"Not on roster"))</f>
        <v/>
      </c>
      <c r="D907" s="12" t="str">
        <f>IF(B907="","",IFERROR(INDEX('Cashier Roster'!$D$5:$D$64,MATCH(B907,'Cashier Roster'!$B$5:$B$64,0)),""))</f>
        <v/>
      </c>
      <c r="E907" s="13"/>
      <c r="F907" s="14"/>
      <c r="G907" s="8" t="str">
        <f>IF(OR(B907="",E907=""),"",IF(E907="No","Missed",IF(F907="","",IF(F907&lt;=Settings!$B$7,"On time","Late"))))</f>
        <v/>
      </c>
      <c r="H907" s="15"/>
      <c r="I907" s="16"/>
      <c r="J907" s="16"/>
      <c r="K907" s="17" t="str">
        <f>IF(J907="","",ROUND(J907*Settings!$B$8,2))</f>
        <v/>
      </c>
      <c r="L907" s="16"/>
      <c r="M907" s="8" t="str">
        <f t="shared" si="14"/>
        <v/>
      </c>
      <c r="N907" s="9"/>
    </row>
    <row r="908" spans="1:14" ht="15.75">
      <c r="A908" s="11"/>
      <c r="B908" s="9"/>
      <c r="C908" s="12" t="str">
        <f>IF(B908="","",IFERROR(INDEX('Cashier Roster'!$C$5:$C$64,MATCH(B908,'Cashier Roster'!$B$5:$B$64,0)),"Not on roster"))</f>
        <v/>
      </c>
      <c r="D908" s="12" t="str">
        <f>IF(B908="","",IFERROR(INDEX('Cashier Roster'!$D$5:$D$64,MATCH(B908,'Cashier Roster'!$B$5:$B$64,0)),""))</f>
        <v/>
      </c>
      <c r="E908" s="13"/>
      <c r="F908" s="14"/>
      <c r="G908" s="8" t="str">
        <f>IF(OR(B908="",E908=""),"",IF(E908="No","Missed",IF(F908="","",IF(F908&lt;=Settings!$B$7,"On time","Late"))))</f>
        <v/>
      </c>
      <c r="H908" s="15"/>
      <c r="I908" s="16"/>
      <c r="J908" s="16"/>
      <c r="K908" s="17" t="str">
        <f>IF(J908="","",ROUND(J908*Settings!$B$8,2))</f>
        <v/>
      </c>
      <c r="L908" s="16"/>
      <c r="M908" s="8" t="str">
        <f t="shared" si="14"/>
        <v/>
      </c>
      <c r="N908" s="9"/>
    </row>
    <row r="909" spans="1:14" ht="15.75">
      <c r="A909" s="11"/>
      <c r="B909" s="9"/>
      <c r="C909" s="12" t="str">
        <f>IF(B909="","",IFERROR(INDEX('Cashier Roster'!$C$5:$C$64,MATCH(B909,'Cashier Roster'!$B$5:$B$64,0)),"Not on roster"))</f>
        <v/>
      </c>
      <c r="D909" s="12" t="str">
        <f>IF(B909="","",IFERROR(INDEX('Cashier Roster'!$D$5:$D$64,MATCH(B909,'Cashier Roster'!$B$5:$B$64,0)),""))</f>
        <v/>
      </c>
      <c r="E909" s="13"/>
      <c r="F909" s="14"/>
      <c r="G909" s="8" t="str">
        <f>IF(OR(B909="",E909=""),"",IF(E909="No","Missed",IF(F909="","",IF(F909&lt;=Settings!$B$7,"On time","Late"))))</f>
        <v/>
      </c>
      <c r="H909" s="15"/>
      <c r="I909" s="16"/>
      <c r="J909" s="16"/>
      <c r="K909" s="17" t="str">
        <f>IF(J909="","",ROUND(J909*Settings!$B$8,2))</f>
        <v/>
      </c>
      <c r="L909" s="16"/>
      <c r="M909" s="8" t="str">
        <f t="shared" si="14"/>
        <v/>
      </c>
      <c r="N909" s="9"/>
    </row>
    <row r="910" spans="1:14" ht="15.75">
      <c r="A910" s="11"/>
      <c r="B910" s="9"/>
      <c r="C910" s="12" t="str">
        <f>IF(B910="","",IFERROR(INDEX('Cashier Roster'!$C$5:$C$64,MATCH(B910,'Cashier Roster'!$B$5:$B$64,0)),"Not on roster"))</f>
        <v/>
      </c>
      <c r="D910" s="12" t="str">
        <f>IF(B910="","",IFERROR(INDEX('Cashier Roster'!$D$5:$D$64,MATCH(B910,'Cashier Roster'!$B$5:$B$64,0)),""))</f>
        <v/>
      </c>
      <c r="E910" s="13"/>
      <c r="F910" s="14"/>
      <c r="G910" s="8" t="str">
        <f>IF(OR(B910="",E910=""),"",IF(E910="No","Missed",IF(F910="","",IF(F910&lt;=Settings!$B$7,"On time","Late"))))</f>
        <v/>
      </c>
      <c r="H910" s="15"/>
      <c r="I910" s="16"/>
      <c r="J910" s="16"/>
      <c r="K910" s="17" t="str">
        <f>IF(J910="","",ROUND(J910*Settings!$B$8,2))</f>
        <v/>
      </c>
      <c r="L910" s="16"/>
      <c r="M910" s="8" t="str">
        <f t="shared" si="14"/>
        <v/>
      </c>
      <c r="N910" s="9"/>
    </row>
    <row r="911" spans="1:14" ht="15.75">
      <c r="A911" s="11"/>
      <c r="B911" s="9"/>
      <c r="C911" s="12" t="str">
        <f>IF(B911="","",IFERROR(INDEX('Cashier Roster'!$C$5:$C$64,MATCH(B911,'Cashier Roster'!$B$5:$B$64,0)),"Not on roster"))</f>
        <v/>
      </c>
      <c r="D911" s="12" t="str">
        <f>IF(B911="","",IFERROR(INDEX('Cashier Roster'!$D$5:$D$64,MATCH(B911,'Cashier Roster'!$B$5:$B$64,0)),""))</f>
        <v/>
      </c>
      <c r="E911" s="13"/>
      <c r="F911" s="14"/>
      <c r="G911" s="8" t="str">
        <f>IF(OR(B911="",E911=""),"",IF(E911="No","Missed",IF(F911="","",IF(F911&lt;=Settings!$B$7,"On time","Late"))))</f>
        <v/>
      </c>
      <c r="H911" s="15"/>
      <c r="I911" s="16"/>
      <c r="J911" s="16"/>
      <c r="K911" s="17" t="str">
        <f>IF(J911="","",ROUND(J911*Settings!$B$8,2))</f>
        <v/>
      </c>
      <c r="L911" s="16"/>
      <c r="M911" s="8" t="str">
        <f t="shared" si="14"/>
        <v/>
      </c>
      <c r="N911" s="9"/>
    </row>
    <row r="912" spans="1:14" ht="15.75">
      <c r="A912" s="11"/>
      <c r="B912" s="9"/>
      <c r="C912" s="12" t="str">
        <f>IF(B912="","",IFERROR(INDEX('Cashier Roster'!$C$5:$C$64,MATCH(B912,'Cashier Roster'!$B$5:$B$64,0)),"Not on roster"))</f>
        <v/>
      </c>
      <c r="D912" s="12" t="str">
        <f>IF(B912="","",IFERROR(INDEX('Cashier Roster'!$D$5:$D$64,MATCH(B912,'Cashier Roster'!$B$5:$B$64,0)),""))</f>
        <v/>
      </c>
      <c r="E912" s="13"/>
      <c r="F912" s="14"/>
      <c r="G912" s="8" t="str">
        <f>IF(OR(B912="",E912=""),"",IF(E912="No","Missed",IF(F912="","",IF(F912&lt;=Settings!$B$7,"On time","Late"))))</f>
        <v/>
      </c>
      <c r="H912" s="15"/>
      <c r="I912" s="16"/>
      <c r="J912" s="16"/>
      <c r="K912" s="17" t="str">
        <f>IF(J912="","",ROUND(J912*Settings!$B$8,2))</f>
        <v/>
      </c>
      <c r="L912" s="16"/>
      <c r="M912" s="8" t="str">
        <f t="shared" si="14"/>
        <v/>
      </c>
      <c r="N912" s="9"/>
    </row>
    <row r="913" spans="1:14" ht="15.75">
      <c r="A913" s="11"/>
      <c r="B913" s="9"/>
      <c r="C913" s="12" t="str">
        <f>IF(B913="","",IFERROR(INDEX('Cashier Roster'!$C$5:$C$64,MATCH(B913,'Cashier Roster'!$B$5:$B$64,0)),"Not on roster"))</f>
        <v/>
      </c>
      <c r="D913" s="12" t="str">
        <f>IF(B913="","",IFERROR(INDEX('Cashier Roster'!$D$5:$D$64,MATCH(B913,'Cashier Roster'!$B$5:$B$64,0)),""))</f>
        <v/>
      </c>
      <c r="E913" s="13"/>
      <c r="F913" s="14"/>
      <c r="G913" s="8" t="str">
        <f>IF(OR(B913="",E913=""),"",IF(E913="No","Missed",IF(F913="","",IF(F913&lt;=Settings!$B$7,"On time","Late"))))</f>
        <v/>
      </c>
      <c r="H913" s="15"/>
      <c r="I913" s="16"/>
      <c r="J913" s="16"/>
      <c r="K913" s="17" t="str">
        <f>IF(J913="","",ROUND(J913*Settings!$B$8,2))</f>
        <v/>
      </c>
      <c r="L913" s="16"/>
      <c r="M913" s="8" t="str">
        <f t="shared" si="14"/>
        <v/>
      </c>
      <c r="N913" s="9"/>
    </row>
    <row r="914" spans="1:14" ht="15.75">
      <c r="A914" s="11"/>
      <c r="B914" s="9"/>
      <c r="C914" s="12" t="str">
        <f>IF(B914="","",IFERROR(INDEX('Cashier Roster'!$C$5:$C$64,MATCH(B914,'Cashier Roster'!$B$5:$B$64,0)),"Not on roster"))</f>
        <v/>
      </c>
      <c r="D914" s="12" t="str">
        <f>IF(B914="","",IFERROR(INDEX('Cashier Roster'!$D$5:$D$64,MATCH(B914,'Cashier Roster'!$B$5:$B$64,0)),""))</f>
        <v/>
      </c>
      <c r="E914" s="13"/>
      <c r="F914" s="14"/>
      <c r="G914" s="8" t="str">
        <f>IF(OR(B914="",E914=""),"",IF(E914="No","Missed",IF(F914="","",IF(F914&lt;=Settings!$B$7,"On time","Late"))))</f>
        <v/>
      </c>
      <c r="H914" s="15"/>
      <c r="I914" s="16"/>
      <c r="J914" s="16"/>
      <c r="K914" s="17" t="str">
        <f>IF(J914="","",ROUND(J914*Settings!$B$8,2))</f>
        <v/>
      </c>
      <c r="L914" s="16"/>
      <c r="M914" s="8" t="str">
        <f t="shared" si="14"/>
        <v/>
      </c>
      <c r="N914" s="9"/>
    </row>
    <row r="915" spans="1:14" ht="15.75">
      <c r="A915" s="11"/>
      <c r="B915" s="9"/>
      <c r="C915" s="12" t="str">
        <f>IF(B915="","",IFERROR(INDEX('Cashier Roster'!$C$5:$C$64,MATCH(B915,'Cashier Roster'!$B$5:$B$64,0)),"Not on roster"))</f>
        <v/>
      </c>
      <c r="D915" s="12" t="str">
        <f>IF(B915="","",IFERROR(INDEX('Cashier Roster'!$D$5:$D$64,MATCH(B915,'Cashier Roster'!$B$5:$B$64,0)),""))</f>
        <v/>
      </c>
      <c r="E915" s="13"/>
      <c r="F915" s="14"/>
      <c r="G915" s="8" t="str">
        <f>IF(OR(B915="",E915=""),"",IF(E915="No","Missed",IF(F915="","",IF(F915&lt;=Settings!$B$7,"On time","Late"))))</f>
        <v/>
      </c>
      <c r="H915" s="15"/>
      <c r="I915" s="16"/>
      <c r="J915" s="16"/>
      <c r="K915" s="17" t="str">
        <f>IF(J915="","",ROUND(J915*Settings!$B$8,2))</f>
        <v/>
      </c>
      <c r="L915" s="16"/>
      <c r="M915" s="8" t="str">
        <f t="shared" si="14"/>
        <v/>
      </c>
      <c r="N915" s="9"/>
    </row>
    <row r="916" spans="1:14" ht="15.75">
      <c r="A916" s="11"/>
      <c r="B916" s="9"/>
      <c r="C916" s="12" t="str">
        <f>IF(B916="","",IFERROR(INDEX('Cashier Roster'!$C$5:$C$64,MATCH(B916,'Cashier Roster'!$B$5:$B$64,0)),"Not on roster"))</f>
        <v/>
      </c>
      <c r="D916" s="12" t="str">
        <f>IF(B916="","",IFERROR(INDEX('Cashier Roster'!$D$5:$D$64,MATCH(B916,'Cashier Roster'!$B$5:$B$64,0)),""))</f>
        <v/>
      </c>
      <c r="E916" s="13"/>
      <c r="F916" s="14"/>
      <c r="G916" s="8" t="str">
        <f>IF(OR(B916="",E916=""),"",IF(E916="No","Missed",IF(F916="","",IF(F916&lt;=Settings!$B$7,"On time","Late"))))</f>
        <v/>
      </c>
      <c r="H916" s="15"/>
      <c r="I916" s="16"/>
      <c r="J916" s="16"/>
      <c r="K916" s="17" t="str">
        <f>IF(J916="","",ROUND(J916*Settings!$B$8,2))</f>
        <v/>
      </c>
      <c r="L916" s="16"/>
      <c r="M916" s="8" t="str">
        <f t="shared" si="14"/>
        <v/>
      </c>
      <c r="N916" s="9"/>
    </row>
    <row r="917" spans="1:14" ht="15.75">
      <c r="A917" s="11"/>
      <c r="B917" s="9"/>
      <c r="C917" s="12" t="str">
        <f>IF(B917="","",IFERROR(INDEX('Cashier Roster'!$C$5:$C$64,MATCH(B917,'Cashier Roster'!$B$5:$B$64,0)),"Not on roster"))</f>
        <v/>
      </c>
      <c r="D917" s="12" t="str">
        <f>IF(B917="","",IFERROR(INDEX('Cashier Roster'!$D$5:$D$64,MATCH(B917,'Cashier Roster'!$B$5:$B$64,0)),""))</f>
        <v/>
      </c>
      <c r="E917" s="13"/>
      <c r="F917" s="14"/>
      <c r="G917" s="8" t="str">
        <f>IF(OR(B917="",E917=""),"",IF(E917="No","Missed",IF(F917="","",IF(F917&lt;=Settings!$B$7,"On time","Late"))))</f>
        <v/>
      </c>
      <c r="H917" s="15"/>
      <c r="I917" s="16"/>
      <c r="J917" s="16"/>
      <c r="K917" s="17" t="str">
        <f>IF(J917="","",ROUND(J917*Settings!$B$8,2))</f>
        <v/>
      </c>
      <c r="L917" s="16"/>
      <c r="M917" s="8" t="str">
        <f t="shared" si="14"/>
        <v/>
      </c>
      <c r="N917" s="9"/>
    </row>
    <row r="918" spans="1:14" ht="15.75">
      <c r="A918" s="11"/>
      <c r="B918" s="9"/>
      <c r="C918" s="12" t="str">
        <f>IF(B918="","",IFERROR(INDEX('Cashier Roster'!$C$5:$C$64,MATCH(B918,'Cashier Roster'!$B$5:$B$64,0)),"Not on roster"))</f>
        <v/>
      </c>
      <c r="D918" s="12" t="str">
        <f>IF(B918="","",IFERROR(INDEX('Cashier Roster'!$D$5:$D$64,MATCH(B918,'Cashier Roster'!$B$5:$B$64,0)),""))</f>
        <v/>
      </c>
      <c r="E918" s="13"/>
      <c r="F918" s="14"/>
      <c r="G918" s="8" t="str">
        <f>IF(OR(B918="",E918=""),"",IF(E918="No","Missed",IF(F918="","",IF(F918&lt;=Settings!$B$7,"On time","Late"))))</f>
        <v/>
      </c>
      <c r="H918" s="15"/>
      <c r="I918" s="16"/>
      <c r="J918" s="16"/>
      <c r="K918" s="17" t="str">
        <f>IF(J918="","",ROUND(J918*Settings!$B$8,2))</f>
        <v/>
      </c>
      <c r="L918" s="16"/>
      <c r="M918" s="8" t="str">
        <f t="shared" si="14"/>
        <v/>
      </c>
      <c r="N918" s="9"/>
    </row>
    <row r="919" spans="1:14" ht="15.75">
      <c r="A919" s="11"/>
      <c r="B919" s="9"/>
      <c r="C919" s="12" t="str">
        <f>IF(B919="","",IFERROR(INDEX('Cashier Roster'!$C$5:$C$64,MATCH(B919,'Cashier Roster'!$B$5:$B$64,0)),"Not on roster"))</f>
        <v/>
      </c>
      <c r="D919" s="12" t="str">
        <f>IF(B919="","",IFERROR(INDEX('Cashier Roster'!$D$5:$D$64,MATCH(B919,'Cashier Roster'!$B$5:$B$64,0)),""))</f>
        <v/>
      </c>
      <c r="E919" s="13"/>
      <c r="F919" s="14"/>
      <c r="G919" s="8" t="str">
        <f>IF(OR(B919="",E919=""),"",IF(E919="No","Missed",IF(F919="","",IF(F919&lt;=Settings!$B$7,"On time","Late"))))</f>
        <v/>
      </c>
      <c r="H919" s="15"/>
      <c r="I919" s="16"/>
      <c r="J919" s="16"/>
      <c r="K919" s="17" t="str">
        <f>IF(J919="","",ROUND(J919*Settings!$B$8,2))</f>
        <v/>
      </c>
      <c r="L919" s="16"/>
      <c r="M919" s="8" t="str">
        <f t="shared" si="14"/>
        <v/>
      </c>
      <c r="N919" s="9"/>
    </row>
    <row r="920" spans="1:14" ht="15.75">
      <c r="A920" s="11"/>
      <c r="B920" s="9"/>
      <c r="C920" s="12" t="str">
        <f>IF(B920="","",IFERROR(INDEX('Cashier Roster'!$C$5:$C$64,MATCH(B920,'Cashier Roster'!$B$5:$B$64,0)),"Not on roster"))</f>
        <v/>
      </c>
      <c r="D920" s="12" t="str">
        <f>IF(B920="","",IFERROR(INDEX('Cashier Roster'!$D$5:$D$64,MATCH(B920,'Cashier Roster'!$B$5:$B$64,0)),""))</f>
        <v/>
      </c>
      <c r="E920" s="13"/>
      <c r="F920" s="14"/>
      <c r="G920" s="8" t="str">
        <f>IF(OR(B920="",E920=""),"",IF(E920="No","Missed",IF(F920="","",IF(F920&lt;=Settings!$B$7,"On time","Late"))))</f>
        <v/>
      </c>
      <c r="H920" s="15"/>
      <c r="I920" s="16"/>
      <c r="J920" s="16"/>
      <c r="K920" s="17" t="str">
        <f>IF(J920="","",ROUND(J920*Settings!$B$8,2))</f>
        <v/>
      </c>
      <c r="L920" s="16"/>
      <c r="M920" s="8" t="str">
        <f t="shared" si="14"/>
        <v/>
      </c>
      <c r="N920" s="9"/>
    </row>
    <row r="921" spans="1:14" ht="15.75">
      <c r="A921" s="11"/>
      <c r="B921" s="9"/>
      <c r="C921" s="12" t="str">
        <f>IF(B921="","",IFERROR(INDEX('Cashier Roster'!$C$5:$C$64,MATCH(B921,'Cashier Roster'!$B$5:$B$64,0)),"Not on roster"))</f>
        <v/>
      </c>
      <c r="D921" s="12" t="str">
        <f>IF(B921="","",IFERROR(INDEX('Cashier Roster'!$D$5:$D$64,MATCH(B921,'Cashier Roster'!$B$5:$B$64,0)),""))</f>
        <v/>
      </c>
      <c r="E921" s="13"/>
      <c r="F921" s="14"/>
      <c r="G921" s="8" t="str">
        <f>IF(OR(B921="",E921=""),"",IF(E921="No","Missed",IF(F921="","",IF(F921&lt;=Settings!$B$7,"On time","Late"))))</f>
        <v/>
      </c>
      <c r="H921" s="15"/>
      <c r="I921" s="16"/>
      <c r="J921" s="16"/>
      <c r="K921" s="17" t="str">
        <f>IF(J921="","",ROUND(J921*Settings!$B$8,2))</f>
        <v/>
      </c>
      <c r="L921" s="16"/>
      <c r="M921" s="8" t="str">
        <f t="shared" si="14"/>
        <v/>
      </c>
      <c r="N921" s="9"/>
    </row>
    <row r="922" spans="1:14" ht="15.75">
      <c r="A922" s="11"/>
      <c r="B922" s="9"/>
      <c r="C922" s="12" t="str">
        <f>IF(B922="","",IFERROR(INDEX('Cashier Roster'!$C$5:$C$64,MATCH(B922,'Cashier Roster'!$B$5:$B$64,0)),"Not on roster"))</f>
        <v/>
      </c>
      <c r="D922" s="12" t="str">
        <f>IF(B922="","",IFERROR(INDEX('Cashier Roster'!$D$5:$D$64,MATCH(B922,'Cashier Roster'!$B$5:$B$64,0)),""))</f>
        <v/>
      </c>
      <c r="E922" s="13"/>
      <c r="F922" s="14"/>
      <c r="G922" s="8" t="str">
        <f>IF(OR(B922="",E922=""),"",IF(E922="No","Missed",IF(F922="","",IF(F922&lt;=Settings!$B$7,"On time","Late"))))</f>
        <v/>
      </c>
      <c r="H922" s="15"/>
      <c r="I922" s="16"/>
      <c r="J922" s="16"/>
      <c r="K922" s="17" t="str">
        <f>IF(J922="","",ROUND(J922*Settings!$B$8,2))</f>
        <v/>
      </c>
      <c r="L922" s="16"/>
      <c r="M922" s="8" t="str">
        <f t="shared" si="14"/>
        <v/>
      </c>
      <c r="N922" s="9"/>
    </row>
    <row r="923" spans="1:14" ht="15.75">
      <c r="A923" s="11"/>
      <c r="B923" s="9"/>
      <c r="C923" s="12" t="str">
        <f>IF(B923="","",IFERROR(INDEX('Cashier Roster'!$C$5:$C$64,MATCH(B923,'Cashier Roster'!$B$5:$B$64,0)),"Not on roster"))</f>
        <v/>
      </c>
      <c r="D923" s="12" t="str">
        <f>IF(B923="","",IFERROR(INDEX('Cashier Roster'!$D$5:$D$64,MATCH(B923,'Cashier Roster'!$B$5:$B$64,0)),""))</f>
        <v/>
      </c>
      <c r="E923" s="13"/>
      <c r="F923" s="14"/>
      <c r="G923" s="8" t="str">
        <f>IF(OR(B923="",E923=""),"",IF(E923="No","Missed",IF(F923="","",IF(F923&lt;=Settings!$B$7,"On time","Late"))))</f>
        <v/>
      </c>
      <c r="H923" s="15"/>
      <c r="I923" s="16"/>
      <c r="J923" s="16"/>
      <c r="K923" s="17" t="str">
        <f>IF(J923="","",ROUND(J923*Settings!$B$8,2))</f>
        <v/>
      </c>
      <c r="L923" s="16"/>
      <c r="M923" s="8" t="str">
        <f t="shared" si="14"/>
        <v/>
      </c>
      <c r="N923" s="9"/>
    </row>
    <row r="924" spans="1:14" ht="15.75">
      <c r="A924" s="11"/>
      <c r="B924" s="9"/>
      <c r="C924" s="12" t="str">
        <f>IF(B924="","",IFERROR(INDEX('Cashier Roster'!$C$5:$C$64,MATCH(B924,'Cashier Roster'!$B$5:$B$64,0)),"Not on roster"))</f>
        <v/>
      </c>
      <c r="D924" s="12" t="str">
        <f>IF(B924="","",IFERROR(INDEX('Cashier Roster'!$D$5:$D$64,MATCH(B924,'Cashier Roster'!$B$5:$B$64,0)),""))</f>
        <v/>
      </c>
      <c r="E924" s="13"/>
      <c r="F924" s="14"/>
      <c r="G924" s="8" t="str">
        <f>IF(OR(B924="",E924=""),"",IF(E924="No","Missed",IF(F924="","",IF(F924&lt;=Settings!$B$7,"On time","Late"))))</f>
        <v/>
      </c>
      <c r="H924" s="15"/>
      <c r="I924" s="16"/>
      <c r="J924" s="16"/>
      <c r="K924" s="17" t="str">
        <f>IF(J924="","",ROUND(J924*Settings!$B$8,2))</f>
        <v/>
      </c>
      <c r="L924" s="16"/>
      <c r="M924" s="8" t="str">
        <f t="shared" si="14"/>
        <v/>
      </c>
      <c r="N924" s="9"/>
    </row>
    <row r="925" spans="1:14" ht="15.75">
      <c r="A925" s="11"/>
      <c r="B925" s="9"/>
      <c r="C925" s="12" t="str">
        <f>IF(B925="","",IFERROR(INDEX('Cashier Roster'!$C$5:$C$64,MATCH(B925,'Cashier Roster'!$B$5:$B$64,0)),"Not on roster"))</f>
        <v/>
      </c>
      <c r="D925" s="12" t="str">
        <f>IF(B925="","",IFERROR(INDEX('Cashier Roster'!$D$5:$D$64,MATCH(B925,'Cashier Roster'!$B$5:$B$64,0)),""))</f>
        <v/>
      </c>
      <c r="E925" s="13"/>
      <c r="F925" s="14"/>
      <c r="G925" s="8" t="str">
        <f>IF(OR(B925="",E925=""),"",IF(E925="No","Missed",IF(F925="","",IF(F925&lt;=Settings!$B$7,"On time","Late"))))</f>
        <v/>
      </c>
      <c r="H925" s="15"/>
      <c r="I925" s="16"/>
      <c r="J925" s="16"/>
      <c r="K925" s="17" t="str">
        <f>IF(J925="","",ROUND(J925*Settings!$B$8,2))</f>
        <v/>
      </c>
      <c r="L925" s="16"/>
      <c r="M925" s="8" t="str">
        <f t="shared" si="14"/>
        <v/>
      </c>
      <c r="N925" s="9"/>
    </row>
    <row r="926" spans="1:14" ht="15.75">
      <c r="A926" s="11"/>
      <c r="B926" s="9"/>
      <c r="C926" s="12" t="str">
        <f>IF(B926="","",IFERROR(INDEX('Cashier Roster'!$C$5:$C$64,MATCH(B926,'Cashier Roster'!$B$5:$B$64,0)),"Not on roster"))</f>
        <v/>
      </c>
      <c r="D926" s="12" t="str">
        <f>IF(B926="","",IFERROR(INDEX('Cashier Roster'!$D$5:$D$64,MATCH(B926,'Cashier Roster'!$B$5:$B$64,0)),""))</f>
        <v/>
      </c>
      <c r="E926" s="13"/>
      <c r="F926" s="14"/>
      <c r="G926" s="8" t="str">
        <f>IF(OR(B926="",E926=""),"",IF(E926="No","Missed",IF(F926="","",IF(F926&lt;=Settings!$B$7,"On time","Late"))))</f>
        <v/>
      </c>
      <c r="H926" s="15"/>
      <c r="I926" s="16"/>
      <c r="J926" s="16"/>
      <c r="K926" s="17" t="str">
        <f>IF(J926="","",ROUND(J926*Settings!$B$8,2))</f>
        <v/>
      </c>
      <c r="L926" s="16"/>
      <c r="M926" s="8" t="str">
        <f t="shared" si="14"/>
        <v/>
      </c>
      <c r="N926" s="9"/>
    </row>
    <row r="927" spans="1:14" ht="15.75">
      <c r="A927" s="11"/>
      <c r="B927" s="9"/>
      <c r="C927" s="12" t="str">
        <f>IF(B927="","",IFERROR(INDEX('Cashier Roster'!$C$5:$C$64,MATCH(B927,'Cashier Roster'!$B$5:$B$64,0)),"Not on roster"))</f>
        <v/>
      </c>
      <c r="D927" s="12" t="str">
        <f>IF(B927="","",IFERROR(INDEX('Cashier Roster'!$D$5:$D$64,MATCH(B927,'Cashier Roster'!$B$5:$B$64,0)),""))</f>
        <v/>
      </c>
      <c r="E927" s="13"/>
      <c r="F927" s="14"/>
      <c r="G927" s="8" t="str">
        <f>IF(OR(B927="",E927=""),"",IF(E927="No","Missed",IF(F927="","",IF(F927&lt;=Settings!$B$7,"On time","Late"))))</f>
        <v/>
      </c>
      <c r="H927" s="15"/>
      <c r="I927" s="16"/>
      <c r="J927" s="16"/>
      <c r="K927" s="17" t="str">
        <f>IF(J927="","",ROUND(J927*Settings!$B$8,2))</f>
        <v/>
      </c>
      <c r="L927" s="16"/>
      <c r="M927" s="8" t="str">
        <f t="shared" si="14"/>
        <v/>
      </c>
      <c r="N927" s="9"/>
    </row>
    <row r="928" spans="1:14" ht="15.75">
      <c r="A928" s="11"/>
      <c r="B928" s="9"/>
      <c r="C928" s="12" t="str">
        <f>IF(B928="","",IFERROR(INDEX('Cashier Roster'!$C$5:$C$64,MATCH(B928,'Cashier Roster'!$B$5:$B$64,0)),"Not on roster"))</f>
        <v/>
      </c>
      <c r="D928" s="12" t="str">
        <f>IF(B928="","",IFERROR(INDEX('Cashier Roster'!$D$5:$D$64,MATCH(B928,'Cashier Roster'!$B$5:$B$64,0)),""))</f>
        <v/>
      </c>
      <c r="E928" s="13"/>
      <c r="F928" s="14"/>
      <c r="G928" s="8" t="str">
        <f>IF(OR(B928="",E928=""),"",IF(E928="No","Missed",IF(F928="","",IF(F928&lt;=Settings!$B$7,"On time","Late"))))</f>
        <v/>
      </c>
      <c r="H928" s="15"/>
      <c r="I928" s="16"/>
      <c r="J928" s="16"/>
      <c r="K928" s="17" t="str">
        <f>IF(J928="","",ROUND(J928*Settings!$B$8,2))</f>
        <v/>
      </c>
      <c r="L928" s="16"/>
      <c r="M928" s="8" t="str">
        <f t="shared" si="14"/>
        <v/>
      </c>
      <c r="N928" s="9"/>
    </row>
    <row r="929" spans="1:14" ht="15.75">
      <c r="A929" s="11"/>
      <c r="B929" s="9"/>
      <c r="C929" s="12" t="str">
        <f>IF(B929="","",IFERROR(INDEX('Cashier Roster'!$C$5:$C$64,MATCH(B929,'Cashier Roster'!$B$5:$B$64,0)),"Not on roster"))</f>
        <v/>
      </c>
      <c r="D929" s="12" t="str">
        <f>IF(B929="","",IFERROR(INDEX('Cashier Roster'!$D$5:$D$64,MATCH(B929,'Cashier Roster'!$B$5:$B$64,0)),""))</f>
        <v/>
      </c>
      <c r="E929" s="13"/>
      <c r="F929" s="14"/>
      <c r="G929" s="8" t="str">
        <f>IF(OR(B929="",E929=""),"",IF(E929="No","Missed",IF(F929="","",IF(F929&lt;=Settings!$B$7,"On time","Late"))))</f>
        <v/>
      </c>
      <c r="H929" s="15"/>
      <c r="I929" s="16"/>
      <c r="J929" s="16"/>
      <c r="K929" s="17" t="str">
        <f>IF(J929="","",ROUND(J929*Settings!$B$8,2))</f>
        <v/>
      </c>
      <c r="L929" s="16"/>
      <c r="M929" s="8" t="str">
        <f t="shared" si="14"/>
        <v/>
      </c>
      <c r="N929" s="9"/>
    </row>
    <row r="930" spans="1:14" ht="15.75">
      <c r="A930" s="11"/>
      <c r="B930" s="9"/>
      <c r="C930" s="12" t="str">
        <f>IF(B930="","",IFERROR(INDEX('Cashier Roster'!$C$5:$C$64,MATCH(B930,'Cashier Roster'!$B$5:$B$64,0)),"Not on roster"))</f>
        <v/>
      </c>
      <c r="D930" s="12" t="str">
        <f>IF(B930="","",IFERROR(INDEX('Cashier Roster'!$D$5:$D$64,MATCH(B930,'Cashier Roster'!$B$5:$B$64,0)),""))</f>
        <v/>
      </c>
      <c r="E930" s="13"/>
      <c r="F930" s="14"/>
      <c r="G930" s="8" t="str">
        <f>IF(OR(B930="",E930=""),"",IF(E930="No","Missed",IF(F930="","",IF(F930&lt;=Settings!$B$7,"On time","Late"))))</f>
        <v/>
      </c>
      <c r="H930" s="15"/>
      <c r="I930" s="16"/>
      <c r="J930" s="16"/>
      <c r="K930" s="17" t="str">
        <f>IF(J930="","",ROUND(J930*Settings!$B$8,2))</f>
        <v/>
      </c>
      <c r="L930" s="16"/>
      <c r="M930" s="8" t="str">
        <f t="shared" si="14"/>
        <v/>
      </c>
      <c r="N930" s="9"/>
    </row>
    <row r="931" spans="1:14" ht="15.75">
      <c r="A931" s="11"/>
      <c r="B931" s="9"/>
      <c r="C931" s="12" t="str">
        <f>IF(B931="","",IFERROR(INDEX('Cashier Roster'!$C$5:$C$64,MATCH(B931,'Cashier Roster'!$B$5:$B$64,0)),"Not on roster"))</f>
        <v/>
      </c>
      <c r="D931" s="12" t="str">
        <f>IF(B931="","",IFERROR(INDEX('Cashier Roster'!$D$5:$D$64,MATCH(B931,'Cashier Roster'!$B$5:$B$64,0)),""))</f>
        <v/>
      </c>
      <c r="E931" s="13"/>
      <c r="F931" s="14"/>
      <c r="G931" s="8" t="str">
        <f>IF(OR(B931="",E931=""),"",IF(E931="No","Missed",IF(F931="","",IF(F931&lt;=Settings!$B$7,"On time","Late"))))</f>
        <v/>
      </c>
      <c r="H931" s="15"/>
      <c r="I931" s="16"/>
      <c r="J931" s="16"/>
      <c r="K931" s="17" t="str">
        <f>IF(J931="","",ROUND(J931*Settings!$B$8,2))</f>
        <v/>
      </c>
      <c r="L931" s="16"/>
      <c r="M931" s="8" t="str">
        <f t="shared" si="14"/>
        <v/>
      </c>
      <c r="N931" s="9"/>
    </row>
    <row r="932" spans="1:14" ht="15.75">
      <c r="A932" s="11"/>
      <c r="B932" s="9"/>
      <c r="C932" s="12" t="str">
        <f>IF(B932="","",IFERROR(INDEX('Cashier Roster'!$C$5:$C$64,MATCH(B932,'Cashier Roster'!$B$5:$B$64,0)),"Not on roster"))</f>
        <v/>
      </c>
      <c r="D932" s="12" t="str">
        <f>IF(B932="","",IFERROR(INDEX('Cashier Roster'!$D$5:$D$64,MATCH(B932,'Cashier Roster'!$B$5:$B$64,0)),""))</f>
        <v/>
      </c>
      <c r="E932" s="13"/>
      <c r="F932" s="14"/>
      <c r="G932" s="8" t="str">
        <f>IF(OR(B932="",E932=""),"",IF(E932="No","Missed",IF(F932="","",IF(F932&lt;=Settings!$B$7,"On time","Late"))))</f>
        <v/>
      </c>
      <c r="H932" s="15"/>
      <c r="I932" s="16"/>
      <c r="J932" s="16"/>
      <c r="K932" s="17" t="str">
        <f>IF(J932="","",ROUND(J932*Settings!$B$8,2))</f>
        <v/>
      </c>
      <c r="L932" s="16"/>
      <c r="M932" s="8" t="str">
        <f t="shared" si="14"/>
        <v/>
      </c>
      <c r="N932" s="9"/>
    </row>
    <row r="933" spans="1:14" ht="15.75">
      <c r="A933" s="11"/>
      <c r="B933" s="9"/>
      <c r="C933" s="12" t="str">
        <f>IF(B933="","",IFERROR(INDEX('Cashier Roster'!$C$5:$C$64,MATCH(B933,'Cashier Roster'!$B$5:$B$64,0)),"Not on roster"))</f>
        <v/>
      </c>
      <c r="D933" s="12" t="str">
        <f>IF(B933="","",IFERROR(INDEX('Cashier Roster'!$D$5:$D$64,MATCH(B933,'Cashier Roster'!$B$5:$B$64,0)),""))</f>
        <v/>
      </c>
      <c r="E933" s="13"/>
      <c r="F933" s="14"/>
      <c r="G933" s="8" t="str">
        <f>IF(OR(B933="",E933=""),"",IF(E933="No","Missed",IF(F933="","",IF(F933&lt;=Settings!$B$7,"On time","Late"))))</f>
        <v/>
      </c>
      <c r="H933" s="15"/>
      <c r="I933" s="16"/>
      <c r="J933" s="16"/>
      <c r="K933" s="17" t="str">
        <f>IF(J933="","",ROUND(J933*Settings!$B$8,2))</f>
        <v/>
      </c>
      <c r="L933" s="16"/>
      <c r="M933" s="8" t="str">
        <f t="shared" si="14"/>
        <v/>
      </c>
      <c r="N933" s="9"/>
    </row>
    <row r="934" spans="1:14" ht="15.75">
      <c r="A934" s="11"/>
      <c r="B934" s="9"/>
      <c r="C934" s="12" t="str">
        <f>IF(B934="","",IFERROR(INDEX('Cashier Roster'!$C$5:$C$64,MATCH(B934,'Cashier Roster'!$B$5:$B$64,0)),"Not on roster"))</f>
        <v/>
      </c>
      <c r="D934" s="12" t="str">
        <f>IF(B934="","",IFERROR(INDEX('Cashier Roster'!$D$5:$D$64,MATCH(B934,'Cashier Roster'!$B$5:$B$64,0)),""))</f>
        <v/>
      </c>
      <c r="E934" s="13"/>
      <c r="F934" s="14"/>
      <c r="G934" s="8" t="str">
        <f>IF(OR(B934="",E934=""),"",IF(E934="No","Missed",IF(F934="","",IF(F934&lt;=Settings!$B$7,"On time","Late"))))</f>
        <v/>
      </c>
      <c r="H934" s="15"/>
      <c r="I934" s="16"/>
      <c r="J934" s="16"/>
      <c r="K934" s="17" t="str">
        <f>IF(J934="","",ROUND(J934*Settings!$B$8,2))</f>
        <v/>
      </c>
      <c r="L934" s="16"/>
      <c r="M934" s="8" t="str">
        <f t="shared" si="14"/>
        <v/>
      </c>
      <c r="N934" s="9"/>
    </row>
    <row r="935" spans="1:14" ht="15.75">
      <c r="A935" s="11"/>
      <c r="B935" s="9"/>
      <c r="C935" s="12" t="str">
        <f>IF(B935="","",IFERROR(INDEX('Cashier Roster'!$C$5:$C$64,MATCH(B935,'Cashier Roster'!$B$5:$B$64,0)),"Not on roster"))</f>
        <v/>
      </c>
      <c r="D935" s="12" t="str">
        <f>IF(B935="","",IFERROR(INDEX('Cashier Roster'!$D$5:$D$64,MATCH(B935,'Cashier Roster'!$B$5:$B$64,0)),""))</f>
        <v/>
      </c>
      <c r="E935" s="13"/>
      <c r="F935" s="14"/>
      <c r="G935" s="8" t="str">
        <f>IF(OR(B935="",E935=""),"",IF(E935="No","Missed",IF(F935="","",IF(F935&lt;=Settings!$B$7,"On time","Late"))))</f>
        <v/>
      </c>
      <c r="H935" s="15"/>
      <c r="I935" s="16"/>
      <c r="J935" s="16"/>
      <c r="K935" s="17" t="str">
        <f>IF(J935="","",ROUND(J935*Settings!$B$8,2))</f>
        <v/>
      </c>
      <c r="L935" s="16"/>
      <c r="M935" s="8" t="str">
        <f t="shared" si="14"/>
        <v/>
      </c>
      <c r="N935" s="9"/>
    </row>
    <row r="936" spans="1:14" ht="15.75">
      <c r="A936" s="11"/>
      <c r="B936" s="9"/>
      <c r="C936" s="12" t="str">
        <f>IF(B936="","",IFERROR(INDEX('Cashier Roster'!$C$5:$C$64,MATCH(B936,'Cashier Roster'!$B$5:$B$64,0)),"Not on roster"))</f>
        <v/>
      </c>
      <c r="D936" s="12" t="str">
        <f>IF(B936="","",IFERROR(INDEX('Cashier Roster'!$D$5:$D$64,MATCH(B936,'Cashier Roster'!$B$5:$B$64,0)),""))</f>
        <v/>
      </c>
      <c r="E936" s="13"/>
      <c r="F936" s="14"/>
      <c r="G936" s="8" t="str">
        <f>IF(OR(B936="",E936=""),"",IF(E936="No","Missed",IF(F936="","",IF(F936&lt;=Settings!$B$7,"On time","Late"))))</f>
        <v/>
      </c>
      <c r="H936" s="15"/>
      <c r="I936" s="16"/>
      <c r="J936" s="16"/>
      <c r="K936" s="17" t="str">
        <f>IF(J936="","",ROUND(J936*Settings!$B$8,2))</f>
        <v/>
      </c>
      <c r="L936" s="16"/>
      <c r="M936" s="8" t="str">
        <f t="shared" si="14"/>
        <v/>
      </c>
      <c r="N936" s="9"/>
    </row>
    <row r="937" spans="1:14" ht="15.75">
      <c r="A937" s="11"/>
      <c r="B937" s="9"/>
      <c r="C937" s="12" t="str">
        <f>IF(B937="","",IFERROR(INDEX('Cashier Roster'!$C$5:$C$64,MATCH(B937,'Cashier Roster'!$B$5:$B$64,0)),"Not on roster"))</f>
        <v/>
      </c>
      <c r="D937" s="12" t="str">
        <f>IF(B937="","",IFERROR(INDEX('Cashier Roster'!$D$5:$D$64,MATCH(B937,'Cashier Roster'!$B$5:$B$64,0)),""))</f>
        <v/>
      </c>
      <c r="E937" s="13"/>
      <c r="F937" s="14"/>
      <c r="G937" s="8" t="str">
        <f>IF(OR(B937="",E937=""),"",IF(E937="No","Missed",IF(F937="","",IF(F937&lt;=Settings!$B$7,"On time","Late"))))</f>
        <v/>
      </c>
      <c r="H937" s="15"/>
      <c r="I937" s="16"/>
      <c r="J937" s="16"/>
      <c r="K937" s="17" t="str">
        <f>IF(J937="","",ROUND(J937*Settings!$B$8,2))</f>
        <v/>
      </c>
      <c r="L937" s="16"/>
      <c r="M937" s="8" t="str">
        <f t="shared" si="14"/>
        <v/>
      </c>
      <c r="N937" s="9"/>
    </row>
    <row r="938" spans="1:14" ht="15.75">
      <c r="A938" s="11"/>
      <c r="B938" s="9"/>
      <c r="C938" s="12" t="str">
        <f>IF(B938="","",IFERROR(INDEX('Cashier Roster'!$C$5:$C$64,MATCH(B938,'Cashier Roster'!$B$5:$B$64,0)),"Not on roster"))</f>
        <v/>
      </c>
      <c r="D938" s="12" t="str">
        <f>IF(B938="","",IFERROR(INDEX('Cashier Roster'!$D$5:$D$64,MATCH(B938,'Cashier Roster'!$B$5:$B$64,0)),""))</f>
        <v/>
      </c>
      <c r="E938" s="13"/>
      <c r="F938" s="14"/>
      <c r="G938" s="8" t="str">
        <f>IF(OR(B938="",E938=""),"",IF(E938="No","Missed",IF(F938="","",IF(F938&lt;=Settings!$B$7,"On time","Late"))))</f>
        <v/>
      </c>
      <c r="H938" s="15"/>
      <c r="I938" s="16"/>
      <c r="J938" s="16"/>
      <c r="K938" s="17" t="str">
        <f>IF(J938="","",ROUND(J938*Settings!$B$8,2))</f>
        <v/>
      </c>
      <c r="L938" s="16"/>
      <c r="M938" s="8" t="str">
        <f t="shared" si="14"/>
        <v/>
      </c>
      <c r="N938" s="9"/>
    </row>
    <row r="939" spans="1:14" ht="15.75">
      <c r="A939" s="11"/>
      <c r="B939" s="9"/>
      <c r="C939" s="12" t="str">
        <f>IF(B939="","",IFERROR(INDEX('Cashier Roster'!$C$5:$C$64,MATCH(B939,'Cashier Roster'!$B$5:$B$64,0)),"Not on roster"))</f>
        <v/>
      </c>
      <c r="D939" s="12" t="str">
        <f>IF(B939="","",IFERROR(INDEX('Cashier Roster'!$D$5:$D$64,MATCH(B939,'Cashier Roster'!$B$5:$B$64,0)),""))</f>
        <v/>
      </c>
      <c r="E939" s="13"/>
      <c r="F939" s="14"/>
      <c r="G939" s="8" t="str">
        <f>IF(OR(B939="",E939=""),"",IF(E939="No","Missed",IF(F939="","",IF(F939&lt;=Settings!$B$7,"On time","Late"))))</f>
        <v/>
      </c>
      <c r="H939" s="15"/>
      <c r="I939" s="16"/>
      <c r="J939" s="16"/>
      <c r="K939" s="17" t="str">
        <f>IF(J939="","",ROUND(J939*Settings!$B$8,2))</f>
        <v/>
      </c>
      <c r="L939" s="16"/>
      <c r="M939" s="8" t="str">
        <f t="shared" si="14"/>
        <v/>
      </c>
      <c r="N939" s="9"/>
    </row>
    <row r="940" spans="1:14" ht="15.75">
      <c r="A940" s="11"/>
      <c r="B940" s="9"/>
      <c r="C940" s="12" t="str">
        <f>IF(B940="","",IFERROR(INDEX('Cashier Roster'!$C$5:$C$64,MATCH(B940,'Cashier Roster'!$B$5:$B$64,0)),"Not on roster"))</f>
        <v/>
      </c>
      <c r="D940" s="12" t="str">
        <f>IF(B940="","",IFERROR(INDEX('Cashier Roster'!$D$5:$D$64,MATCH(B940,'Cashier Roster'!$B$5:$B$64,0)),""))</f>
        <v/>
      </c>
      <c r="E940" s="13"/>
      <c r="F940" s="14"/>
      <c r="G940" s="8" t="str">
        <f>IF(OR(B940="",E940=""),"",IF(E940="No","Missed",IF(F940="","",IF(F940&lt;=Settings!$B$7,"On time","Late"))))</f>
        <v/>
      </c>
      <c r="H940" s="15"/>
      <c r="I940" s="16"/>
      <c r="J940" s="16"/>
      <c r="K940" s="17" t="str">
        <f>IF(J940="","",ROUND(J940*Settings!$B$8,2))</f>
        <v/>
      </c>
      <c r="L940" s="16"/>
      <c r="M940" s="8" t="str">
        <f t="shared" si="14"/>
        <v/>
      </c>
      <c r="N940" s="9"/>
    </row>
    <row r="941" spans="1:14" ht="15.75">
      <c r="A941" s="11"/>
      <c r="B941" s="9"/>
      <c r="C941" s="12" t="str">
        <f>IF(B941="","",IFERROR(INDEX('Cashier Roster'!$C$5:$C$64,MATCH(B941,'Cashier Roster'!$B$5:$B$64,0)),"Not on roster"))</f>
        <v/>
      </c>
      <c r="D941" s="12" t="str">
        <f>IF(B941="","",IFERROR(INDEX('Cashier Roster'!$D$5:$D$64,MATCH(B941,'Cashier Roster'!$B$5:$B$64,0)),""))</f>
        <v/>
      </c>
      <c r="E941" s="13"/>
      <c r="F941" s="14"/>
      <c r="G941" s="8" t="str">
        <f>IF(OR(B941="",E941=""),"",IF(E941="No","Missed",IF(F941="","",IF(F941&lt;=Settings!$B$7,"On time","Late"))))</f>
        <v/>
      </c>
      <c r="H941" s="15"/>
      <c r="I941" s="16"/>
      <c r="J941" s="16"/>
      <c r="K941" s="17" t="str">
        <f>IF(J941="","",ROUND(J941*Settings!$B$8,2))</f>
        <v/>
      </c>
      <c r="L941" s="16"/>
      <c r="M941" s="8" t="str">
        <f t="shared" si="14"/>
        <v/>
      </c>
      <c r="N941" s="9"/>
    </row>
    <row r="942" spans="1:14" ht="15.75">
      <c r="A942" s="11"/>
      <c r="B942" s="9"/>
      <c r="C942" s="12" t="str">
        <f>IF(B942="","",IFERROR(INDEX('Cashier Roster'!$C$5:$C$64,MATCH(B942,'Cashier Roster'!$B$5:$B$64,0)),"Not on roster"))</f>
        <v/>
      </c>
      <c r="D942" s="12" t="str">
        <f>IF(B942="","",IFERROR(INDEX('Cashier Roster'!$D$5:$D$64,MATCH(B942,'Cashier Roster'!$B$5:$B$64,0)),""))</f>
        <v/>
      </c>
      <c r="E942" s="13"/>
      <c r="F942" s="14"/>
      <c r="G942" s="8" t="str">
        <f>IF(OR(B942="",E942=""),"",IF(E942="No","Missed",IF(F942="","",IF(F942&lt;=Settings!$B$7,"On time","Late"))))</f>
        <v/>
      </c>
      <c r="H942" s="15"/>
      <c r="I942" s="16"/>
      <c r="J942" s="16"/>
      <c r="K942" s="17" t="str">
        <f>IF(J942="","",ROUND(J942*Settings!$B$8,2))</f>
        <v/>
      </c>
      <c r="L942" s="16"/>
      <c r="M942" s="8" t="str">
        <f t="shared" si="14"/>
        <v/>
      </c>
      <c r="N942" s="9"/>
    </row>
    <row r="943" spans="1:14" ht="15.75">
      <c r="A943" s="11"/>
      <c r="B943" s="9"/>
      <c r="C943" s="12" t="str">
        <f>IF(B943="","",IFERROR(INDEX('Cashier Roster'!$C$5:$C$64,MATCH(B943,'Cashier Roster'!$B$5:$B$64,0)),"Not on roster"))</f>
        <v/>
      </c>
      <c r="D943" s="12" t="str">
        <f>IF(B943="","",IFERROR(INDEX('Cashier Roster'!$D$5:$D$64,MATCH(B943,'Cashier Roster'!$B$5:$B$64,0)),""))</f>
        <v/>
      </c>
      <c r="E943" s="13"/>
      <c r="F943" s="14"/>
      <c r="G943" s="8" t="str">
        <f>IF(OR(B943="",E943=""),"",IF(E943="No","Missed",IF(F943="","",IF(F943&lt;=Settings!$B$7,"On time","Late"))))</f>
        <v/>
      </c>
      <c r="H943" s="15"/>
      <c r="I943" s="16"/>
      <c r="J943" s="16"/>
      <c r="K943" s="17" t="str">
        <f>IF(J943="","",ROUND(J943*Settings!$B$8,2))</f>
        <v/>
      </c>
      <c r="L943" s="16"/>
      <c r="M943" s="8" t="str">
        <f t="shared" si="14"/>
        <v/>
      </c>
      <c r="N943" s="9"/>
    </row>
    <row r="944" spans="1:14" ht="15.75">
      <c r="A944" s="11"/>
      <c r="B944" s="9"/>
      <c r="C944" s="12" t="str">
        <f>IF(B944="","",IFERROR(INDEX('Cashier Roster'!$C$5:$C$64,MATCH(B944,'Cashier Roster'!$B$5:$B$64,0)),"Not on roster"))</f>
        <v/>
      </c>
      <c r="D944" s="12" t="str">
        <f>IF(B944="","",IFERROR(INDEX('Cashier Roster'!$D$5:$D$64,MATCH(B944,'Cashier Roster'!$B$5:$B$64,0)),""))</f>
        <v/>
      </c>
      <c r="E944" s="13"/>
      <c r="F944" s="14"/>
      <c r="G944" s="8" t="str">
        <f>IF(OR(B944="",E944=""),"",IF(E944="No","Missed",IF(F944="","",IF(F944&lt;=Settings!$B$7,"On time","Late"))))</f>
        <v/>
      </c>
      <c r="H944" s="15"/>
      <c r="I944" s="16"/>
      <c r="J944" s="16"/>
      <c r="K944" s="17" t="str">
        <f>IF(J944="","",ROUND(J944*Settings!$B$8,2))</f>
        <v/>
      </c>
      <c r="L944" s="16"/>
      <c r="M944" s="8" t="str">
        <f t="shared" si="14"/>
        <v/>
      </c>
      <c r="N944" s="9"/>
    </row>
    <row r="945" spans="1:14" ht="15.75">
      <c r="A945" s="11"/>
      <c r="B945" s="9"/>
      <c r="C945" s="12" t="str">
        <f>IF(B945="","",IFERROR(INDEX('Cashier Roster'!$C$5:$C$64,MATCH(B945,'Cashier Roster'!$B$5:$B$64,0)),"Not on roster"))</f>
        <v/>
      </c>
      <c r="D945" s="12" t="str">
        <f>IF(B945="","",IFERROR(INDEX('Cashier Roster'!$D$5:$D$64,MATCH(B945,'Cashier Roster'!$B$5:$B$64,0)),""))</f>
        <v/>
      </c>
      <c r="E945" s="13"/>
      <c r="F945" s="14"/>
      <c r="G945" s="8" t="str">
        <f>IF(OR(B945="",E945=""),"",IF(E945="No","Missed",IF(F945="","",IF(F945&lt;=Settings!$B$7,"On time","Late"))))</f>
        <v/>
      </c>
      <c r="H945" s="15"/>
      <c r="I945" s="16"/>
      <c r="J945" s="16"/>
      <c r="K945" s="17" t="str">
        <f>IF(J945="","",ROUND(J945*Settings!$B$8,2))</f>
        <v/>
      </c>
      <c r="L945" s="16"/>
      <c r="M945" s="8" t="str">
        <f t="shared" si="14"/>
        <v/>
      </c>
      <c r="N945" s="9"/>
    </row>
    <row r="946" spans="1:14" ht="15.75">
      <c r="A946" s="11"/>
      <c r="B946" s="9"/>
      <c r="C946" s="12" t="str">
        <f>IF(B946="","",IFERROR(INDEX('Cashier Roster'!$C$5:$C$64,MATCH(B946,'Cashier Roster'!$B$5:$B$64,0)),"Not on roster"))</f>
        <v/>
      </c>
      <c r="D946" s="12" t="str">
        <f>IF(B946="","",IFERROR(INDEX('Cashier Roster'!$D$5:$D$64,MATCH(B946,'Cashier Roster'!$B$5:$B$64,0)),""))</f>
        <v/>
      </c>
      <c r="E946" s="13"/>
      <c r="F946" s="14"/>
      <c r="G946" s="8" t="str">
        <f>IF(OR(B946="",E946=""),"",IF(E946="No","Missed",IF(F946="","",IF(F946&lt;=Settings!$B$7,"On time","Late"))))</f>
        <v/>
      </c>
      <c r="H946" s="15"/>
      <c r="I946" s="16"/>
      <c r="J946" s="16"/>
      <c r="K946" s="17" t="str">
        <f>IF(J946="","",ROUND(J946*Settings!$B$8,2))</f>
        <v/>
      </c>
      <c r="L946" s="16"/>
      <c r="M946" s="8" t="str">
        <f t="shared" si="14"/>
        <v/>
      </c>
      <c r="N946" s="9"/>
    </row>
    <row r="947" spans="1:14" ht="15.75">
      <c r="A947" s="11"/>
      <c r="B947" s="9"/>
      <c r="C947" s="12" t="str">
        <f>IF(B947="","",IFERROR(INDEX('Cashier Roster'!$C$5:$C$64,MATCH(B947,'Cashier Roster'!$B$5:$B$64,0)),"Not on roster"))</f>
        <v/>
      </c>
      <c r="D947" s="12" t="str">
        <f>IF(B947="","",IFERROR(INDEX('Cashier Roster'!$D$5:$D$64,MATCH(B947,'Cashier Roster'!$B$5:$B$64,0)),""))</f>
        <v/>
      </c>
      <c r="E947" s="13"/>
      <c r="F947" s="14"/>
      <c r="G947" s="8" t="str">
        <f>IF(OR(B947="",E947=""),"",IF(E947="No","Missed",IF(F947="","",IF(F947&lt;=Settings!$B$7,"On time","Late"))))</f>
        <v/>
      </c>
      <c r="H947" s="15"/>
      <c r="I947" s="16"/>
      <c r="J947" s="16"/>
      <c r="K947" s="17" t="str">
        <f>IF(J947="","",ROUND(J947*Settings!$B$8,2))</f>
        <v/>
      </c>
      <c r="L947" s="16"/>
      <c r="M947" s="8" t="str">
        <f t="shared" si="14"/>
        <v/>
      </c>
      <c r="N947" s="9"/>
    </row>
    <row r="948" spans="1:14" ht="15.75">
      <c r="A948" s="11"/>
      <c r="B948" s="9"/>
      <c r="C948" s="12" t="str">
        <f>IF(B948="","",IFERROR(INDEX('Cashier Roster'!$C$5:$C$64,MATCH(B948,'Cashier Roster'!$B$5:$B$64,0)),"Not on roster"))</f>
        <v/>
      </c>
      <c r="D948" s="12" t="str">
        <f>IF(B948="","",IFERROR(INDEX('Cashier Roster'!$D$5:$D$64,MATCH(B948,'Cashier Roster'!$B$5:$B$64,0)),""))</f>
        <v/>
      </c>
      <c r="E948" s="13"/>
      <c r="F948" s="14"/>
      <c r="G948" s="8" t="str">
        <f>IF(OR(B948="",E948=""),"",IF(E948="No","Missed",IF(F948="","",IF(F948&lt;=Settings!$B$7,"On time","Late"))))</f>
        <v/>
      </c>
      <c r="H948" s="15"/>
      <c r="I948" s="16"/>
      <c r="J948" s="16"/>
      <c r="K948" s="17" t="str">
        <f>IF(J948="","",ROUND(J948*Settings!$B$8,2))</f>
        <v/>
      </c>
      <c r="L948" s="16"/>
      <c r="M948" s="8" t="str">
        <f t="shared" si="14"/>
        <v/>
      </c>
      <c r="N948" s="9"/>
    </row>
    <row r="949" spans="1:14" ht="15.75">
      <c r="A949" s="11"/>
      <c r="B949" s="9"/>
      <c r="C949" s="12" t="str">
        <f>IF(B949="","",IFERROR(INDEX('Cashier Roster'!$C$5:$C$64,MATCH(B949,'Cashier Roster'!$B$5:$B$64,0)),"Not on roster"))</f>
        <v/>
      </c>
      <c r="D949" s="12" t="str">
        <f>IF(B949="","",IFERROR(INDEX('Cashier Roster'!$D$5:$D$64,MATCH(B949,'Cashier Roster'!$B$5:$B$64,0)),""))</f>
        <v/>
      </c>
      <c r="E949" s="13"/>
      <c r="F949" s="14"/>
      <c r="G949" s="8" t="str">
        <f>IF(OR(B949="",E949=""),"",IF(E949="No","Missed",IF(F949="","",IF(F949&lt;=Settings!$B$7,"On time","Late"))))</f>
        <v/>
      </c>
      <c r="H949" s="15"/>
      <c r="I949" s="16"/>
      <c r="J949" s="16"/>
      <c r="K949" s="17" t="str">
        <f>IF(J949="","",ROUND(J949*Settings!$B$8,2))</f>
        <v/>
      </c>
      <c r="L949" s="16"/>
      <c r="M949" s="8" t="str">
        <f t="shared" si="14"/>
        <v/>
      </c>
      <c r="N949" s="9"/>
    </row>
    <row r="950" spans="1:14" ht="15.75">
      <c r="A950" s="11"/>
      <c r="B950" s="9"/>
      <c r="C950" s="12" t="str">
        <f>IF(B950="","",IFERROR(INDEX('Cashier Roster'!$C$5:$C$64,MATCH(B950,'Cashier Roster'!$B$5:$B$64,0)),"Not on roster"))</f>
        <v/>
      </c>
      <c r="D950" s="12" t="str">
        <f>IF(B950="","",IFERROR(INDEX('Cashier Roster'!$D$5:$D$64,MATCH(B950,'Cashier Roster'!$B$5:$B$64,0)),""))</f>
        <v/>
      </c>
      <c r="E950" s="13"/>
      <c r="F950" s="14"/>
      <c r="G950" s="8" t="str">
        <f>IF(OR(B950="",E950=""),"",IF(E950="No","Missed",IF(F950="","",IF(F950&lt;=Settings!$B$7,"On time","Late"))))</f>
        <v/>
      </c>
      <c r="H950" s="15"/>
      <c r="I950" s="16"/>
      <c r="J950" s="16"/>
      <c r="K950" s="17" t="str">
        <f>IF(J950="","",ROUND(J950*Settings!$B$8,2))</f>
        <v/>
      </c>
      <c r="L950" s="16"/>
      <c r="M950" s="8" t="str">
        <f t="shared" si="14"/>
        <v/>
      </c>
      <c r="N950" s="9"/>
    </row>
    <row r="951" spans="1:14" ht="15.75">
      <c r="A951" s="11"/>
      <c r="B951" s="9"/>
      <c r="C951" s="12" t="str">
        <f>IF(B951="","",IFERROR(INDEX('Cashier Roster'!$C$5:$C$64,MATCH(B951,'Cashier Roster'!$B$5:$B$64,0)),"Not on roster"))</f>
        <v/>
      </c>
      <c r="D951" s="12" t="str">
        <f>IF(B951="","",IFERROR(INDEX('Cashier Roster'!$D$5:$D$64,MATCH(B951,'Cashier Roster'!$B$5:$B$64,0)),""))</f>
        <v/>
      </c>
      <c r="E951" s="13"/>
      <c r="F951" s="14"/>
      <c r="G951" s="8" t="str">
        <f>IF(OR(B951="",E951=""),"",IF(E951="No","Missed",IF(F951="","",IF(F951&lt;=Settings!$B$7,"On time","Late"))))</f>
        <v/>
      </c>
      <c r="H951" s="15"/>
      <c r="I951" s="16"/>
      <c r="J951" s="16"/>
      <c r="K951" s="17" t="str">
        <f>IF(J951="","",ROUND(J951*Settings!$B$8,2))</f>
        <v/>
      </c>
      <c r="L951" s="16"/>
      <c r="M951" s="8" t="str">
        <f t="shared" si="14"/>
        <v/>
      </c>
      <c r="N951" s="9"/>
    </row>
    <row r="952" spans="1:14" ht="15.75">
      <c r="A952" s="11"/>
      <c r="B952" s="9"/>
      <c r="C952" s="12" t="str">
        <f>IF(B952="","",IFERROR(INDEX('Cashier Roster'!$C$5:$C$64,MATCH(B952,'Cashier Roster'!$B$5:$B$64,0)),"Not on roster"))</f>
        <v/>
      </c>
      <c r="D952" s="12" t="str">
        <f>IF(B952="","",IFERROR(INDEX('Cashier Roster'!$D$5:$D$64,MATCH(B952,'Cashier Roster'!$B$5:$B$64,0)),""))</f>
        <v/>
      </c>
      <c r="E952" s="13"/>
      <c r="F952" s="14"/>
      <c r="G952" s="8" t="str">
        <f>IF(OR(B952="",E952=""),"",IF(E952="No","Missed",IF(F952="","",IF(F952&lt;=Settings!$B$7,"On time","Late"))))</f>
        <v/>
      </c>
      <c r="H952" s="15"/>
      <c r="I952" s="16"/>
      <c r="J952" s="16"/>
      <c r="K952" s="17" t="str">
        <f>IF(J952="","",ROUND(J952*Settings!$B$8,2))</f>
        <v/>
      </c>
      <c r="L952" s="16"/>
      <c r="M952" s="8" t="str">
        <f t="shared" si="14"/>
        <v/>
      </c>
      <c r="N952" s="9"/>
    </row>
    <row r="953" spans="1:14" ht="15.75">
      <c r="A953" s="11"/>
      <c r="B953" s="9"/>
      <c r="C953" s="12" t="str">
        <f>IF(B953="","",IFERROR(INDEX('Cashier Roster'!$C$5:$C$64,MATCH(B953,'Cashier Roster'!$B$5:$B$64,0)),"Not on roster"))</f>
        <v/>
      </c>
      <c r="D953" s="12" t="str">
        <f>IF(B953="","",IFERROR(INDEX('Cashier Roster'!$D$5:$D$64,MATCH(B953,'Cashier Roster'!$B$5:$B$64,0)),""))</f>
        <v/>
      </c>
      <c r="E953" s="13"/>
      <c r="F953" s="14"/>
      <c r="G953" s="8" t="str">
        <f>IF(OR(B953="",E953=""),"",IF(E953="No","Missed",IF(F953="","",IF(F953&lt;=Settings!$B$7,"On time","Late"))))</f>
        <v/>
      </c>
      <c r="H953" s="15"/>
      <c r="I953" s="16"/>
      <c r="J953" s="16"/>
      <c r="K953" s="17" t="str">
        <f>IF(J953="","",ROUND(J953*Settings!$B$8,2))</f>
        <v/>
      </c>
      <c r="L953" s="16"/>
      <c r="M953" s="8" t="str">
        <f t="shared" si="14"/>
        <v/>
      </c>
      <c r="N953" s="9"/>
    </row>
    <row r="954" spans="1:14" ht="15.75">
      <c r="A954" s="11"/>
      <c r="B954" s="9"/>
      <c r="C954" s="12" t="str">
        <f>IF(B954="","",IFERROR(INDEX('Cashier Roster'!$C$5:$C$64,MATCH(B954,'Cashier Roster'!$B$5:$B$64,0)),"Not on roster"))</f>
        <v/>
      </c>
      <c r="D954" s="12" t="str">
        <f>IF(B954="","",IFERROR(INDEX('Cashier Roster'!$D$5:$D$64,MATCH(B954,'Cashier Roster'!$B$5:$B$64,0)),""))</f>
        <v/>
      </c>
      <c r="E954" s="13"/>
      <c r="F954" s="14"/>
      <c r="G954" s="8" t="str">
        <f>IF(OR(B954="",E954=""),"",IF(E954="No","Missed",IF(F954="","",IF(F954&lt;=Settings!$B$7,"On time","Late"))))</f>
        <v/>
      </c>
      <c r="H954" s="15"/>
      <c r="I954" s="16"/>
      <c r="J954" s="16"/>
      <c r="K954" s="17" t="str">
        <f>IF(J954="","",ROUND(J954*Settings!$B$8,2))</f>
        <v/>
      </c>
      <c r="L954" s="16"/>
      <c r="M954" s="8" t="str">
        <f t="shared" si="14"/>
        <v/>
      </c>
      <c r="N954" s="9"/>
    </row>
    <row r="955" spans="1:14" ht="15.75">
      <c r="A955" s="11"/>
      <c r="B955" s="9"/>
      <c r="C955" s="12" t="str">
        <f>IF(B955="","",IFERROR(INDEX('Cashier Roster'!$C$5:$C$64,MATCH(B955,'Cashier Roster'!$B$5:$B$64,0)),"Not on roster"))</f>
        <v/>
      </c>
      <c r="D955" s="12" t="str">
        <f>IF(B955="","",IFERROR(INDEX('Cashier Roster'!$D$5:$D$64,MATCH(B955,'Cashier Roster'!$B$5:$B$64,0)),""))</f>
        <v/>
      </c>
      <c r="E955" s="13"/>
      <c r="F955" s="14"/>
      <c r="G955" s="8" t="str">
        <f>IF(OR(B955="",E955=""),"",IF(E955="No","Missed",IF(F955="","",IF(F955&lt;=Settings!$B$7,"On time","Late"))))</f>
        <v/>
      </c>
      <c r="H955" s="15"/>
      <c r="I955" s="16"/>
      <c r="J955" s="16"/>
      <c r="K955" s="17" t="str">
        <f>IF(J955="","",ROUND(J955*Settings!$B$8,2))</f>
        <v/>
      </c>
      <c r="L955" s="16"/>
      <c r="M955" s="8" t="str">
        <f t="shared" si="14"/>
        <v/>
      </c>
      <c r="N955" s="9"/>
    </row>
    <row r="956" spans="1:14" ht="15.75">
      <c r="A956" s="11"/>
      <c r="B956" s="9"/>
      <c r="C956" s="12" t="str">
        <f>IF(B956="","",IFERROR(INDEX('Cashier Roster'!$C$5:$C$64,MATCH(B956,'Cashier Roster'!$B$5:$B$64,0)),"Not on roster"))</f>
        <v/>
      </c>
      <c r="D956" s="12" t="str">
        <f>IF(B956="","",IFERROR(INDEX('Cashier Roster'!$D$5:$D$64,MATCH(B956,'Cashier Roster'!$B$5:$B$64,0)),""))</f>
        <v/>
      </c>
      <c r="E956" s="13"/>
      <c r="F956" s="14"/>
      <c r="G956" s="8" t="str">
        <f>IF(OR(B956="",E956=""),"",IF(E956="No","Missed",IF(F956="","",IF(F956&lt;=Settings!$B$7,"On time","Late"))))</f>
        <v/>
      </c>
      <c r="H956" s="15"/>
      <c r="I956" s="16"/>
      <c r="J956" s="16"/>
      <c r="K956" s="17" t="str">
        <f>IF(J956="","",ROUND(J956*Settings!$B$8,2))</f>
        <v/>
      </c>
      <c r="L956" s="16"/>
      <c r="M956" s="8" t="str">
        <f t="shared" si="14"/>
        <v/>
      </c>
      <c r="N956" s="9"/>
    </row>
    <row r="957" spans="1:14" ht="15.75">
      <c r="A957" s="11"/>
      <c r="B957" s="9"/>
      <c r="C957" s="12" t="str">
        <f>IF(B957="","",IFERROR(INDEX('Cashier Roster'!$C$5:$C$64,MATCH(B957,'Cashier Roster'!$B$5:$B$64,0)),"Not on roster"))</f>
        <v/>
      </c>
      <c r="D957" s="12" t="str">
        <f>IF(B957="","",IFERROR(INDEX('Cashier Roster'!$D$5:$D$64,MATCH(B957,'Cashier Roster'!$B$5:$B$64,0)),""))</f>
        <v/>
      </c>
      <c r="E957" s="13"/>
      <c r="F957" s="14"/>
      <c r="G957" s="8" t="str">
        <f>IF(OR(B957="",E957=""),"",IF(E957="No","Missed",IF(F957="","",IF(F957&lt;=Settings!$B$7,"On time","Late"))))</f>
        <v/>
      </c>
      <c r="H957" s="15"/>
      <c r="I957" s="16"/>
      <c r="J957" s="16"/>
      <c r="K957" s="17" t="str">
        <f>IF(J957="","",ROUND(J957*Settings!$B$8,2))</f>
        <v/>
      </c>
      <c r="L957" s="16"/>
      <c r="M957" s="8" t="str">
        <f t="shared" si="14"/>
        <v/>
      </c>
      <c r="N957" s="9"/>
    </row>
    <row r="958" spans="1:14" ht="15.75">
      <c r="A958" s="11"/>
      <c r="B958" s="9"/>
      <c r="C958" s="12" t="str">
        <f>IF(B958="","",IFERROR(INDEX('Cashier Roster'!$C$5:$C$64,MATCH(B958,'Cashier Roster'!$B$5:$B$64,0)),"Not on roster"))</f>
        <v/>
      </c>
      <c r="D958" s="12" t="str">
        <f>IF(B958="","",IFERROR(INDEX('Cashier Roster'!$D$5:$D$64,MATCH(B958,'Cashier Roster'!$B$5:$B$64,0)),""))</f>
        <v/>
      </c>
      <c r="E958" s="13"/>
      <c r="F958" s="14"/>
      <c r="G958" s="8" t="str">
        <f>IF(OR(B958="",E958=""),"",IF(E958="No","Missed",IF(F958="","",IF(F958&lt;=Settings!$B$7,"On time","Late"))))</f>
        <v/>
      </c>
      <c r="H958" s="15"/>
      <c r="I958" s="16"/>
      <c r="J958" s="16"/>
      <c r="K958" s="17" t="str">
        <f>IF(J958="","",ROUND(J958*Settings!$B$8,2))</f>
        <v/>
      </c>
      <c r="L958" s="16"/>
      <c r="M958" s="8" t="str">
        <f t="shared" si="14"/>
        <v/>
      </c>
      <c r="N958" s="9"/>
    </row>
    <row r="959" spans="1:14" ht="15.75">
      <c r="A959" s="11"/>
      <c r="B959" s="9"/>
      <c r="C959" s="12" t="str">
        <f>IF(B959="","",IFERROR(INDEX('Cashier Roster'!$C$5:$C$64,MATCH(B959,'Cashier Roster'!$B$5:$B$64,0)),"Not on roster"))</f>
        <v/>
      </c>
      <c r="D959" s="12" t="str">
        <f>IF(B959="","",IFERROR(INDEX('Cashier Roster'!$D$5:$D$64,MATCH(B959,'Cashier Roster'!$B$5:$B$64,0)),""))</f>
        <v/>
      </c>
      <c r="E959" s="13"/>
      <c r="F959" s="14"/>
      <c r="G959" s="8" t="str">
        <f>IF(OR(B959="",E959=""),"",IF(E959="No","Missed",IF(F959="","",IF(F959&lt;=Settings!$B$7,"On time","Late"))))</f>
        <v/>
      </c>
      <c r="H959" s="15"/>
      <c r="I959" s="16"/>
      <c r="J959" s="16"/>
      <c r="K959" s="17" t="str">
        <f>IF(J959="","",ROUND(J959*Settings!$B$8,2))</f>
        <v/>
      </c>
      <c r="L959" s="16"/>
      <c r="M959" s="8" t="str">
        <f t="shared" si="14"/>
        <v/>
      </c>
      <c r="N959" s="9"/>
    </row>
    <row r="960" spans="1:14" ht="15.75">
      <c r="A960" s="11"/>
      <c r="B960" s="9"/>
      <c r="C960" s="12" t="str">
        <f>IF(B960="","",IFERROR(INDEX('Cashier Roster'!$C$5:$C$64,MATCH(B960,'Cashier Roster'!$B$5:$B$64,0)),"Not on roster"))</f>
        <v/>
      </c>
      <c r="D960" s="12" t="str">
        <f>IF(B960="","",IFERROR(INDEX('Cashier Roster'!$D$5:$D$64,MATCH(B960,'Cashier Roster'!$B$5:$B$64,0)),""))</f>
        <v/>
      </c>
      <c r="E960" s="13"/>
      <c r="F960" s="14"/>
      <c r="G960" s="8" t="str">
        <f>IF(OR(B960="",E960=""),"",IF(E960="No","Missed",IF(F960="","",IF(F960&lt;=Settings!$B$7,"On time","Late"))))</f>
        <v/>
      </c>
      <c r="H960" s="15"/>
      <c r="I960" s="16"/>
      <c r="J960" s="16"/>
      <c r="K960" s="17" t="str">
        <f>IF(J960="","",ROUND(J960*Settings!$B$8,2))</f>
        <v/>
      </c>
      <c r="L960" s="16"/>
      <c r="M960" s="8" t="str">
        <f t="shared" si="14"/>
        <v/>
      </c>
      <c r="N960" s="9"/>
    </row>
    <row r="961" spans="1:14" ht="15.75">
      <c r="A961" s="11"/>
      <c r="B961" s="9"/>
      <c r="C961" s="12" t="str">
        <f>IF(B961="","",IFERROR(INDEX('Cashier Roster'!$C$5:$C$64,MATCH(B961,'Cashier Roster'!$B$5:$B$64,0)),"Not on roster"))</f>
        <v/>
      </c>
      <c r="D961" s="12" t="str">
        <f>IF(B961="","",IFERROR(INDEX('Cashier Roster'!$D$5:$D$64,MATCH(B961,'Cashier Roster'!$B$5:$B$64,0)),""))</f>
        <v/>
      </c>
      <c r="E961" s="13"/>
      <c r="F961" s="14"/>
      <c r="G961" s="8" t="str">
        <f>IF(OR(B961="",E961=""),"",IF(E961="No","Missed",IF(F961="","",IF(F961&lt;=Settings!$B$7,"On time","Late"))))</f>
        <v/>
      </c>
      <c r="H961" s="15"/>
      <c r="I961" s="16"/>
      <c r="J961" s="16"/>
      <c r="K961" s="17" t="str">
        <f>IF(J961="","",ROUND(J961*Settings!$B$8,2))</f>
        <v/>
      </c>
      <c r="L961" s="16"/>
      <c r="M961" s="8" t="str">
        <f t="shared" si="14"/>
        <v/>
      </c>
      <c r="N961" s="9"/>
    </row>
    <row r="962" spans="1:14" ht="15.75">
      <c r="A962" s="11"/>
      <c r="B962" s="9"/>
      <c r="C962" s="12" t="str">
        <f>IF(B962="","",IFERROR(INDEX('Cashier Roster'!$C$5:$C$64,MATCH(B962,'Cashier Roster'!$B$5:$B$64,0)),"Not on roster"))</f>
        <v/>
      </c>
      <c r="D962" s="12" t="str">
        <f>IF(B962="","",IFERROR(INDEX('Cashier Roster'!$D$5:$D$64,MATCH(B962,'Cashier Roster'!$B$5:$B$64,0)),""))</f>
        <v/>
      </c>
      <c r="E962" s="13"/>
      <c r="F962" s="14"/>
      <c r="G962" s="8" t="str">
        <f>IF(OR(B962="",E962=""),"",IF(E962="No","Missed",IF(F962="","",IF(F962&lt;=Settings!$B$7,"On time","Late"))))</f>
        <v/>
      </c>
      <c r="H962" s="15"/>
      <c r="I962" s="16"/>
      <c r="J962" s="16"/>
      <c r="K962" s="17" t="str">
        <f>IF(J962="","",ROUND(J962*Settings!$B$8,2))</f>
        <v/>
      </c>
      <c r="L962" s="16"/>
      <c r="M962" s="8" t="str">
        <f t="shared" si="14"/>
        <v/>
      </c>
      <c r="N962" s="9"/>
    </row>
    <row r="963" spans="1:14" ht="15.75">
      <c r="A963" s="11"/>
      <c r="B963" s="9"/>
      <c r="C963" s="12" t="str">
        <f>IF(B963="","",IFERROR(INDEX('Cashier Roster'!$C$5:$C$64,MATCH(B963,'Cashier Roster'!$B$5:$B$64,0)),"Not on roster"))</f>
        <v/>
      </c>
      <c r="D963" s="12" t="str">
        <f>IF(B963="","",IFERROR(INDEX('Cashier Roster'!$D$5:$D$64,MATCH(B963,'Cashier Roster'!$B$5:$B$64,0)),""))</f>
        <v/>
      </c>
      <c r="E963" s="13"/>
      <c r="F963" s="14"/>
      <c r="G963" s="8" t="str">
        <f>IF(OR(B963="",E963=""),"",IF(E963="No","Missed",IF(F963="","",IF(F963&lt;=Settings!$B$7,"On time","Late"))))</f>
        <v/>
      </c>
      <c r="H963" s="15"/>
      <c r="I963" s="16"/>
      <c r="J963" s="16"/>
      <c r="K963" s="17" t="str">
        <f>IF(J963="","",ROUND(J963*Settings!$B$8,2))</f>
        <v/>
      </c>
      <c r="L963" s="16"/>
      <c r="M963" s="8" t="str">
        <f t="shared" si="14"/>
        <v/>
      </c>
      <c r="N963" s="9"/>
    </row>
    <row r="964" spans="1:14" ht="15.75">
      <c r="A964" s="11"/>
      <c r="B964" s="9"/>
      <c r="C964" s="12" t="str">
        <f>IF(B964="","",IFERROR(INDEX('Cashier Roster'!$C$5:$C$64,MATCH(B964,'Cashier Roster'!$B$5:$B$64,0)),"Not on roster"))</f>
        <v/>
      </c>
      <c r="D964" s="12" t="str">
        <f>IF(B964="","",IFERROR(INDEX('Cashier Roster'!$D$5:$D$64,MATCH(B964,'Cashier Roster'!$B$5:$B$64,0)),""))</f>
        <v/>
      </c>
      <c r="E964" s="13"/>
      <c r="F964" s="14"/>
      <c r="G964" s="8" t="str">
        <f>IF(OR(B964="",E964=""),"",IF(E964="No","Missed",IF(F964="","",IF(F964&lt;=Settings!$B$7,"On time","Late"))))</f>
        <v/>
      </c>
      <c r="H964" s="15"/>
      <c r="I964" s="16"/>
      <c r="J964" s="16"/>
      <c r="K964" s="17" t="str">
        <f>IF(J964="","",ROUND(J964*Settings!$B$8,2))</f>
        <v/>
      </c>
      <c r="L964" s="16"/>
      <c r="M964" s="8" t="str">
        <f t="shared" si="14"/>
        <v/>
      </c>
      <c r="N964" s="9"/>
    </row>
    <row r="965" spans="1:14" ht="15.75">
      <c r="A965" s="11"/>
      <c r="B965" s="9"/>
      <c r="C965" s="12" t="str">
        <f>IF(B965="","",IFERROR(INDEX('Cashier Roster'!$C$5:$C$64,MATCH(B965,'Cashier Roster'!$B$5:$B$64,0)),"Not on roster"))</f>
        <v/>
      </c>
      <c r="D965" s="12" t="str">
        <f>IF(B965="","",IFERROR(INDEX('Cashier Roster'!$D$5:$D$64,MATCH(B965,'Cashier Roster'!$B$5:$B$64,0)),""))</f>
        <v/>
      </c>
      <c r="E965" s="13"/>
      <c r="F965" s="14"/>
      <c r="G965" s="8" t="str">
        <f>IF(OR(B965="",E965=""),"",IF(E965="No","Missed",IF(F965="","",IF(F965&lt;=Settings!$B$7,"On time","Late"))))</f>
        <v/>
      </c>
      <c r="H965" s="15"/>
      <c r="I965" s="16"/>
      <c r="J965" s="16"/>
      <c r="K965" s="17" t="str">
        <f>IF(J965="","",ROUND(J965*Settings!$B$8,2))</f>
        <v/>
      </c>
      <c r="L965" s="16"/>
      <c r="M965" s="8" t="str">
        <f t="shared" ref="M965:M1028" si="15">IF(L965="","",IF(L965&lt;=0,"Yes","No"))</f>
        <v/>
      </c>
      <c r="N965" s="9"/>
    </row>
    <row r="966" spans="1:14" ht="15.75">
      <c r="A966" s="11"/>
      <c r="B966" s="9"/>
      <c r="C966" s="12" t="str">
        <f>IF(B966="","",IFERROR(INDEX('Cashier Roster'!$C$5:$C$64,MATCH(B966,'Cashier Roster'!$B$5:$B$64,0)),"Not on roster"))</f>
        <v/>
      </c>
      <c r="D966" s="12" t="str">
        <f>IF(B966="","",IFERROR(INDEX('Cashier Roster'!$D$5:$D$64,MATCH(B966,'Cashier Roster'!$B$5:$B$64,0)),""))</f>
        <v/>
      </c>
      <c r="E966" s="13"/>
      <c r="F966" s="14"/>
      <c r="G966" s="8" t="str">
        <f>IF(OR(B966="",E966=""),"",IF(E966="No","Missed",IF(F966="","",IF(F966&lt;=Settings!$B$7,"On time","Late"))))</f>
        <v/>
      </c>
      <c r="H966" s="15"/>
      <c r="I966" s="16"/>
      <c r="J966" s="16"/>
      <c r="K966" s="17" t="str">
        <f>IF(J966="","",ROUND(J966*Settings!$B$8,2))</f>
        <v/>
      </c>
      <c r="L966" s="16"/>
      <c r="M966" s="8" t="str">
        <f t="shared" si="15"/>
        <v/>
      </c>
      <c r="N966" s="9"/>
    </row>
    <row r="967" spans="1:14" ht="15.75">
      <c r="A967" s="11"/>
      <c r="B967" s="9"/>
      <c r="C967" s="12" t="str">
        <f>IF(B967="","",IFERROR(INDEX('Cashier Roster'!$C$5:$C$64,MATCH(B967,'Cashier Roster'!$B$5:$B$64,0)),"Not on roster"))</f>
        <v/>
      </c>
      <c r="D967" s="12" t="str">
        <f>IF(B967="","",IFERROR(INDEX('Cashier Roster'!$D$5:$D$64,MATCH(B967,'Cashier Roster'!$B$5:$B$64,0)),""))</f>
        <v/>
      </c>
      <c r="E967" s="13"/>
      <c r="F967" s="14"/>
      <c r="G967" s="8" t="str">
        <f>IF(OR(B967="",E967=""),"",IF(E967="No","Missed",IF(F967="","",IF(F967&lt;=Settings!$B$7,"On time","Late"))))</f>
        <v/>
      </c>
      <c r="H967" s="15"/>
      <c r="I967" s="16"/>
      <c r="J967" s="16"/>
      <c r="K967" s="17" t="str">
        <f>IF(J967="","",ROUND(J967*Settings!$B$8,2))</f>
        <v/>
      </c>
      <c r="L967" s="16"/>
      <c r="M967" s="8" t="str">
        <f t="shared" si="15"/>
        <v/>
      </c>
      <c r="N967" s="9"/>
    </row>
    <row r="968" spans="1:14" ht="15.75">
      <c r="A968" s="11"/>
      <c r="B968" s="9"/>
      <c r="C968" s="12" t="str">
        <f>IF(B968="","",IFERROR(INDEX('Cashier Roster'!$C$5:$C$64,MATCH(B968,'Cashier Roster'!$B$5:$B$64,0)),"Not on roster"))</f>
        <v/>
      </c>
      <c r="D968" s="12" t="str">
        <f>IF(B968="","",IFERROR(INDEX('Cashier Roster'!$D$5:$D$64,MATCH(B968,'Cashier Roster'!$B$5:$B$64,0)),""))</f>
        <v/>
      </c>
      <c r="E968" s="13"/>
      <c r="F968" s="14"/>
      <c r="G968" s="8" t="str">
        <f>IF(OR(B968="",E968=""),"",IF(E968="No","Missed",IF(F968="","",IF(F968&lt;=Settings!$B$7,"On time","Late"))))</f>
        <v/>
      </c>
      <c r="H968" s="15"/>
      <c r="I968" s="16"/>
      <c r="J968" s="16"/>
      <c r="K968" s="17" t="str">
        <f>IF(J968="","",ROUND(J968*Settings!$B$8,2))</f>
        <v/>
      </c>
      <c r="L968" s="16"/>
      <c r="M968" s="8" t="str">
        <f t="shared" si="15"/>
        <v/>
      </c>
      <c r="N968" s="9"/>
    </row>
    <row r="969" spans="1:14" ht="15.75">
      <c r="A969" s="11"/>
      <c r="B969" s="9"/>
      <c r="C969" s="12" t="str">
        <f>IF(B969="","",IFERROR(INDEX('Cashier Roster'!$C$5:$C$64,MATCH(B969,'Cashier Roster'!$B$5:$B$64,0)),"Not on roster"))</f>
        <v/>
      </c>
      <c r="D969" s="12" t="str">
        <f>IF(B969="","",IFERROR(INDEX('Cashier Roster'!$D$5:$D$64,MATCH(B969,'Cashier Roster'!$B$5:$B$64,0)),""))</f>
        <v/>
      </c>
      <c r="E969" s="13"/>
      <c r="F969" s="14"/>
      <c r="G969" s="8" t="str">
        <f>IF(OR(B969="",E969=""),"",IF(E969="No","Missed",IF(F969="","",IF(F969&lt;=Settings!$B$7,"On time","Late"))))</f>
        <v/>
      </c>
      <c r="H969" s="15"/>
      <c r="I969" s="16"/>
      <c r="J969" s="16"/>
      <c r="K969" s="17" t="str">
        <f>IF(J969="","",ROUND(J969*Settings!$B$8,2))</f>
        <v/>
      </c>
      <c r="L969" s="16"/>
      <c r="M969" s="8" t="str">
        <f t="shared" si="15"/>
        <v/>
      </c>
      <c r="N969" s="9"/>
    </row>
    <row r="970" spans="1:14" ht="15.75">
      <c r="A970" s="11"/>
      <c r="B970" s="9"/>
      <c r="C970" s="12" t="str">
        <f>IF(B970="","",IFERROR(INDEX('Cashier Roster'!$C$5:$C$64,MATCH(B970,'Cashier Roster'!$B$5:$B$64,0)),"Not on roster"))</f>
        <v/>
      </c>
      <c r="D970" s="12" t="str">
        <f>IF(B970="","",IFERROR(INDEX('Cashier Roster'!$D$5:$D$64,MATCH(B970,'Cashier Roster'!$B$5:$B$64,0)),""))</f>
        <v/>
      </c>
      <c r="E970" s="13"/>
      <c r="F970" s="14"/>
      <c r="G970" s="8" t="str">
        <f>IF(OR(B970="",E970=""),"",IF(E970="No","Missed",IF(F970="","",IF(F970&lt;=Settings!$B$7,"On time","Late"))))</f>
        <v/>
      </c>
      <c r="H970" s="15"/>
      <c r="I970" s="16"/>
      <c r="J970" s="16"/>
      <c r="K970" s="17" t="str">
        <f>IF(J970="","",ROUND(J970*Settings!$B$8,2))</f>
        <v/>
      </c>
      <c r="L970" s="16"/>
      <c r="M970" s="8" t="str">
        <f t="shared" si="15"/>
        <v/>
      </c>
      <c r="N970" s="9"/>
    </row>
    <row r="971" spans="1:14" ht="15.75">
      <c r="A971" s="11"/>
      <c r="B971" s="9"/>
      <c r="C971" s="12" t="str">
        <f>IF(B971="","",IFERROR(INDEX('Cashier Roster'!$C$5:$C$64,MATCH(B971,'Cashier Roster'!$B$5:$B$64,0)),"Not on roster"))</f>
        <v/>
      </c>
      <c r="D971" s="12" t="str">
        <f>IF(B971="","",IFERROR(INDEX('Cashier Roster'!$D$5:$D$64,MATCH(B971,'Cashier Roster'!$B$5:$B$64,0)),""))</f>
        <v/>
      </c>
      <c r="E971" s="13"/>
      <c r="F971" s="14"/>
      <c r="G971" s="8" t="str">
        <f>IF(OR(B971="",E971=""),"",IF(E971="No","Missed",IF(F971="","",IF(F971&lt;=Settings!$B$7,"On time","Late"))))</f>
        <v/>
      </c>
      <c r="H971" s="15"/>
      <c r="I971" s="16"/>
      <c r="J971" s="16"/>
      <c r="K971" s="17" t="str">
        <f>IF(J971="","",ROUND(J971*Settings!$B$8,2))</f>
        <v/>
      </c>
      <c r="L971" s="16"/>
      <c r="M971" s="8" t="str">
        <f t="shared" si="15"/>
        <v/>
      </c>
      <c r="N971" s="9"/>
    </row>
    <row r="972" spans="1:14" ht="15.75">
      <c r="A972" s="11"/>
      <c r="B972" s="9"/>
      <c r="C972" s="12" t="str">
        <f>IF(B972="","",IFERROR(INDEX('Cashier Roster'!$C$5:$C$64,MATCH(B972,'Cashier Roster'!$B$5:$B$64,0)),"Not on roster"))</f>
        <v/>
      </c>
      <c r="D972" s="12" t="str">
        <f>IF(B972="","",IFERROR(INDEX('Cashier Roster'!$D$5:$D$64,MATCH(B972,'Cashier Roster'!$B$5:$B$64,0)),""))</f>
        <v/>
      </c>
      <c r="E972" s="13"/>
      <c r="F972" s="14"/>
      <c r="G972" s="8" t="str">
        <f>IF(OR(B972="",E972=""),"",IF(E972="No","Missed",IF(F972="","",IF(F972&lt;=Settings!$B$7,"On time","Late"))))</f>
        <v/>
      </c>
      <c r="H972" s="15"/>
      <c r="I972" s="16"/>
      <c r="J972" s="16"/>
      <c r="K972" s="17" t="str">
        <f>IF(J972="","",ROUND(J972*Settings!$B$8,2))</f>
        <v/>
      </c>
      <c r="L972" s="16"/>
      <c r="M972" s="8" t="str">
        <f t="shared" si="15"/>
        <v/>
      </c>
      <c r="N972" s="9"/>
    </row>
    <row r="973" spans="1:14" ht="15.75">
      <c r="A973" s="11"/>
      <c r="B973" s="9"/>
      <c r="C973" s="12" t="str">
        <f>IF(B973="","",IFERROR(INDEX('Cashier Roster'!$C$5:$C$64,MATCH(B973,'Cashier Roster'!$B$5:$B$64,0)),"Not on roster"))</f>
        <v/>
      </c>
      <c r="D973" s="12" t="str">
        <f>IF(B973="","",IFERROR(INDEX('Cashier Roster'!$D$5:$D$64,MATCH(B973,'Cashier Roster'!$B$5:$B$64,0)),""))</f>
        <v/>
      </c>
      <c r="E973" s="13"/>
      <c r="F973" s="14"/>
      <c r="G973" s="8" t="str">
        <f>IF(OR(B973="",E973=""),"",IF(E973="No","Missed",IF(F973="","",IF(F973&lt;=Settings!$B$7,"On time","Late"))))</f>
        <v/>
      </c>
      <c r="H973" s="15"/>
      <c r="I973" s="16"/>
      <c r="J973" s="16"/>
      <c r="K973" s="17" t="str">
        <f>IF(J973="","",ROUND(J973*Settings!$B$8,2))</f>
        <v/>
      </c>
      <c r="L973" s="16"/>
      <c r="M973" s="8" t="str">
        <f t="shared" si="15"/>
        <v/>
      </c>
      <c r="N973" s="9"/>
    </row>
    <row r="974" spans="1:14" ht="15.75">
      <c r="A974" s="11"/>
      <c r="B974" s="9"/>
      <c r="C974" s="12" t="str">
        <f>IF(B974="","",IFERROR(INDEX('Cashier Roster'!$C$5:$C$64,MATCH(B974,'Cashier Roster'!$B$5:$B$64,0)),"Not on roster"))</f>
        <v/>
      </c>
      <c r="D974" s="12" t="str">
        <f>IF(B974="","",IFERROR(INDEX('Cashier Roster'!$D$5:$D$64,MATCH(B974,'Cashier Roster'!$B$5:$B$64,0)),""))</f>
        <v/>
      </c>
      <c r="E974" s="13"/>
      <c r="F974" s="14"/>
      <c r="G974" s="8" t="str">
        <f>IF(OR(B974="",E974=""),"",IF(E974="No","Missed",IF(F974="","",IF(F974&lt;=Settings!$B$7,"On time","Late"))))</f>
        <v/>
      </c>
      <c r="H974" s="15"/>
      <c r="I974" s="16"/>
      <c r="J974" s="16"/>
      <c r="K974" s="17" t="str">
        <f>IF(J974="","",ROUND(J974*Settings!$B$8,2))</f>
        <v/>
      </c>
      <c r="L974" s="16"/>
      <c r="M974" s="8" t="str">
        <f t="shared" si="15"/>
        <v/>
      </c>
      <c r="N974" s="9"/>
    </row>
    <row r="975" spans="1:14" ht="15.75">
      <c r="A975" s="11"/>
      <c r="B975" s="9"/>
      <c r="C975" s="12" t="str">
        <f>IF(B975="","",IFERROR(INDEX('Cashier Roster'!$C$5:$C$64,MATCH(B975,'Cashier Roster'!$B$5:$B$64,0)),"Not on roster"))</f>
        <v/>
      </c>
      <c r="D975" s="12" t="str">
        <f>IF(B975="","",IFERROR(INDEX('Cashier Roster'!$D$5:$D$64,MATCH(B975,'Cashier Roster'!$B$5:$B$64,0)),""))</f>
        <v/>
      </c>
      <c r="E975" s="13"/>
      <c r="F975" s="14"/>
      <c r="G975" s="8" t="str">
        <f>IF(OR(B975="",E975=""),"",IF(E975="No","Missed",IF(F975="","",IF(F975&lt;=Settings!$B$7,"On time","Late"))))</f>
        <v/>
      </c>
      <c r="H975" s="15"/>
      <c r="I975" s="16"/>
      <c r="J975" s="16"/>
      <c r="K975" s="17" t="str">
        <f>IF(J975="","",ROUND(J975*Settings!$B$8,2))</f>
        <v/>
      </c>
      <c r="L975" s="16"/>
      <c r="M975" s="8" t="str">
        <f t="shared" si="15"/>
        <v/>
      </c>
      <c r="N975" s="9"/>
    </row>
    <row r="976" spans="1:14" ht="15.75">
      <c r="A976" s="11"/>
      <c r="B976" s="9"/>
      <c r="C976" s="12" t="str">
        <f>IF(B976="","",IFERROR(INDEX('Cashier Roster'!$C$5:$C$64,MATCH(B976,'Cashier Roster'!$B$5:$B$64,0)),"Not on roster"))</f>
        <v/>
      </c>
      <c r="D976" s="12" t="str">
        <f>IF(B976="","",IFERROR(INDEX('Cashier Roster'!$D$5:$D$64,MATCH(B976,'Cashier Roster'!$B$5:$B$64,0)),""))</f>
        <v/>
      </c>
      <c r="E976" s="13"/>
      <c r="F976" s="14"/>
      <c r="G976" s="8" t="str">
        <f>IF(OR(B976="",E976=""),"",IF(E976="No","Missed",IF(F976="","",IF(F976&lt;=Settings!$B$7,"On time","Late"))))</f>
        <v/>
      </c>
      <c r="H976" s="15"/>
      <c r="I976" s="16"/>
      <c r="J976" s="16"/>
      <c r="K976" s="17" t="str">
        <f>IF(J976="","",ROUND(J976*Settings!$B$8,2))</f>
        <v/>
      </c>
      <c r="L976" s="16"/>
      <c r="M976" s="8" t="str">
        <f t="shared" si="15"/>
        <v/>
      </c>
      <c r="N976" s="9"/>
    </row>
    <row r="977" spans="1:14" ht="15.75">
      <c r="A977" s="11"/>
      <c r="B977" s="9"/>
      <c r="C977" s="12" t="str">
        <f>IF(B977="","",IFERROR(INDEX('Cashier Roster'!$C$5:$C$64,MATCH(B977,'Cashier Roster'!$B$5:$B$64,0)),"Not on roster"))</f>
        <v/>
      </c>
      <c r="D977" s="12" t="str">
        <f>IF(B977="","",IFERROR(INDEX('Cashier Roster'!$D$5:$D$64,MATCH(B977,'Cashier Roster'!$B$5:$B$64,0)),""))</f>
        <v/>
      </c>
      <c r="E977" s="13"/>
      <c r="F977" s="14"/>
      <c r="G977" s="8" t="str">
        <f>IF(OR(B977="",E977=""),"",IF(E977="No","Missed",IF(F977="","",IF(F977&lt;=Settings!$B$7,"On time","Late"))))</f>
        <v/>
      </c>
      <c r="H977" s="15"/>
      <c r="I977" s="16"/>
      <c r="J977" s="16"/>
      <c r="K977" s="17" t="str">
        <f>IF(J977="","",ROUND(J977*Settings!$B$8,2))</f>
        <v/>
      </c>
      <c r="L977" s="16"/>
      <c r="M977" s="8" t="str">
        <f t="shared" si="15"/>
        <v/>
      </c>
      <c r="N977" s="9"/>
    </row>
    <row r="978" spans="1:14" ht="15.75">
      <c r="A978" s="11"/>
      <c r="B978" s="9"/>
      <c r="C978" s="12" t="str">
        <f>IF(B978="","",IFERROR(INDEX('Cashier Roster'!$C$5:$C$64,MATCH(B978,'Cashier Roster'!$B$5:$B$64,0)),"Not on roster"))</f>
        <v/>
      </c>
      <c r="D978" s="12" t="str">
        <f>IF(B978="","",IFERROR(INDEX('Cashier Roster'!$D$5:$D$64,MATCH(B978,'Cashier Roster'!$B$5:$B$64,0)),""))</f>
        <v/>
      </c>
      <c r="E978" s="13"/>
      <c r="F978" s="14"/>
      <c r="G978" s="8" t="str">
        <f>IF(OR(B978="",E978=""),"",IF(E978="No","Missed",IF(F978="","",IF(F978&lt;=Settings!$B$7,"On time","Late"))))</f>
        <v/>
      </c>
      <c r="H978" s="15"/>
      <c r="I978" s="16"/>
      <c r="J978" s="16"/>
      <c r="K978" s="17" t="str">
        <f>IF(J978="","",ROUND(J978*Settings!$B$8,2))</f>
        <v/>
      </c>
      <c r="L978" s="16"/>
      <c r="M978" s="8" t="str">
        <f t="shared" si="15"/>
        <v/>
      </c>
      <c r="N978" s="9"/>
    </row>
    <row r="979" spans="1:14" ht="15.75">
      <c r="A979" s="11"/>
      <c r="B979" s="9"/>
      <c r="C979" s="12" t="str">
        <f>IF(B979="","",IFERROR(INDEX('Cashier Roster'!$C$5:$C$64,MATCH(B979,'Cashier Roster'!$B$5:$B$64,0)),"Not on roster"))</f>
        <v/>
      </c>
      <c r="D979" s="12" t="str">
        <f>IF(B979="","",IFERROR(INDEX('Cashier Roster'!$D$5:$D$64,MATCH(B979,'Cashier Roster'!$B$5:$B$64,0)),""))</f>
        <v/>
      </c>
      <c r="E979" s="13"/>
      <c r="F979" s="14"/>
      <c r="G979" s="8" t="str">
        <f>IF(OR(B979="",E979=""),"",IF(E979="No","Missed",IF(F979="","",IF(F979&lt;=Settings!$B$7,"On time","Late"))))</f>
        <v/>
      </c>
      <c r="H979" s="15"/>
      <c r="I979" s="16"/>
      <c r="J979" s="16"/>
      <c r="K979" s="17" t="str">
        <f>IF(J979="","",ROUND(J979*Settings!$B$8,2))</f>
        <v/>
      </c>
      <c r="L979" s="16"/>
      <c r="M979" s="8" t="str">
        <f t="shared" si="15"/>
        <v/>
      </c>
      <c r="N979" s="9"/>
    </row>
    <row r="980" spans="1:14" ht="15.75">
      <c r="A980" s="11"/>
      <c r="B980" s="9"/>
      <c r="C980" s="12" t="str">
        <f>IF(B980="","",IFERROR(INDEX('Cashier Roster'!$C$5:$C$64,MATCH(B980,'Cashier Roster'!$B$5:$B$64,0)),"Not on roster"))</f>
        <v/>
      </c>
      <c r="D980" s="12" t="str">
        <f>IF(B980="","",IFERROR(INDEX('Cashier Roster'!$D$5:$D$64,MATCH(B980,'Cashier Roster'!$B$5:$B$64,0)),""))</f>
        <v/>
      </c>
      <c r="E980" s="13"/>
      <c r="F980" s="14"/>
      <c r="G980" s="8" t="str">
        <f>IF(OR(B980="",E980=""),"",IF(E980="No","Missed",IF(F980="","",IF(F980&lt;=Settings!$B$7,"On time","Late"))))</f>
        <v/>
      </c>
      <c r="H980" s="15"/>
      <c r="I980" s="16"/>
      <c r="J980" s="16"/>
      <c r="K980" s="17" t="str">
        <f>IF(J980="","",ROUND(J980*Settings!$B$8,2))</f>
        <v/>
      </c>
      <c r="L980" s="16"/>
      <c r="M980" s="8" t="str">
        <f t="shared" si="15"/>
        <v/>
      </c>
      <c r="N980" s="9"/>
    </row>
    <row r="981" spans="1:14" ht="15.75">
      <c r="A981" s="11"/>
      <c r="B981" s="9"/>
      <c r="C981" s="12" t="str">
        <f>IF(B981="","",IFERROR(INDEX('Cashier Roster'!$C$5:$C$64,MATCH(B981,'Cashier Roster'!$B$5:$B$64,0)),"Not on roster"))</f>
        <v/>
      </c>
      <c r="D981" s="12" t="str">
        <f>IF(B981="","",IFERROR(INDEX('Cashier Roster'!$D$5:$D$64,MATCH(B981,'Cashier Roster'!$B$5:$B$64,0)),""))</f>
        <v/>
      </c>
      <c r="E981" s="13"/>
      <c r="F981" s="14"/>
      <c r="G981" s="8" t="str">
        <f>IF(OR(B981="",E981=""),"",IF(E981="No","Missed",IF(F981="","",IF(F981&lt;=Settings!$B$7,"On time","Late"))))</f>
        <v/>
      </c>
      <c r="H981" s="15"/>
      <c r="I981" s="16"/>
      <c r="J981" s="16"/>
      <c r="K981" s="17" t="str">
        <f>IF(J981="","",ROUND(J981*Settings!$B$8,2))</f>
        <v/>
      </c>
      <c r="L981" s="16"/>
      <c r="M981" s="8" t="str">
        <f t="shared" si="15"/>
        <v/>
      </c>
      <c r="N981" s="9"/>
    </row>
    <row r="982" spans="1:14" ht="15.75">
      <c r="A982" s="11"/>
      <c r="B982" s="9"/>
      <c r="C982" s="12" t="str">
        <f>IF(B982="","",IFERROR(INDEX('Cashier Roster'!$C$5:$C$64,MATCH(B982,'Cashier Roster'!$B$5:$B$64,0)),"Not on roster"))</f>
        <v/>
      </c>
      <c r="D982" s="12" t="str">
        <f>IF(B982="","",IFERROR(INDEX('Cashier Roster'!$D$5:$D$64,MATCH(B982,'Cashier Roster'!$B$5:$B$64,0)),""))</f>
        <v/>
      </c>
      <c r="E982" s="13"/>
      <c r="F982" s="14"/>
      <c r="G982" s="8" t="str">
        <f>IF(OR(B982="",E982=""),"",IF(E982="No","Missed",IF(F982="","",IF(F982&lt;=Settings!$B$7,"On time","Late"))))</f>
        <v/>
      </c>
      <c r="H982" s="15"/>
      <c r="I982" s="16"/>
      <c r="J982" s="16"/>
      <c r="K982" s="17" t="str">
        <f>IF(J982="","",ROUND(J982*Settings!$B$8,2))</f>
        <v/>
      </c>
      <c r="L982" s="16"/>
      <c r="M982" s="8" t="str">
        <f t="shared" si="15"/>
        <v/>
      </c>
      <c r="N982" s="9"/>
    </row>
    <row r="983" spans="1:14" ht="15.75">
      <c r="A983" s="11"/>
      <c r="B983" s="9"/>
      <c r="C983" s="12" t="str">
        <f>IF(B983="","",IFERROR(INDEX('Cashier Roster'!$C$5:$C$64,MATCH(B983,'Cashier Roster'!$B$5:$B$64,0)),"Not on roster"))</f>
        <v/>
      </c>
      <c r="D983" s="12" t="str">
        <f>IF(B983="","",IFERROR(INDEX('Cashier Roster'!$D$5:$D$64,MATCH(B983,'Cashier Roster'!$B$5:$B$64,0)),""))</f>
        <v/>
      </c>
      <c r="E983" s="13"/>
      <c r="F983" s="14"/>
      <c r="G983" s="8" t="str">
        <f>IF(OR(B983="",E983=""),"",IF(E983="No","Missed",IF(F983="","",IF(F983&lt;=Settings!$B$7,"On time","Late"))))</f>
        <v/>
      </c>
      <c r="H983" s="15"/>
      <c r="I983" s="16"/>
      <c r="J983" s="16"/>
      <c r="K983" s="17" t="str">
        <f>IF(J983="","",ROUND(J983*Settings!$B$8,2))</f>
        <v/>
      </c>
      <c r="L983" s="16"/>
      <c r="M983" s="8" t="str">
        <f t="shared" si="15"/>
        <v/>
      </c>
      <c r="N983" s="9"/>
    </row>
    <row r="984" spans="1:14" ht="15.75">
      <c r="A984" s="11"/>
      <c r="B984" s="9"/>
      <c r="C984" s="12" t="str">
        <f>IF(B984="","",IFERROR(INDEX('Cashier Roster'!$C$5:$C$64,MATCH(B984,'Cashier Roster'!$B$5:$B$64,0)),"Not on roster"))</f>
        <v/>
      </c>
      <c r="D984" s="12" t="str">
        <f>IF(B984="","",IFERROR(INDEX('Cashier Roster'!$D$5:$D$64,MATCH(B984,'Cashier Roster'!$B$5:$B$64,0)),""))</f>
        <v/>
      </c>
      <c r="E984" s="13"/>
      <c r="F984" s="14"/>
      <c r="G984" s="8" t="str">
        <f>IF(OR(B984="",E984=""),"",IF(E984="No","Missed",IF(F984="","",IF(F984&lt;=Settings!$B$7,"On time","Late"))))</f>
        <v/>
      </c>
      <c r="H984" s="15"/>
      <c r="I984" s="16"/>
      <c r="J984" s="16"/>
      <c r="K984" s="17" t="str">
        <f>IF(J984="","",ROUND(J984*Settings!$B$8,2))</f>
        <v/>
      </c>
      <c r="L984" s="16"/>
      <c r="M984" s="8" t="str">
        <f t="shared" si="15"/>
        <v/>
      </c>
      <c r="N984" s="9"/>
    </row>
    <row r="985" spans="1:14" ht="15.75">
      <c r="A985" s="11"/>
      <c r="B985" s="9"/>
      <c r="C985" s="12" t="str">
        <f>IF(B985="","",IFERROR(INDEX('Cashier Roster'!$C$5:$C$64,MATCH(B985,'Cashier Roster'!$B$5:$B$64,0)),"Not on roster"))</f>
        <v/>
      </c>
      <c r="D985" s="12" t="str">
        <f>IF(B985="","",IFERROR(INDEX('Cashier Roster'!$D$5:$D$64,MATCH(B985,'Cashier Roster'!$B$5:$B$64,0)),""))</f>
        <v/>
      </c>
      <c r="E985" s="13"/>
      <c r="F985" s="14"/>
      <c r="G985" s="8" t="str">
        <f>IF(OR(B985="",E985=""),"",IF(E985="No","Missed",IF(F985="","",IF(F985&lt;=Settings!$B$7,"On time","Late"))))</f>
        <v/>
      </c>
      <c r="H985" s="15"/>
      <c r="I985" s="16"/>
      <c r="J985" s="16"/>
      <c r="K985" s="17" t="str">
        <f>IF(J985="","",ROUND(J985*Settings!$B$8,2))</f>
        <v/>
      </c>
      <c r="L985" s="16"/>
      <c r="M985" s="8" t="str">
        <f t="shared" si="15"/>
        <v/>
      </c>
      <c r="N985" s="9"/>
    </row>
    <row r="986" spans="1:14" ht="15.75">
      <c r="A986" s="11"/>
      <c r="B986" s="9"/>
      <c r="C986" s="12" t="str">
        <f>IF(B986="","",IFERROR(INDEX('Cashier Roster'!$C$5:$C$64,MATCH(B986,'Cashier Roster'!$B$5:$B$64,0)),"Not on roster"))</f>
        <v/>
      </c>
      <c r="D986" s="12" t="str">
        <f>IF(B986="","",IFERROR(INDEX('Cashier Roster'!$D$5:$D$64,MATCH(B986,'Cashier Roster'!$B$5:$B$64,0)),""))</f>
        <v/>
      </c>
      <c r="E986" s="13"/>
      <c r="F986" s="14"/>
      <c r="G986" s="8" t="str">
        <f>IF(OR(B986="",E986=""),"",IF(E986="No","Missed",IF(F986="","",IF(F986&lt;=Settings!$B$7,"On time","Late"))))</f>
        <v/>
      </c>
      <c r="H986" s="15"/>
      <c r="I986" s="16"/>
      <c r="J986" s="16"/>
      <c r="K986" s="17" t="str">
        <f>IF(J986="","",ROUND(J986*Settings!$B$8,2))</f>
        <v/>
      </c>
      <c r="L986" s="16"/>
      <c r="M986" s="8" t="str">
        <f t="shared" si="15"/>
        <v/>
      </c>
      <c r="N986" s="9"/>
    </row>
    <row r="987" spans="1:14" ht="15.75">
      <c r="A987" s="11"/>
      <c r="B987" s="9"/>
      <c r="C987" s="12" t="str">
        <f>IF(B987="","",IFERROR(INDEX('Cashier Roster'!$C$5:$C$64,MATCH(B987,'Cashier Roster'!$B$5:$B$64,0)),"Not on roster"))</f>
        <v/>
      </c>
      <c r="D987" s="12" t="str">
        <f>IF(B987="","",IFERROR(INDEX('Cashier Roster'!$D$5:$D$64,MATCH(B987,'Cashier Roster'!$B$5:$B$64,0)),""))</f>
        <v/>
      </c>
      <c r="E987" s="13"/>
      <c r="F987" s="14"/>
      <c r="G987" s="8" t="str">
        <f>IF(OR(B987="",E987=""),"",IF(E987="No","Missed",IF(F987="","",IF(F987&lt;=Settings!$B$7,"On time","Late"))))</f>
        <v/>
      </c>
      <c r="H987" s="15"/>
      <c r="I987" s="16"/>
      <c r="J987" s="16"/>
      <c r="K987" s="17" t="str">
        <f>IF(J987="","",ROUND(J987*Settings!$B$8,2))</f>
        <v/>
      </c>
      <c r="L987" s="16"/>
      <c r="M987" s="8" t="str">
        <f t="shared" si="15"/>
        <v/>
      </c>
      <c r="N987" s="9"/>
    </row>
    <row r="988" spans="1:14" ht="15.75">
      <c r="A988" s="11"/>
      <c r="B988" s="9"/>
      <c r="C988" s="12" t="str">
        <f>IF(B988="","",IFERROR(INDEX('Cashier Roster'!$C$5:$C$64,MATCH(B988,'Cashier Roster'!$B$5:$B$64,0)),"Not on roster"))</f>
        <v/>
      </c>
      <c r="D988" s="12" t="str">
        <f>IF(B988="","",IFERROR(INDEX('Cashier Roster'!$D$5:$D$64,MATCH(B988,'Cashier Roster'!$B$5:$B$64,0)),""))</f>
        <v/>
      </c>
      <c r="E988" s="13"/>
      <c r="F988" s="14"/>
      <c r="G988" s="8" t="str">
        <f>IF(OR(B988="",E988=""),"",IF(E988="No","Missed",IF(F988="","",IF(F988&lt;=Settings!$B$7,"On time","Late"))))</f>
        <v/>
      </c>
      <c r="H988" s="15"/>
      <c r="I988" s="16"/>
      <c r="J988" s="16"/>
      <c r="K988" s="17" t="str">
        <f>IF(J988="","",ROUND(J988*Settings!$B$8,2))</f>
        <v/>
      </c>
      <c r="L988" s="16"/>
      <c r="M988" s="8" t="str">
        <f t="shared" si="15"/>
        <v/>
      </c>
      <c r="N988" s="9"/>
    </row>
    <row r="989" spans="1:14" ht="15.75">
      <c r="A989" s="11"/>
      <c r="B989" s="9"/>
      <c r="C989" s="12" t="str">
        <f>IF(B989="","",IFERROR(INDEX('Cashier Roster'!$C$5:$C$64,MATCH(B989,'Cashier Roster'!$B$5:$B$64,0)),"Not on roster"))</f>
        <v/>
      </c>
      <c r="D989" s="12" t="str">
        <f>IF(B989="","",IFERROR(INDEX('Cashier Roster'!$D$5:$D$64,MATCH(B989,'Cashier Roster'!$B$5:$B$64,0)),""))</f>
        <v/>
      </c>
      <c r="E989" s="13"/>
      <c r="F989" s="14"/>
      <c r="G989" s="8" t="str">
        <f>IF(OR(B989="",E989=""),"",IF(E989="No","Missed",IF(F989="","",IF(F989&lt;=Settings!$B$7,"On time","Late"))))</f>
        <v/>
      </c>
      <c r="H989" s="15"/>
      <c r="I989" s="16"/>
      <c r="J989" s="16"/>
      <c r="K989" s="17" t="str">
        <f>IF(J989="","",ROUND(J989*Settings!$B$8,2))</f>
        <v/>
      </c>
      <c r="L989" s="16"/>
      <c r="M989" s="8" t="str">
        <f t="shared" si="15"/>
        <v/>
      </c>
      <c r="N989" s="9"/>
    </row>
    <row r="990" spans="1:14" ht="15.75">
      <c r="A990" s="11"/>
      <c r="B990" s="9"/>
      <c r="C990" s="12" t="str">
        <f>IF(B990="","",IFERROR(INDEX('Cashier Roster'!$C$5:$C$64,MATCH(B990,'Cashier Roster'!$B$5:$B$64,0)),"Not on roster"))</f>
        <v/>
      </c>
      <c r="D990" s="12" t="str">
        <f>IF(B990="","",IFERROR(INDEX('Cashier Roster'!$D$5:$D$64,MATCH(B990,'Cashier Roster'!$B$5:$B$64,0)),""))</f>
        <v/>
      </c>
      <c r="E990" s="13"/>
      <c r="F990" s="14"/>
      <c r="G990" s="8" t="str">
        <f>IF(OR(B990="",E990=""),"",IF(E990="No","Missed",IF(F990="","",IF(F990&lt;=Settings!$B$7,"On time","Late"))))</f>
        <v/>
      </c>
      <c r="H990" s="15"/>
      <c r="I990" s="16"/>
      <c r="J990" s="16"/>
      <c r="K990" s="17" t="str">
        <f>IF(J990="","",ROUND(J990*Settings!$B$8,2))</f>
        <v/>
      </c>
      <c r="L990" s="16"/>
      <c r="M990" s="8" t="str">
        <f t="shared" si="15"/>
        <v/>
      </c>
      <c r="N990" s="9"/>
    </row>
    <row r="991" spans="1:14" ht="15.75">
      <c r="A991" s="11"/>
      <c r="B991" s="9"/>
      <c r="C991" s="12" t="str">
        <f>IF(B991="","",IFERROR(INDEX('Cashier Roster'!$C$5:$C$64,MATCH(B991,'Cashier Roster'!$B$5:$B$64,0)),"Not on roster"))</f>
        <v/>
      </c>
      <c r="D991" s="12" t="str">
        <f>IF(B991="","",IFERROR(INDEX('Cashier Roster'!$D$5:$D$64,MATCH(B991,'Cashier Roster'!$B$5:$B$64,0)),""))</f>
        <v/>
      </c>
      <c r="E991" s="13"/>
      <c r="F991" s="14"/>
      <c r="G991" s="8" t="str">
        <f>IF(OR(B991="",E991=""),"",IF(E991="No","Missed",IF(F991="","",IF(F991&lt;=Settings!$B$7,"On time","Late"))))</f>
        <v/>
      </c>
      <c r="H991" s="15"/>
      <c r="I991" s="16"/>
      <c r="J991" s="16"/>
      <c r="K991" s="17" t="str">
        <f>IF(J991="","",ROUND(J991*Settings!$B$8,2))</f>
        <v/>
      </c>
      <c r="L991" s="16"/>
      <c r="M991" s="8" t="str">
        <f t="shared" si="15"/>
        <v/>
      </c>
      <c r="N991" s="9"/>
    </row>
    <row r="992" spans="1:14" ht="15.75">
      <c r="A992" s="11"/>
      <c r="B992" s="9"/>
      <c r="C992" s="12" t="str">
        <f>IF(B992="","",IFERROR(INDEX('Cashier Roster'!$C$5:$C$64,MATCH(B992,'Cashier Roster'!$B$5:$B$64,0)),"Not on roster"))</f>
        <v/>
      </c>
      <c r="D992" s="12" t="str">
        <f>IF(B992="","",IFERROR(INDEX('Cashier Roster'!$D$5:$D$64,MATCH(B992,'Cashier Roster'!$B$5:$B$64,0)),""))</f>
        <v/>
      </c>
      <c r="E992" s="13"/>
      <c r="F992" s="14"/>
      <c r="G992" s="8" t="str">
        <f>IF(OR(B992="",E992=""),"",IF(E992="No","Missed",IF(F992="","",IF(F992&lt;=Settings!$B$7,"On time","Late"))))</f>
        <v/>
      </c>
      <c r="H992" s="15"/>
      <c r="I992" s="16"/>
      <c r="J992" s="16"/>
      <c r="K992" s="17" t="str">
        <f>IF(J992="","",ROUND(J992*Settings!$B$8,2))</f>
        <v/>
      </c>
      <c r="L992" s="16"/>
      <c r="M992" s="8" t="str">
        <f t="shared" si="15"/>
        <v/>
      </c>
      <c r="N992" s="9"/>
    </row>
    <row r="993" spans="1:14" ht="15.75">
      <c r="A993" s="11"/>
      <c r="B993" s="9"/>
      <c r="C993" s="12" t="str">
        <f>IF(B993="","",IFERROR(INDEX('Cashier Roster'!$C$5:$C$64,MATCH(B993,'Cashier Roster'!$B$5:$B$64,0)),"Not on roster"))</f>
        <v/>
      </c>
      <c r="D993" s="12" t="str">
        <f>IF(B993="","",IFERROR(INDEX('Cashier Roster'!$D$5:$D$64,MATCH(B993,'Cashier Roster'!$B$5:$B$64,0)),""))</f>
        <v/>
      </c>
      <c r="E993" s="13"/>
      <c r="F993" s="14"/>
      <c r="G993" s="8" t="str">
        <f>IF(OR(B993="",E993=""),"",IF(E993="No","Missed",IF(F993="","",IF(F993&lt;=Settings!$B$7,"On time","Late"))))</f>
        <v/>
      </c>
      <c r="H993" s="15"/>
      <c r="I993" s="16"/>
      <c r="J993" s="16"/>
      <c r="K993" s="17" t="str">
        <f>IF(J993="","",ROUND(J993*Settings!$B$8,2))</f>
        <v/>
      </c>
      <c r="L993" s="16"/>
      <c r="M993" s="8" t="str">
        <f t="shared" si="15"/>
        <v/>
      </c>
      <c r="N993" s="9"/>
    </row>
    <row r="994" spans="1:14" ht="15.75">
      <c r="A994" s="11"/>
      <c r="B994" s="9"/>
      <c r="C994" s="12" t="str">
        <f>IF(B994="","",IFERROR(INDEX('Cashier Roster'!$C$5:$C$64,MATCH(B994,'Cashier Roster'!$B$5:$B$64,0)),"Not on roster"))</f>
        <v/>
      </c>
      <c r="D994" s="12" t="str">
        <f>IF(B994="","",IFERROR(INDEX('Cashier Roster'!$D$5:$D$64,MATCH(B994,'Cashier Roster'!$B$5:$B$64,0)),""))</f>
        <v/>
      </c>
      <c r="E994" s="13"/>
      <c r="F994" s="14"/>
      <c r="G994" s="8" t="str">
        <f>IF(OR(B994="",E994=""),"",IF(E994="No","Missed",IF(F994="","",IF(F994&lt;=Settings!$B$7,"On time","Late"))))</f>
        <v/>
      </c>
      <c r="H994" s="15"/>
      <c r="I994" s="16"/>
      <c r="J994" s="16"/>
      <c r="K994" s="17" t="str">
        <f>IF(J994="","",ROUND(J994*Settings!$B$8,2))</f>
        <v/>
      </c>
      <c r="L994" s="16"/>
      <c r="M994" s="8" t="str">
        <f t="shared" si="15"/>
        <v/>
      </c>
      <c r="N994" s="9"/>
    </row>
    <row r="995" spans="1:14" ht="15.75">
      <c r="A995" s="11"/>
      <c r="B995" s="9"/>
      <c r="C995" s="12" t="str">
        <f>IF(B995="","",IFERROR(INDEX('Cashier Roster'!$C$5:$C$64,MATCH(B995,'Cashier Roster'!$B$5:$B$64,0)),"Not on roster"))</f>
        <v/>
      </c>
      <c r="D995" s="12" t="str">
        <f>IF(B995="","",IFERROR(INDEX('Cashier Roster'!$D$5:$D$64,MATCH(B995,'Cashier Roster'!$B$5:$B$64,0)),""))</f>
        <v/>
      </c>
      <c r="E995" s="13"/>
      <c r="F995" s="14"/>
      <c r="G995" s="8" t="str">
        <f>IF(OR(B995="",E995=""),"",IF(E995="No","Missed",IF(F995="","",IF(F995&lt;=Settings!$B$7,"On time","Late"))))</f>
        <v/>
      </c>
      <c r="H995" s="15"/>
      <c r="I995" s="16"/>
      <c r="J995" s="16"/>
      <c r="K995" s="17" t="str">
        <f>IF(J995="","",ROUND(J995*Settings!$B$8,2))</f>
        <v/>
      </c>
      <c r="L995" s="16"/>
      <c r="M995" s="8" t="str">
        <f t="shared" si="15"/>
        <v/>
      </c>
      <c r="N995" s="9"/>
    </row>
    <row r="996" spans="1:14" ht="15.75">
      <c r="A996" s="11"/>
      <c r="B996" s="9"/>
      <c r="C996" s="12" t="str">
        <f>IF(B996="","",IFERROR(INDEX('Cashier Roster'!$C$5:$C$64,MATCH(B996,'Cashier Roster'!$B$5:$B$64,0)),"Not on roster"))</f>
        <v/>
      </c>
      <c r="D996" s="12" t="str">
        <f>IF(B996="","",IFERROR(INDEX('Cashier Roster'!$D$5:$D$64,MATCH(B996,'Cashier Roster'!$B$5:$B$64,0)),""))</f>
        <v/>
      </c>
      <c r="E996" s="13"/>
      <c r="F996" s="14"/>
      <c r="G996" s="8" t="str">
        <f>IF(OR(B996="",E996=""),"",IF(E996="No","Missed",IF(F996="","",IF(F996&lt;=Settings!$B$7,"On time","Late"))))</f>
        <v/>
      </c>
      <c r="H996" s="15"/>
      <c r="I996" s="16"/>
      <c r="J996" s="16"/>
      <c r="K996" s="17" t="str">
        <f>IF(J996="","",ROUND(J996*Settings!$B$8,2))</f>
        <v/>
      </c>
      <c r="L996" s="16"/>
      <c r="M996" s="8" t="str">
        <f t="shared" si="15"/>
        <v/>
      </c>
      <c r="N996" s="9"/>
    </row>
    <row r="997" spans="1:14" ht="15.75">
      <c r="A997" s="11"/>
      <c r="B997" s="9"/>
      <c r="C997" s="12" t="str">
        <f>IF(B997="","",IFERROR(INDEX('Cashier Roster'!$C$5:$C$64,MATCH(B997,'Cashier Roster'!$B$5:$B$64,0)),"Not on roster"))</f>
        <v/>
      </c>
      <c r="D997" s="12" t="str">
        <f>IF(B997="","",IFERROR(INDEX('Cashier Roster'!$D$5:$D$64,MATCH(B997,'Cashier Roster'!$B$5:$B$64,0)),""))</f>
        <v/>
      </c>
      <c r="E997" s="13"/>
      <c r="F997" s="14"/>
      <c r="G997" s="8" t="str">
        <f>IF(OR(B997="",E997=""),"",IF(E997="No","Missed",IF(F997="","",IF(F997&lt;=Settings!$B$7,"On time","Late"))))</f>
        <v/>
      </c>
      <c r="H997" s="15"/>
      <c r="I997" s="16"/>
      <c r="J997" s="16"/>
      <c r="K997" s="17" t="str">
        <f>IF(J997="","",ROUND(J997*Settings!$B$8,2))</f>
        <v/>
      </c>
      <c r="L997" s="16"/>
      <c r="M997" s="8" t="str">
        <f t="shared" si="15"/>
        <v/>
      </c>
      <c r="N997" s="9"/>
    </row>
    <row r="998" spans="1:14" ht="15.75">
      <c r="A998" s="11"/>
      <c r="B998" s="9"/>
      <c r="C998" s="12" t="str">
        <f>IF(B998="","",IFERROR(INDEX('Cashier Roster'!$C$5:$C$64,MATCH(B998,'Cashier Roster'!$B$5:$B$64,0)),"Not on roster"))</f>
        <v/>
      </c>
      <c r="D998" s="12" t="str">
        <f>IF(B998="","",IFERROR(INDEX('Cashier Roster'!$D$5:$D$64,MATCH(B998,'Cashier Roster'!$B$5:$B$64,0)),""))</f>
        <v/>
      </c>
      <c r="E998" s="13"/>
      <c r="F998" s="14"/>
      <c r="G998" s="8" t="str">
        <f>IF(OR(B998="",E998=""),"",IF(E998="No","Missed",IF(F998="","",IF(F998&lt;=Settings!$B$7,"On time","Late"))))</f>
        <v/>
      </c>
      <c r="H998" s="15"/>
      <c r="I998" s="16"/>
      <c r="J998" s="16"/>
      <c r="K998" s="17" t="str">
        <f>IF(J998="","",ROUND(J998*Settings!$B$8,2))</f>
        <v/>
      </c>
      <c r="L998" s="16"/>
      <c r="M998" s="8" t="str">
        <f t="shared" si="15"/>
        <v/>
      </c>
      <c r="N998" s="9"/>
    </row>
    <row r="999" spans="1:14" ht="15.75">
      <c r="A999" s="11"/>
      <c r="B999" s="9"/>
      <c r="C999" s="12" t="str">
        <f>IF(B999="","",IFERROR(INDEX('Cashier Roster'!$C$5:$C$64,MATCH(B999,'Cashier Roster'!$B$5:$B$64,0)),"Not on roster"))</f>
        <v/>
      </c>
      <c r="D999" s="12" t="str">
        <f>IF(B999="","",IFERROR(INDEX('Cashier Roster'!$D$5:$D$64,MATCH(B999,'Cashier Roster'!$B$5:$B$64,0)),""))</f>
        <v/>
      </c>
      <c r="E999" s="13"/>
      <c r="F999" s="14"/>
      <c r="G999" s="8" t="str">
        <f>IF(OR(B999="",E999=""),"",IF(E999="No","Missed",IF(F999="","",IF(F999&lt;=Settings!$B$7,"On time","Late"))))</f>
        <v/>
      </c>
      <c r="H999" s="15"/>
      <c r="I999" s="16"/>
      <c r="J999" s="16"/>
      <c r="K999" s="17" t="str">
        <f>IF(J999="","",ROUND(J999*Settings!$B$8,2))</f>
        <v/>
      </c>
      <c r="L999" s="16"/>
      <c r="M999" s="8" t="str">
        <f t="shared" si="15"/>
        <v/>
      </c>
      <c r="N999" s="9"/>
    </row>
    <row r="1000" spans="1:14" ht="15.75">
      <c r="A1000" s="11"/>
      <c r="B1000" s="9"/>
      <c r="C1000" s="12" t="str">
        <f>IF(B1000="","",IFERROR(INDEX('Cashier Roster'!$C$5:$C$64,MATCH(B1000,'Cashier Roster'!$B$5:$B$64,0)),"Not on roster"))</f>
        <v/>
      </c>
      <c r="D1000" s="12" t="str">
        <f>IF(B1000="","",IFERROR(INDEX('Cashier Roster'!$D$5:$D$64,MATCH(B1000,'Cashier Roster'!$B$5:$B$64,0)),""))</f>
        <v/>
      </c>
      <c r="E1000" s="13"/>
      <c r="F1000" s="14"/>
      <c r="G1000" s="8" t="str">
        <f>IF(OR(B1000="",E1000=""),"",IF(E1000="No","Missed",IF(F1000="","",IF(F1000&lt;=Settings!$B$7,"On time","Late"))))</f>
        <v/>
      </c>
      <c r="H1000" s="15"/>
      <c r="I1000" s="16"/>
      <c r="J1000" s="16"/>
      <c r="K1000" s="17" t="str">
        <f>IF(J1000="","",ROUND(J1000*Settings!$B$8,2))</f>
        <v/>
      </c>
      <c r="L1000" s="16"/>
      <c r="M1000" s="8" t="str">
        <f t="shared" si="15"/>
        <v/>
      </c>
      <c r="N1000" s="9"/>
    </row>
    <row r="1001" spans="1:14" ht="15.75">
      <c r="A1001" s="11"/>
      <c r="B1001" s="9"/>
      <c r="C1001" s="12" t="str">
        <f>IF(B1001="","",IFERROR(INDEX('Cashier Roster'!$C$5:$C$64,MATCH(B1001,'Cashier Roster'!$B$5:$B$64,0)),"Not on roster"))</f>
        <v/>
      </c>
      <c r="D1001" s="12" t="str">
        <f>IF(B1001="","",IFERROR(INDEX('Cashier Roster'!$D$5:$D$64,MATCH(B1001,'Cashier Roster'!$B$5:$B$64,0)),""))</f>
        <v/>
      </c>
      <c r="E1001" s="13"/>
      <c r="F1001" s="14"/>
      <c r="G1001" s="8" t="str">
        <f>IF(OR(B1001="",E1001=""),"",IF(E1001="No","Missed",IF(F1001="","",IF(F1001&lt;=Settings!$B$7,"On time","Late"))))</f>
        <v/>
      </c>
      <c r="H1001" s="15"/>
      <c r="I1001" s="16"/>
      <c r="J1001" s="16"/>
      <c r="K1001" s="17" t="str">
        <f>IF(J1001="","",ROUND(J1001*Settings!$B$8,2))</f>
        <v/>
      </c>
      <c r="L1001" s="16"/>
      <c r="M1001" s="8" t="str">
        <f t="shared" si="15"/>
        <v/>
      </c>
      <c r="N1001" s="9"/>
    </row>
    <row r="1002" spans="1:14" ht="15.75">
      <c r="A1002" s="11"/>
      <c r="B1002" s="9"/>
      <c r="C1002" s="12" t="str">
        <f>IF(B1002="","",IFERROR(INDEX('Cashier Roster'!$C$5:$C$64,MATCH(B1002,'Cashier Roster'!$B$5:$B$64,0)),"Not on roster"))</f>
        <v/>
      </c>
      <c r="D1002" s="12" t="str">
        <f>IF(B1002="","",IFERROR(INDEX('Cashier Roster'!$D$5:$D$64,MATCH(B1002,'Cashier Roster'!$B$5:$B$64,0)),""))</f>
        <v/>
      </c>
      <c r="E1002" s="13"/>
      <c r="F1002" s="14"/>
      <c r="G1002" s="8" t="str">
        <f>IF(OR(B1002="",E1002=""),"",IF(E1002="No","Missed",IF(F1002="","",IF(F1002&lt;=Settings!$B$7,"On time","Late"))))</f>
        <v/>
      </c>
      <c r="H1002" s="15"/>
      <c r="I1002" s="16"/>
      <c r="J1002" s="16"/>
      <c r="K1002" s="17" t="str">
        <f>IF(J1002="","",ROUND(J1002*Settings!$B$8,2))</f>
        <v/>
      </c>
      <c r="L1002" s="16"/>
      <c r="M1002" s="8" t="str">
        <f t="shared" si="15"/>
        <v/>
      </c>
      <c r="N1002" s="9"/>
    </row>
    <row r="1003" spans="1:14" ht="15.75">
      <c r="A1003" s="11"/>
      <c r="B1003" s="9"/>
      <c r="C1003" s="12" t="str">
        <f>IF(B1003="","",IFERROR(INDEX('Cashier Roster'!$C$5:$C$64,MATCH(B1003,'Cashier Roster'!$B$5:$B$64,0)),"Not on roster"))</f>
        <v/>
      </c>
      <c r="D1003" s="12" t="str">
        <f>IF(B1003="","",IFERROR(INDEX('Cashier Roster'!$D$5:$D$64,MATCH(B1003,'Cashier Roster'!$B$5:$B$64,0)),""))</f>
        <v/>
      </c>
      <c r="E1003" s="13"/>
      <c r="F1003" s="14"/>
      <c r="G1003" s="8" t="str">
        <f>IF(OR(B1003="",E1003=""),"",IF(E1003="No","Missed",IF(F1003="","",IF(F1003&lt;=Settings!$B$7,"On time","Late"))))</f>
        <v/>
      </c>
      <c r="H1003" s="15"/>
      <c r="I1003" s="16"/>
      <c r="J1003" s="16"/>
      <c r="K1003" s="17" t="str">
        <f>IF(J1003="","",ROUND(J1003*Settings!$B$8,2))</f>
        <v/>
      </c>
      <c r="L1003" s="16"/>
      <c r="M1003" s="8" t="str">
        <f t="shared" si="15"/>
        <v/>
      </c>
      <c r="N1003" s="9"/>
    </row>
    <row r="1004" spans="1:14" ht="15.75">
      <c r="A1004" s="11"/>
      <c r="B1004" s="9"/>
      <c r="C1004" s="12" t="str">
        <f>IF(B1004="","",IFERROR(INDEX('Cashier Roster'!$C$5:$C$64,MATCH(B1004,'Cashier Roster'!$B$5:$B$64,0)),"Not on roster"))</f>
        <v/>
      </c>
      <c r="D1004" s="12" t="str">
        <f>IF(B1004="","",IFERROR(INDEX('Cashier Roster'!$D$5:$D$64,MATCH(B1004,'Cashier Roster'!$B$5:$B$64,0)),""))</f>
        <v/>
      </c>
      <c r="E1004" s="13"/>
      <c r="F1004" s="14"/>
      <c r="G1004" s="8" t="str">
        <f>IF(OR(B1004="",E1004=""),"",IF(E1004="No","Missed",IF(F1004="","",IF(F1004&lt;=Settings!$B$7,"On time","Late"))))</f>
        <v/>
      </c>
      <c r="H1004" s="15"/>
      <c r="I1004" s="16"/>
      <c r="J1004" s="16"/>
      <c r="K1004" s="17" t="str">
        <f>IF(J1004="","",ROUND(J1004*Settings!$B$8,2))</f>
        <v/>
      </c>
      <c r="L1004" s="16"/>
      <c r="M1004" s="8" t="str">
        <f t="shared" si="15"/>
        <v/>
      </c>
      <c r="N1004" s="9"/>
    </row>
    <row r="1005" spans="1:14" ht="15.75">
      <c r="A1005" s="11"/>
      <c r="B1005" s="9"/>
      <c r="C1005" s="12" t="str">
        <f>IF(B1005="","",IFERROR(INDEX('Cashier Roster'!$C$5:$C$64,MATCH(B1005,'Cashier Roster'!$B$5:$B$64,0)),"Not on roster"))</f>
        <v/>
      </c>
      <c r="D1005" s="12" t="str">
        <f>IF(B1005="","",IFERROR(INDEX('Cashier Roster'!$D$5:$D$64,MATCH(B1005,'Cashier Roster'!$B$5:$B$64,0)),""))</f>
        <v/>
      </c>
      <c r="E1005" s="13"/>
      <c r="F1005" s="14"/>
      <c r="G1005" s="8" t="str">
        <f>IF(OR(B1005="",E1005=""),"",IF(E1005="No","Missed",IF(F1005="","",IF(F1005&lt;=Settings!$B$7,"On time","Late"))))</f>
        <v/>
      </c>
      <c r="H1005" s="15"/>
      <c r="I1005" s="16"/>
      <c r="J1005" s="16"/>
      <c r="K1005" s="17" t="str">
        <f>IF(J1005="","",ROUND(J1005*Settings!$B$8,2))</f>
        <v/>
      </c>
      <c r="L1005" s="16"/>
      <c r="M1005" s="8" t="str">
        <f t="shared" si="15"/>
        <v/>
      </c>
      <c r="N1005" s="9"/>
    </row>
    <row r="1006" spans="1:14" ht="15.75">
      <c r="A1006" s="11"/>
      <c r="B1006" s="9"/>
      <c r="C1006" s="12" t="str">
        <f>IF(B1006="","",IFERROR(INDEX('Cashier Roster'!$C$5:$C$64,MATCH(B1006,'Cashier Roster'!$B$5:$B$64,0)),"Not on roster"))</f>
        <v/>
      </c>
      <c r="D1006" s="12" t="str">
        <f>IF(B1006="","",IFERROR(INDEX('Cashier Roster'!$D$5:$D$64,MATCH(B1006,'Cashier Roster'!$B$5:$B$64,0)),""))</f>
        <v/>
      </c>
      <c r="E1006" s="13"/>
      <c r="F1006" s="14"/>
      <c r="G1006" s="8" t="str">
        <f>IF(OR(B1006="",E1006=""),"",IF(E1006="No","Missed",IF(F1006="","",IF(F1006&lt;=Settings!$B$7,"On time","Late"))))</f>
        <v/>
      </c>
      <c r="H1006" s="15"/>
      <c r="I1006" s="16"/>
      <c r="J1006" s="16"/>
      <c r="K1006" s="17" t="str">
        <f>IF(J1006="","",ROUND(J1006*Settings!$B$8,2))</f>
        <v/>
      </c>
      <c r="L1006" s="16"/>
      <c r="M1006" s="8" t="str">
        <f t="shared" si="15"/>
        <v/>
      </c>
      <c r="N1006" s="9"/>
    </row>
    <row r="1007" spans="1:14" ht="15.75">
      <c r="A1007" s="11"/>
      <c r="B1007" s="9"/>
      <c r="C1007" s="12" t="str">
        <f>IF(B1007="","",IFERROR(INDEX('Cashier Roster'!$C$5:$C$64,MATCH(B1007,'Cashier Roster'!$B$5:$B$64,0)),"Not on roster"))</f>
        <v/>
      </c>
      <c r="D1007" s="12" t="str">
        <f>IF(B1007="","",IFERROR(INDEX('Cashier Roster'!$D$5:$D$64,MATCH(B1007,'Cashier Roster'!$B$5:$B$64,0)),""))</f>
        <v/>
      </c>
      <c r="E1007" s="13"/>
      <c r="F1007" s="14"/>
      <c r="G1007" s="8" t="str">
        <f>IF(OR(B1007="",E1007=""),"",IF(E1007="No","Missed",IF(F1007="","",IF(F1007&lt;=Settings!$B$7,"On time","Late"))))</f>
        <v/>
      </c>
      <c r="H1007" s="15"/>
      <c r="I1007" s="16"/>
      <c r="J1007" s="16"/>
      <c r="K1007" s="17" t="str">
        <f>IF(J1007="","",ROUND(J1007*Settings!$B$8,2))</f>
        <v/>
      </c>
      <c r="L1007" s="16"/>
      <c r="M1007" s="8" t="str">
        <f t="shared" si="15"/>
        <v/>
      </c>
      <c r="N1007" s="9"/>
    </row>
    <row r="1008" spans="1:14" ht="15.75">
      <c r="A1008" s="11"/>
      <c r="B1008" s="9"/>
      <c r="C1008" s="12" t="str">
        <f>IF(B1008="","",IFERROR(INDEX('Cashier Roster'!$C$5:$C$64,MATCH(B1008,'Cashier Roster'!$B$5:$B$64,0)),"Not on roster"))</f>
        <v/>
      </c>
      <c r="D1008" s="12" t="str">
        <f>IF(B1008="","",IFERROR(INDEX('Cashier Roster'!$D$5:$D$64,MATCH(B1008,'Cashier Roster'!$B$5:$B$64,0)),""))</f>
        <v/>
      </c>
      <c r="E1008" s="13"/>
      <c r="F1008" s="14"/>
      <c r="G1008" s="8" t="str">
        <f>IF(OR(B1008="",E1008=""),"",IF(E1008="No","Missed",IF(F1008="","",IF(F1008&lt;=Settings!$B$7,"On time","Late"))))</f>
        <v/>
      </c>
      <c r="H1008" s="15"/>
      <c r="I1008" s="16"/>
      <c r="J1008" s="16"/>
      <c r="K1008" s="17" t="str">
        <f>IF(J1008="","",ROUND(J1008*Settings!$B$8,2))</f>
        <v/>
      </c>
      <c r="L1008" s="16"/>
      <c r="M1008" s="8" t="str">
        <f t="shared" si="15"/>
        <v/>
      </c>
      <c r="N1008" s="9"/>
    </row>
    <row r="1009" spans="1:14" ht="15.75">
      <c r="A1009" s="11"/>
      <c r="B1009" s="9"/>
      <c r="C1009" s="12" t="str">
        <f>IF(B1009="","",IFERROR(INDEX('Cashier Roster'!$C$5:$C$64,MATCH(B1009,'Cashier Roster'!$B$5:$B$64,0)),"Not on roster"))</f>
        <v/>
      </c>
      <c r="D1009" s="12" t="str">
        <f>IF(B1009="","",IFERROR(INDEX('Cashier Roster'!$D$5:$D$64,MATCH(B1009,'Cashier Roster'!$B$5:$B$64,0)),""))</f>
        <v/>
      </c>
      <c r="E1009" s="13"/>
      <c r="F1009" s="14"/>
      <c r="G1009" s="8" t="str">
        <f>IF(OR(B1009="",E1009=""),"",IF(E1009="No","Missed",IF(F1009="","",IF(F1009&lt;=Settings!$B$7,"On time","Late"))))</f>
        <v/>
      </c>
      <c r="H1009" s="15"/>
      <c r="I1009" s="16"/>
      <c r="J1009" s="16"/>
      <c r="K1009" s="17" t="str">
        <f>IF(J1009="","",ROUND(J1009*Settings!$B$8,2))</f>
        <v/>
      </c>
      <c r="L1009" s="16"/>
      <c r="M1009" s="8" t="str">
        <f t="shared" si="15"/>
        <v/>
      </c>
      <c r="N1009" s="9"/>
    </row>
    <row r="1010" spans="1:14" ht="15.75">
      <c r="A1010" s="11"/>
      <c r="B1010" s="9"/>
      <c r="C1010" s="12" t="str">
        <f>IF(B1010="","",IFERROR(INDEX('Cashier Roster'!$C$5:$C$64,MATCH(B1010,'Cashier Roster'!$B$5:$B$64,0)),"Not on roster"))</f>
        <v/>
      </c>
      <c r="D1010" s="12" t="str">
        <f>IF(B1010="","",IFERROR(INDEX('Cashier Roster'!$D$5:$D$64,MATCH(B1010,'Cashier Roster'!$B$5:$B$64,0)),""))</f>
        <v/>
      </c>
      <c r="E1010" s="13"/>
      <c r="F1010" s="14"/>
      <c r="G1010" s="8" t="str">
        <f>IF(OR(B1010="",E1010=""),"",IF(E1010="No","Missed",IF(F1010="","",IF(F1010&lt;=Settings!$B$7,"On time","Late"))))</f>
        <v/>
      </c>
      <c r="H1010" s="15"/>
      <c r="I1010" s="16"/>
      <c r="J1010" s="16"/>
      <c r="K1010" s="17" t="str">
        <f>IF(J1010="","",ROUND(J1010*Settings!$B$8,2))</f>
        <v/>
      </c>
      <c r="L1010" s="16"/>
      <c r="M1010" s="8" t="str">
        <f t="shared" si="15"/>
        <v/>
      </c>
      <c r="N1010" s="9"/>
    </row>
    <row r="1011" spans="1:14" ht="15.75">
      <c r="A1011" s="11"/>
      <c r="B1011" s="9"/>
      <c r="C1011" s="12" t="str">
        <f>IF(B1011="","",IFERROR(INDEX('Cashier Roster'!$C$5:$C$64,MATCH(B1011,'Cashier Roster'!$B$5:$B$64,0)),"Not on roster"))</f>
        <v/>
      </c>
      <c r="D1011" s="12" t="str">
        <f>IF(B1011="","",IFERROR(INDEX('Cashier Roster'!$D$5:$D$64,MATCH(B1011,'Cashier Roster'!$B$5:$B$64,0)),""))</f>
        <v/>
      </c>
      <c r="E1011" s="13"/>
      <c r="F1011" s="14"/>
      <c r="G1011" s="8" t="str">
        <f>IF(OR(B1011="",E1011=""),"",IF(E1011="No","Missed",IF(F1011="","",IF(F1011&lt;=Settings!$B$7,"On time","Late"))))</f>
        <v/>
      </c>
      <c r="H1011" s="15"/>
      <c r="I1011" s="16"/>
      <c r="J1011" s="16"/>
      <c r="K1011" s="17" t="str">
        <f>IF(J1011="","",ROUND(J1011*Settings!$B$8,2))</f>
        <v/>
      </c>
      <c r="L1011" s="16"/>
      <c r="M1011" s="8" t="str">
        <f t="shared" si="15"/>
        <v/>
      </c>
      <c r="N1011" s="9"/>
    </row>
    <row r="1012" spans="1:14" ht="15.75">
      <c r="A1012" s="11"/>
      <c r="B1012" s="9"/>
      <c r="C1012" s="12" t="str">
        <f>IF(B1012="","",IFERROR(INDEX('Cashier Roster'!$C$5:$C$64,MATCH(B1012,'Cashier Roster'!$B$5:$B$64,0)),"Not on roster"))</f>
        <v/>
      </c>
      <c r="D1012" s="12" t="str">
        <f>IF(B1012="","",IFERROR(INDEX('Cashier Roster'!$D$5:$D$64,MATCH(B1012,'Cashier Roster'!$B$5:$B$64,0)),""))</f>
        <v/>
      </c>
      <c r="E1012" s="13"/>
      <c r="F1012" s="14"/>
      <c r="G1012" s="8" t="str">
        <f>IF(OR(B1012="",E1012=""),"",IF(E1012="No","Missed",IF(F1012="","",IF(F1012&lt;=Settings!$B$7,"On time","Late"))))</f>
        <v/>
      </c>
      <c r="H1012" s="15"/>
      <c r="I1012" s="16"/>
      <c r="J1012" s="16"/>
      <c r="K1012" s="17" t="str">
        <f>IF(J1012="","",ROUND(J1012*Settings!$B$8,2))</f>
        <v/>
      </c>
      <c r="L1012" s="16"/>
      <c r="M1012" s="8" t="str">
        <f t="shared" si="15"/>
        <v/>
      </c>
      <c r="N1012" s="9"/>
    </row>
    <row r="1013" spans="1:14" ht="15.75">
      <c r="A1013" s="11"/>
      <c r="B1013" s="9"/>
      <c r="C1013" s="12" t="str">
        <f>IF(B1013="","",IFERROR(INDEX('Cashier Roster'!$C$5:$C$64,MATCH(B1013,'Cashier Roster'!$B$5:$B$64,0)),"Not on roster"))</f>
        <v/>
      </c>
      <c r="D1013" s="12" t="str">
        <f>IF(B1013="","",IFERROR(INDEX('Cashier Roster'!$D$5:$D$64,MATCH(B1013,'Cashier Roster'!$B$5:$B$64,0)),""))</f>
        <v/>
      </c>
      <c r="E1013" s="13"/>
      <c r="F1013" s="14"/>
      <c r="G1013" s="8" t="str">
        <f>IF(OR(B1013="",E1013=""),"",IF(E1013="No","Missed",IF(F1013="","",IF(F1013&lt;=Settings!$B$7,"On time","Late"))))</f>
        <v/>
      </c>
      <c r="H1013" s="15"/>
      <c r="I1013" s="16"/>
      <c r="J1013" s="16"/>
      <c r="K1013" s="17" t="str">
        <f>IF(J1013="","",ROUND(J1013*Settings!$B$8,2))</f>
        <v/>
      </c>
      <c r="L1013" s="16"/>
      <c r="M1013" s="8" t="str">
        <f t="shared" si="15"/>
        <v/>
      </c>
      <c r="N1013" s="9"/>
    </row>
    <row r="1014" spans="1:14" ht="15.75">
      <c r="A1014" s="11"/>
      <c r="B1014" s="9"/>
      <c r="C1014" s="12" t="str">
        <f>IF(B1014="","",IFERROR(INDEX('Cashier Roster'!$C$5:$C$64,MATCH(B1014,'Cashier Roster'!$B$5:$B$64,0)),"Not on roster"))</f>
        <v/>
      </c>
      <c r="D1014" s="12" t="str">
        <f>IF(B1014="","",IFERROR(INDEX('Cashier Roster'!$D$5:$D$64,MATCH(B1014,'Cashier Roster'!$B$5:$B$64,0)),""))</f>
        <v/>
      </c>
      <c r="E1014" s="13"/>
      <c r="F1014" s="14"/>
      <c r="G1014" s="8" t="str">
        <f>IF(OR(B1014="",E1014=""),"",IF(E1014="No","Missed",IF(F1014="","",IF(F1014&lt;=Settings!$B$7,"On time","Late"))))</f>
        <v/>
      </c>
      <c r="H1014" s="15"/>
      <c r="I1014" s="16"/>
      <c r="J1014" s="16"/>
      <c r="K1014" s="17" t="str">
        <f>IF(J1014="","",ROUND(J1014*Settings!$B$8,2))</f>
        <v/>
      </c>
      <c r="L1014" s="16"/>
      <c r="M1014" s="8" t="str">
        <f t="shared" si="15"/>
        <v/>
      </c>
      <c r="N1014" s="9"/>
    </row>
    <row r="1015" spans="1:14" ht="15.75">
      <c r="A1015" s="11"/>
      <c r="B1015" s="9"/>
      <c r="C1015" s="12" t="str">
        <f>IF(B1015="","",IFERROR(INDEX('Cashier Roster'!$C$5:$C$64,MATCH(B1015,'Cashier Roster'!$B$5:$B$64,0)),"Not on roster"))</f>
        <v/>
      </c>
      <c r="D1015" s="12" t="str">
        <f>IF(B1015="","",IFERROR(INDEX('Cashier Roster'!$D$5:$D$64,MATCH(B1015,'Cashier Roster'!$B$5:$B$64,0)),""))</f>
        <v/>
      </c>
      <c r="E1015" s="13"/>
      <c r="F1015" s="14"/>
      <c r="G1015" s="8" t="str">
        <f>IF(OR(B1015="",E1015=""),"",IF(E1015="No","Missed",IF(F1015="","",IF(F1015&lt;=Settings!$B$7,"On time","Late"))))</f>
        <v/>
      </c>
      <c r="H1015" s="15"/>
      <c r="I1015" s="16"/>
      <c r="J1015" s="16"/>
      <c r="K1015" s="17" t="str">
        <f>IF(J1015="","",ROUND(J1015*Settings!$B$8,2))</f>
        <v/>
      </c>
      <c r="L1015" s="16"/>
      <c r="M1015" s="8" t="str">
        <f t="shared" si="15"/>
        <v/>
      </c>
      <c r="N1015" s="9"/>
    </row>
    <row r="1016" spans="1:14" ht="15.75">
      <c r="A1016" s="11"/>
      <c r="B1016" s="9"/>
      <c r="C1016" s="12" t="str">
        <f>IF(B1016="","",IFERROR(INDEX('Cashier Roster'!$C$5:$C$64,MATCH(B1016,'Cashier Roster'!$B$5:$B$64,0)),"Not on roster"))</f>
        <v/>
      </c>
      <c r="D1016" s="12" t="str">
        <f>IF(B1016="","",IFERROR(INDEX('Cashier Roster'!$D$5:$D$64,MATCH(B1016,'Cashier Roster'!$B$5:$B$64,0)),""))</f>
        <v/>
      </c>
      <c r="E1016" s="13"/>
      <c r="F1016" s="14"/>
      <c r="G1016" s="8" t="str">
        <f>IF(OR(B1016="",E1016=""),"",IF(E1016="No","Missed",IF(F1016="","",IF(F1016&lt;=Settings!$B$7,"On time","Late"))))</f>
        <v/>
      </c>
      <c r="H1016" s="15"/>
      <c r="I1016" s="16"/>
      <c r="J1016" s="16"/>
      <c r="K1016" s="17" t="str">
        <f>IF(J1016="","",ROUND(J1016*Settings!$B$8,2))</f>
        <v/>
      </c>
      <c r="L1016" s="16"/>
      <c r="M1016" s="8" t="str">
        <f t="shared" si="15"/>
        <v/>
      </c>
      <c r="N1016" s="9"/>
    </row>
    <row r="1017" spans="1:14" ht="15.75">
      <c r="A1017" s="11"/>
      <c r="B1017" s="9"/>
      <c r="C1017" s="12" t="str">
        <f>IF(B1017="","",IFERROR(INDEX('Cashier Roster'!$C$5:$C$64,MATCH(B1017,'Cashier Roster'!$B$5:$B$64,0)),"Not on roster"))</f>
        <v/>
      </c>
      <c r="D1017" s="12" t="str">
        <f>IF(B1017="","",IFERROR(INDEX('Cashier Roster'!$D$5:$D$64,MATCH(B1017,'Cashier Roster'!$B$5:$B$64,0)),""))</f>
        <v/>
      </c>
      <c r="E1017" s="13"/>
      <c r="F1017" s="14"/>
      <c r="G1017" s="8" t="str">
        <f>IF(OR(B1017="",E1017=""),"",IF(E1017="No","Missed",IF(F1017="","",IF(F1017&lt;=Settings!$B$7,"On time","Late"))))</f>
        <v/>
      </c>
      <c r="H1017" s="15"/>
      <c r="I1017" s="16"/>
      <c r="J1017" s="16"/>
      <c r="K1017" s="17" t="str">
        <f>IF(J1017="","",ROUND(J1017*Settings!$B$8,2))</f>
        <v/>
      </c>
      <c r="L1017" s="16"/>
      <c r="M1017" s="8" t="str">
        <f t="shared" si="15"/>
        <v/>
      </c>
      <c r="N1017" s="9"/>
    </row>
    <row r="1018" spans="1:14" ht="15.75">
      <c r="A1018" s="11"/>
      <c r="B1018" s="9"/>
      <c r="C1018" s="12" t="str">
        <f>IF(B1018="","",IFERROR(INDEX('Cashier Roster'!$C$5:$C$64,MATCH(B1018,'Cashier Roster'!$B$5:$B$64,0)),"Not on roster"))</f>
        <v/>
      </c>
      <c r="D1018" s="12" t="str">
        <f>IF(B1018="","",IFERROR(INDEX('Cashier Roster'!$D$5:$D$64,MATCH(B1018,'Cashier Roster'!$B$5:$B$64,0)),""))</f>
        <v/>
      </c>
      <c r="E1018" s="13"/>
      <c r="F1018" s="14"/>
      <c r="G1018" s="8" t="str">
        <f>IF(OR(B1018="",E1018=""),"",IF(E1018="No","Missed",IF(F1018="","",IF(F1018&lt;=Settings!$B$7,"On time","Late"))))</f>
        <v/>
      </c>
      <c r="H1018" s="15"/>
      <c r="I1018" s="16"/>
      <c r="J1018" s="16"/>
      <c r="K1018" s="17" t="str">
        <f>IF(J1018="","",ROUND(J1018*Settings!$B$8,2))</f>
        <v/>
      </c>
      <c r="L1018" s="16"/>
      <c r="M1018" s="8" t="str">
        <f t="shared" si="15"/>
        <v/>
      </c>
      <c r="N1018" s="9"/>
    </row>
    <row r="1019" spans="1:14" ht="15.75">
      <c r="A1019" s="11"/>
      <c r="B1019" s="9"/>
      <c r="C1019" s="12" t="str">
        <f>IF(B1019="","",IFERROR(INDEX('Cashier Roster'!$C$5:$C$64,MATCH(B1019,'Cashier Roster'!$B$5:$B$64,0)),"Not on roster"))</f>
        <v/>
      </c>
      <c r="D1019" s="12" t="str">
        <f>IF(B1019="","",IFERROR(INDEX('Cashier Roster'!$D$5:$D$64,MATCH(B1019,'Cashier Roster'!$B$5:$B$64,0)),""))</f>
        <v/>
      </c>
      <c r="E1019" s="13"/>
      <c r="F1019" s="14"/>
      <c r="G1019" s="8" t="str">
        <f>IF(OR(B1019="",E1019=""),"",IF(E1019="No","Missed",IF(F1019="","",IF(F1019&lt;=Settings!$B$7,"On time","Late"))))</f>
        <v/>
      </c>
      <c r="H1019" s="15"/>
      <c r="I1019" s="16"/>
      <c r="J1019" s="16"/>
      <c r="K1019" s="17" t="str">
        <f>IF(J1019="","",ROUND(J1019*Settings!$B$8,2))</f>
        <v/>
      </c>
      <c r="L1019" s="16"/>
      <c r="M1019" s="8" t="str">
        <f t="shared" si="15"/>
        <v/>
      </c>
      <c r="N1019" s="9"/>
    </row>
    <row r="1020" spans="1:14" ht="15.75">
      <c r="A1020" s="11"/>
      <c r="B1020" s="9"/>
      <c r="C1020" s="12" t="str">
        <f>IF(B1020="","",IFERROR(INDEX('Cashier Roster'!$C$5:$C$64,MATCH(B1020,'Cashier Roster'!$B$5:$B$64,0)),"Not on roster"))</f>
        <v/>
      </c>
      <c r="D1020" s="12" t="str">
        <f>IF(B1020="","",IFERROR(INDEX('Cashier Roster'!$D$5:$D$64,MATCH(B1020,'Cashier Roster'!$B$5:$B$64,0)),""))</f>
        <v/>
      </c>
      <c r="E1020" s="13"/>
      <c r="F1020" s="14"/>
      <c r="G1020" s="8" t="str">
        <f>IF(OR(B1020="",E1020=""),"",IF(E1020="No","Missed",IF(F1020="","",IF(F1020&lt;=Settings!$B$7,"On time","Late"))))</f>
        <v/>
      </c>
      <c r="H1020" s="15"/>
      <c r="I1020" s="16"/>
      <c r="J1020" s="16"/>
      <c r="K1020" s="17" t="str">
        <f>IF(J1020="","",ROUND(J1020*Settings!$B$8,2))</f>
        <v/>
      </c>
      <c r="L1020" s="16"/>
      <c r="M1020" s="8" t="str">
        <f t="shared" si="15"/>
        <v/>
      </c>
      <c r="N1020" s="9"/>
    </row>
    <row r="1021" spans="1:14" ht="15.75">
      <c r="A1021" s="11"/>
      <c r="B1021" s="9"/>
      <c r="C1021" s="12" t="str">
        <f>IF(B1021="","",IFERROR(INDEX('Cashier Roster'!$C$5:$C$64,MATCH(B1021,'Cashier Roster'!$B$5:$B$64,0)),"Not on roster"))</f>
        <v/>
      </c>
      <c r="D1021" s="12" t="str">
        <f>IF(B1021="","",IFERROR(INDEX('Cashier Roster'!$D$5:$D$64,MATCH(B1021,'Cashier Roster'!$B$5:$B$64,0)),""))</f>
        <v/>
      </c>
      <c r="E1021" s="13"/>
      <c r="F1021" s="14"/>
      <c r="G1021" s="8" t="str">
        <f>IF(OR(B1021="",E1021=""),"",IF(E1021="No","Missed",IF(F1021="","",IF(F1021&lt;=Settings!$B$7,"On time","Late"))))</f>
        <v/>
      </c>
      <c r="H1021" s="15"/>
      <c r="I1021" s="16"/>
      <c r="J1021" s="16"/>
      <c r="K1021" s="17" t="str">
        <f>IF(J1021="","",ROUND(J1021*Settings!$B$8,2))</f>
        <v/>
      </c>
      <c r="L1021" s="16"/>
      <c r="M1021" s="8" t="str">
        <f t="shared" si="15"/>
        <v/>
      </c>
      <c r="N1021" s="9"/>
    </row>
    <row r="1022" spans="1:14" ht="15.75">
      <c r="A1022" s="11"/>
      <c r="B1022" s="9"/>
      <c r="C1022" s="12" t="str">
        <f>IF(B1022="","",IFERROR(INDEX('Cashier Roster'!$C$5:$C$64,MATCH(B1022,'Cashier Roster'!$B$5:$B$64,0)),"Not on roster"))</f>
        <v/>
      </c>
      <c r="D1022" s="12" t="str">
        <f>IF(B1022="","",IFERROR(INDEX('Cashier Roster'!$D$5:$D$64,MATCH(B1022,'Cashier Roster'!$B$5:$B$64,0)),""))</f>
        <v/>
      </c>
      <c r="E1022" s="13"/>
      <c r="F1022" s="14"/>
      <c r="G1022" s="8" t="str">
        <f>IF(OR(B1022="",E1022=""),"",IF(E1022="No","Missed",IF(F1022="","",IF(F1022&lt;=Settings!$B$7,"On time","Late"))))</f>
        <v/>
      </c>
      <c r="H1022" s="15"/>
      <c r="I1022" s="16"/>
      <c r="J1022" s="16"/>
      <c r="K1022" s="17" t="str">
        <f>IF(J1022="","",ROUND(J1022*Settings!$B$8,2))</f>
        <v/>
      </c>
      <c r="L1022" s="16"/>
      <c r="M1022" s="8" t="str">
        <f t="shared" si="15"/>
        <v/>
      </c>
      <c r="N1022" s="9"/>
    </row>
    <row r="1023" spans="1:14" ht="15.75">
      <c r="A1023" s="11"/>
      <c r="B1023" s="9"/>
      <c r="C1023" s="12" t="str">
        <f>IF(B1023="","",IFERROR(INDEX('Cashier Roster'!$C$5:$C$64,MATCH(B1023,'Cashier Roster'!$B$5:$B$64,0)),"Not on roster"))</f>
        <v/>
      </c>
      <c r="D1023" s="12" t="str">
        <f>IF(B1023="","",IFERROR(INDEX('Cashier Roster'!$D$5:$D$64,MATCH(B1023,'Cashier Roster'!$B$5:$B$64,0)),""))</f>
        <v/>
      </c>
      <c r="E1023" s="13"/>
      <c r="F1023" s="14"/>
      <c r="G1023" s="8" t="str">
        <f>IF(OR(B1023="",E1023=""),"",IF(E1023="No","Missed",IF(F1023="","",IF(F1023&lt;=Settings!$B$7,"On time","Late"))))</f>
        <v/>
      </c>
      <c r="H1023" s="15"/>
      <c r="I1023" s="16"/>
      <c r="J1023" s="16"/>
      <c r="K1023" s="17" t="str">
        <f>IF(J1023="","",ROUND(J1023*Settings!$B$8,2))</f>
        <v/>
      </c>
      <c r="L1023" s="16"/>
      <c r="M1023" s="8" t="str">
        <f t="shared" si="15"/>
        <v/>
      </c>
      <c r="N1023" s="9"/>
    </row>
    <row r="1024" spans="1:14" ht="15.75">
      <c r="A1024" s="11"/>
      <c r="B1024" s="9"/>
      <c r="C1024" s="12" t="str">
        <f>IF(B1024="","",IFERROR(INDEX('Cashier Roster'!$C$5:$C$64,MATCH(B1024,'Cashier Roster'!$B$5:$B$64,0)),"Not on roster"))</f>
        <v/>
      </c>
      <c r="D1024" s="12" t="str">
        <f>IF(B1024="","",IFERROR(INDEX('Cashier Roster'!$D$5:$D$64,MATCH(B1024,'Cashier Roster'!$B$5:$B$64,0)),""))</f>
        <v/>
      </c>
      <c r="E1024" s="13"/>
      <c r="F1024" s="14"/>
      <c r="G1024" s="8" t="str">
        <f>IF(OR(B1024="",E1024=""),"",IF(E1024="No","Missed",IF(F1024="","",IF(F1024&lt;=Settings!$B$7,"On time","Late"))))</f>
        <v/>
      </c>
      <c r="H1024" s="15"/>
      <c r="I1024" s="16"/>
      <c r="J1024" s="16"/>
      <c r="K1024" s="17" t="str">
        <f>IF(J1024="","",ROUND(J1024*Settings!$B$8,2))</f>
        <v/>
      </c>
      <c r="L1024" s="16"/>
      <c r="M1024" s="8" t="str">
        <f t="shared" si="15"/>
        <v/>
      </c>
      <c r="N1024" s="9"/>
    </row>
    <row r="1025" spans="1:14" ht="15.75">
      <c r="A1025" s="11"/>
      <c r="B1025" s="9"/>
      <c r="C1025" s="12" t="str">
        <f>IF(B1025="","",IFERROR(INDEX('Cashier Roster'!$C$5:$C$64,MATCH(B1025,'Cashier Roster'!$B$5:$B$64,0)),"Not on roster"))</f>
        <v/>
      </c>
      <c r="D1025" s="12" t="str">
        <f>IF(B1025="","",IFERROR(INDEX('Cashier Roster'!$D$5:$D$64,MATCH(B1025,'Cashier Roster'!$B$5:$B$64,0)),""))</f>
        <v/>
      </c>
      <c r="E1025" s="13"/>
      <c r="F1025" s="14"/>
      <c r="G1025" s="8" t="str">
        <f>IF(OR(B1025="",E1025=""),"",IF(E1025="No","Missed",IF(F1025="","",IF(F1025&lt;=Settings!$B$7,"On time","Late"))))</f>
        <v/>
      </c>
      <c r="H1025" s="15"/>
      <c r="I1025" s="16"/>
      <c r="J1025" s="16"/>
      <c r="K1025" s="17" t="str">
        <f>IF(J1025="","",ROUND(J1025*Settings!$B$8,2))</f>
        <v/>
      </c>
      <c r="L1025" s="16"/>
      <c r="M1025" s="8" t="str">
        <f t="shared" si="15"/>
        <v/>
      </c>
      <c r="N1025" s="9"/>
    </row>
    <row r="1026" spans="1:14" ht="15.75">
      <c r="A1026" s="11"/>
      <c r="B1026" s="9"/>
      <c r="C1026" s="12" t="str">
        <f>IF(B1026="","",IFERROR(INDEX('Cashier Roster'!$C$5:$C$64,MATCH(B1026,'Cashier Roster'!$B$5:$B$64,0)),"Not on roster"))</f>
        <v/>
      </c>
      <c r="D1026" s="12" t="str">
        <f>IF(B1026="","",IFERROR(INDEX('Cashier Roster'!$D$5:$D$64,MATCH(B1026,'Cashier Roster'!$B$5:$B$64,0)),""))</f>
        <v/>
      </c>
      <c r="E1026" s="13"/>
      <c r="F1026" s="14"/>
      <c r="G1026" s="8" t="str">
        <f>IF(OR(B1026="",E1026=""),"",IF(E1026="No","Missed",IF(F1026="","",IF(F1026&lt;=Settings!$B$7,"On time","Late"))))</f>
        <v/>
      </c>
      <c r="H1026" s="15"/>
      <c r="I1026" s="16"/>
      <c r="J1026" s="16"/>
      <c r="K1026" s="17" t="str">
        <f>IF(J1026="","",ROUND(J1026*Settings!$B$8,2))</f>
        <v/>
      </c>
      <c r="L1026" s="16"/>
      <c r="M1026" s="8" t="str">
        <f t="shared" si="15"/>
        <v/>
      </c>
      <c r="N1026" s="9"/>
    </row>
    <row r="1027" spans="1:14" ht="15.75">
      <c r="A1027" s="11"/>
      <c r="B1027" s="9"/>
      <c r="C1027" s="12" t="str">
        <f>IF(B1027="","",IFERROR(INDEX('Cashier Roster'!$C$5:$C$64,MATCH(B1027,'Cashier Roster'!$B$5:$B$64,0)),"Not on roster"))</f>
        <v/>
      </c>
      <c r="D1027" s="12" t="str">
        <f>IF(B1027="","",IFERROR(INDEX('Cashier Roster'!$D$5:$D$64,MATCH(B1027,'Cashier Roster'!$B$5:$B$64,0)),""))</f>
        <v/>
      </c>
      <c r="E1027" s="13"/>
      <c r="F1027" s="14"/>
      <c r="G1027" s="8" t="str">
        <f>IF(OR(B1027="",E1027=""),"",IF(E1027="No","Missed",IF(F1027="","",IF(F1027&lt;=Settings!$B$7,"On time","Late"))))</f>
        <v/>
      </c>
      <c r="H1027" s="15"/>
      <c r="I1027" s="16"/>
      <c r="J1027" s="16"/>
      <c r="K1027" s="17" t="str">
        <f>IF(J1027="","",ROUND(J1027*Settings!$B$8,2))</f>
        <v/>
      </c>
      <c r="L1027" s="16"/>
      <c r="M1027" s="8" t="str">
        <f t="shared" si="15"/>
        <v/>
      </c>
      <c r="N1027" s="9"/>
    </row>
    <row r="1028" spans="1:14" ht="15.75">
      <c r="A1028" s="11"/>
      <c r="B1028" s="9"/>
      <c r="C1028" s="12" t="str">
        <f>IF(B1028="","",IFERROR(INDEX('Cashier Roster'!$C$5:$C$64,MATCH(B1028,'Cashier Roster'!$B$5:$B$64,0)),"Not on roster"))</f>
        <v/>
      </c>
      <c r="D1028" s="12" t="str">
        <f>IF(B1028="","",IFERROR(INDEX('Cashier Roster'!$D$5:$D$64,MATCH(B1028,'Cashier Roster'!$B$5:$B$64,0)),""))</f>
        <v/>
      </c>
      <c r="E1028" s="13"/>
      <c r="F1028" s="14"/>
      <c r="G1028" s="8" t="str">
        <f>IF(OR(B1028="",E1028=""),"",IF(E1028="No","Missed",IF(F1028="","",IF(F1028&lt;=Settings!$B$7,"On time","Late"))))</f>
        <v/>
      </c>
      <c r="H1028" s="15"/>
      <c r="I1028" s="16"/>
      <c r="J1028" s="16"/>
      <c r="K1028" s="17" t="str">
        <f>IF(J1028="","",ROUND(J1028*Settings!$B$8,2))</f>
        <v/>
      </c>
      <c r="L1028" s="16"/>
      <c r="M1028" s="8" t="str">
        <f t="shared" si="15"/>
        <v/>
      </c>
      <c r="N1028" s="9"/>
    </row>
    <row r="1029" spans="1:14" ht="15.75">
      <c r="A1029" s="11"/>
      <c r="B1029" s="9"/>
      <c r="C1029" s="12" t="str">
        <f>IF(B1029="","",IFERROR(INDEX('Cashier Roster'!$C$5:$C$64,MATCH(B1029,'Cashier Roster'!$B$5:$B$64,0)),"Not on roster"))</f>
        <v/>
      </c>
      <c r="D1029" s="12" t="str">
        <f>IF(B1029="","",IFERROR(INDEX('Cashier Roster'!$D$5:$D$64,MATCH(B1029,'Cashier Roster'!$B$5:$B$64,0)),""))</f>
        <v/>
      </c>
      <c r="E1029" s="13"/>
      <c r="F1029" s="14"/>
      <c r="G1029" s="8" t="str">
        <f>IF(OR(B1029="",E1029=""),"",IF(E1029="No","Missed",IF(F1029="","",IF(F1029&lt;=Settings!$B$7,"On time","Late"))))</f>
        <v/>
      </c>
      <c r="H1029" s="15"/>
      <c r="I1029" s="16"/>
      <c r="J1029" s="16"/>
      <c r="K1029" s="17" t="str">
        <f>IF(J1029="","",ROUND(J1029*Settings!$B$8,2))</f>
        <v/>
      </c>
      <c r="L1029" s="16"/>
      <c r="M1029" s="8" t="str">
        <f t="shared" ref="M1029:M1092" si="16">IF(L1029="","",IF(L1029&lt;=0,"Yes","No"))</f>
        <v/>
      </c>
      <c r="N1029" s="9"/>
    </row>
    <row r="1030" spans="1:14" ht="15.75">
      <c r="A1030" s="11"/>
      <c r="B1030" s="9"/>
      <c r="C1030" s="12" t="str">
        <f>IF(B1030="","",IFERROR(INDEX('Cashier Roster'!$C$5:$C$64,MATCH(B1030,'Cashier Roster'!$B$5:$B$64,0)),"Not on roster"))</f>
        <v/>
      </c>
      <c r="D1030" s="12" t="str">
        <f>IF(B1030="","",IFERROR(INDEX('Cashier Roster'!$D$5:$D$64,MATCH(B1030,'Cashier Roster'!$B$5:$B$64,0)),""))</f>
        <v/>
      </c>
      <c r="E1030" s="13"/>
      <c r="F1030" s="14"/>
      <c r="G1030" s="8" t="str">
        <f>IF(OR(B1030="",E1030=""),"",IF(E1030="No","Missed",IF(F1030="","",IF(F1030&lt;=Settings!$B$7,"On time","Late"))))</f>
        <v/>
      </c>
      <c r="H1030" s="15"/>
      <c r="I1030" s="16"/>
      <c r="J1030" s="16"/>
      <c r="K1030" s="17" t="str">
        <f>IF(J1030="","",ROUND(J1030*Settings!$B$8,2))</f>
        <v/>
      </c>
      <c r="L1030" s="16"/>
      <c r="M1030" s="8" t="str">
        <f t="shared" si="16"/>
        <v/>
      </c>
      <c r="N1030" s="9"/>
    </row>
    <row r="1031" spans="1:14" ht="15.75">
      <c r="A1031" s="11"/>
      <c r="B1031" s="9"/>
      <c r="C1031" s="12" t="str">
        <f>IF(B1031="","",IFERROR(INDEX('Cashier Roster'!$C$5:$C$64,MATCH(B1031,'Cashier Roster'!$B$5:$B$64,0)),"Not on roster"))</f>
        <v/>
      </c>
      <c r="D1031" s="12" t="str">
        <f>IF(B1031="","",IFERROR(INDEX('Cashier Roster'!$D$5:$D$64,MATCH(B1031,'Cashier Roster'!$B$5:$B$64,0)),""))</f>
        <v/>
      </c>
      <c r="E1031" s="13"/>
      <c r="F1031" s="14"/>
      <c r="G1031" s="8" t="str">
        <f>IF(OR(B1031="",E1031=""),"",IF(E1031="No","Missed",IF(F1031="","",IF(F1031&lt;=Settings!$B$7,"On time","Late"))))</f>
        <v/>
      </c>
      <c r="H1031" s="15"/>
      <c r="I1031" s="16"/>
      <c r="J1031" s="16"/>
      <c r="K1031" s="17" t="str">
        <f>IF(J1031="","",ROUND(J1031*Settings!$B$8,2))</f>
        <v/>
      </c>
      <c r="L1031" s="16"/>
      <c r="M1031" s="8" t="str">
        <f t="shared" si="16"/>
        <v/>
      </c>
      <c r="N1031" s="9"/>
    </row>
    <row r="1032" spans="1:14" ht="15.75">
      <c r="A1032" s="11"/>
      <c r="B1032" s="9"/>
      <c r="C1032" s="12" t="str">
        <f>IF(B1032="","",IFERROR(INDEX('Cashier Roster'!$C$5:$C$64,MATCH(B1032,'Cashier Roster'!$B$5:$B$64,0)),"Not on roster"))</f>
        <v/>
      </c>
      <c r="D1032" s="12" t="str">
        <f>IF(B1032="","",IFERROR(INDEX('Cashier Roster'!$D$5:$D$64,MATCH(B1032,'Cashier Roster'!$B$5:$B$64,0)),""))</f>
        <v/>
      </c>
      <c r="E1032" s="13"/>
      <c r="F1032" s="14"/>
      <c r="G1032" s="8" t="str">
        <f>IF(OR(B1032="",E1032=""),"",IF(E1032="No","Missed",IF(F1032="","",IF(F1032&lt;=Settings!$B$7,"On time","Late"))))</f>
        <v/>
      </c>
      <c r="H1032" s="15"/>
      <c r="I1032" s="16"/>
      <c r="J1032" s="16"/>
      <c r="K1032" s="17" t="str">
        <f>IF(J1032="","",ROUND(J1032*Settings!$B$8,2))</f>
        <v/>
      </c>
      <c r="L1032" s="16"/>
      <c r="M1032" s="8" t="str">
        <f t="shared" si="16"/>
        <v/>
      </c>
      <c r="N1032" s="9"/>
    </row>
    <row r="1033" spans="1:14" ht="15.75">
      <c r="A1033" s="11"/>
      <c r="B1033" s="9"/>
      <c r="C1033" s="12" t="str">
        <f>IF(B1033="","",IFERROR(INDEX('Cashier Roster'!$C$5:$C$64,MATCH(B1033,'Cashier Roster'!$B$5:$B$64,0)),"Not on roster"))</f>
        <v/>
      </c>
      <c r="D1033" s="12" t="str">
        <f>IF(B1033="","",IFERROR(INDEX('Cashier Roster'!$D$5:$D$64,MATCH(B1033,'Cashier Roster'!$B$5:$B$64,0)),""))</f>
        <v/>
      </c>
      <c r="E1033" s="13"/>
      <c r="F1033" s="14"/>
      <c r="G1033" s="8" t="str">
        <f>IF(OR(B1033="",E1033=""),"",IF(E1033="No","Missed",IF(F1033="","",IF(F1033&lt;=Settings!$B$7,"On time","Late"))))</f>
        <v/>
      </c>
      <c r="H1033" s="15"/>
      <c r="I1033" s="16"/>
      <c r="J1033" s="16"/>
      <c r="K1033" s="17" t="str">
        <f>IF(J1033="","",ROUND(J1033*Settings!$B$8,2))</f>
        <v/>
      </c>
      <c r="L1033" s="16"/>
      <c r="M1033" s="8" t="str">
        <f t="shared" si="16"/>
        <v/>
      </c>
      <c r="N1033" s="9"/>
    </row>
    <row r="1034" spans="1:14" ht="15.75">
      <c r="A1034" s="11"/>
      <c r="B1034" s="9"/>
      <c r="C1034" s="12" t="str">
        <f>IF(B1034="","",IFERROR(INDEX('Cashier Roster'!$C$5:$C$64,MATCH(B1034,'Cashier Roster'!$B$5:$B$64,0)),"Not on roster"))</f>
        <v/>
      </c>
      <c r="D1034" s="12" t="str">
        <f>IF(B1034="","",IFERROR(INDEX('Cashier Roster'!$D$5:$D$64,MATCH(B1034,'Cashier Roster'!$B$5:$B$64,0)),""))</f>
        <v/>
      </c>
      <c r="E1034" s="13"/>
      <c r="F1034" s="14"/>
      <c r="G1034" s="8" t="str">
        <f>IF(OR(B1034="",E1034=""),"",IF(E1034="No","Missed",IF(F1034="","",IF(F1034&lt;=Settings!$B$7,"On time","Late"))))</f>
        <v/>
      </c>
      <c r="H1034" s="15"/>
      <c r="I1034" s="16"/>
      <c r="J1034" s="16"/>
      <c r="K1034" s="17" t="str">
        <f>IF(J1034="","",ROUND(J1034*Settings!$B$8,2))</f>
        <v/>
      </c>
      <c r="L1034" s="16"/>
      <c r="M1034" s="8" t="str">
        <f t="shared" si="16"/>
        <v/>
      </c>
      <c r="N1034" s="9"/>
    </row>
    <row r="1035" spans="1:14" ht="15.75">
      <c r="A1035" s="11"/>
      <c r="B1035" s="9"/>
      <c r="C1035" s="12" t="str">
        <f>IF(B1035="","",IFERROR(INDEX('Cashier Roster'!$C$5:$C$64,MATCH(B1035,'Cashier Roster'!$B$5:$B$64,0)),"Not on roster"))</f>
        <v/>
      </c>
      <c r="D1035" s="12" t="str">
        <f>IF(B1035="","",IFERROR(INDEX('Cashier Roster'!$D$5:$D$64,MATCH(B1035,'Cashier Roster'!$B$5:$B$64,0)),""))</f>
        <v/>
      </c>
      <c r="E1035" s="13"/>
      <c r="F1035" s="14"/>
      <c r="G1035" s="8" t="str">
        <f>IF(OR(B1035="",E1035=""),"",IF(E1035="No","Missed",IF(F1035="","",IF(F1035&lt;=Settings!$B$7,"On time","Late"))))</f>
        <v/>
      </c>
      <c r="H1035" s="15"/>
      <c r="I1035" s="16"/>
      <c r="J1035" s="16"/>
      <c r="K1035" s="17" t="str">
        <f>IF(J1035="","",ROUND(J1035*Settings!$B$8,2))</f>
        <v/>
      </c>
      <c r="L1035" s="16"/>
      <c r="M1035" s="8" t="str">
        <f t="shared" si="16"/>
        <v/>
      </c>
      <c r="N1035" s="9"/>
    </row>
    <row r="1036" spans="1:14" ht="15.75">
      <c r="A1036" s="11"/>
      <c r="B1036" s="9"/>
      <c r="C1036" s="12" t="str">
        <f>IF(B1036="","",IFERROR(INDEX('Cashier Roster'!$C$5:$C$64,MATCH(B1036,'Cashier Roster'!$B$5:$B$64,0)),"Not on roster"))</f>
        <v/>
      </c>
      <c r="D1036" s="12" t="str">
        <f>IF(B1036="","",IFERROR(INDEX('Cashier Roster'!$D$5:$D$64,MATCH(B1036,'Cashier Roster'!$B$5:$B$64,0)),""))</f>
        <v/>
      </c>
      <c r="E1036" s="13"/>
      <c r="F1036" s="14"/>
      <c r="G1036" s="8" t="str">
        <f>IF(OR(B1036="",E1036=""),"",IF(E1036="No","Missed",IF(F1036="","",IF(F1036&lt;=Settings!$B$7,"On time","Late"))))</f>
        <v/>
      </c>
      <c r="H1036" s="15"/>
      <c r="I1036" s="16"/>
      <c r="J1036" s="16"/>
      <c r="K1036" s="17" t="str">
        <f>IF(J1036="","",ROUND(J1036*Settings!$B$8,2))</f>
        <v/>
      </c>
      <c r="L1036" s="16"/>
      <c r="M1036" s="8" t="str">
        <f t="shared" si="16"/>
        <v/>
      </c>
      <c r="N1036" s="9"/>
    </row>
    <row r="1037" spans="1:14" ht="15.75">
      <c r="A1037" s="11"/>
      <c r="B1037" s="9"/>
      <c r="C1037" s="12" t="str">
        <f>IF(B1037="","",IFERROR(INDEX('Cashier Roster'!$C$5:$C$64,MATCH(B1037,'Cashier Roster'!$B$5:$B$64,0)),"Not on roster"))</f>
        <v/>
      </c>
      <c r="D1037" s="12" t="str">
        <f>IF(B1037="","",IFERROR(INDEX('Cashier Roster'!$D$5:$D$64,MATCH(B1037,'Cashier Roster'!$B$5:$B$64,0)),""))</f>
        <v/>
      </c>
      <c r="E1037" s="13"/>
      <c r="F1037" s="14"/>
      <c r="G1037" s="8" t="str">
        <f>IF(OR(B1037="",E1037=""),"",IF(E1037="No","Missed",IF(F1037="","",IF(F1037&lt;=Settings!$B$7,"On time","Late"))))</f>
        <v/>
      </c>
      <c r="H1037" s="15"/>
      <c r="I1037" s="16"/>
      <c r="J1037" s="16"/>
      <c r="K1037" s="17" t="str">
        <f>IF(J1037="","",ROUND(J1037*Settings!$B$8,2))</f>
        <v/>
      </c>
      <c r="L1037" s="16"/>
      <c r="M1037" s="8" t="str">
        <f t="shared" si="16"/>
        <v/>
      </c>
      <c r="N1037" s="9"/>
    </row>
    <row r="1038" spans="1:14" ht="15.75">
      <c r="A1038" s="11"/>
      <c r="B1038" s="9"/>
      <c r="C1038" s="12" t="str">
        <f>IF(B1038="","",IFERROR(INDEX('Cashier Roster'!$C$5:$C$64,MATCH(B1038,'Cashier Roster'!$B$5:$B$64,0)),"Not on roster"))</f>
        <v/>
      </c>
      <c r="D1038" s="12" t="str">
        <f>IF(B1038="","",IFERROR(INDEX('Cashier Roster'!$D$5:$D$64,MATCH(B1038,'Cashier Roster'!$B$5:$B$64,0)),""))</f>
        <v/>
      </c>
      <c r="E1038" s="13"/>
      <c r="F1038" s="14"/>
      <c r="G1038" s="8" t="str">
        <f>IF(OR(B1038="",E1038=""),"",IF(E1038="No","Missed",IF(F1038="","",IF(F1038&lt;=Settings!$B$7,"On time","Late"))))</f>
        <v/>
      </c>
      <c r="H1038" s="15"/>
      <c r="I1038" s="16"/>
      <c r="J1038" s="16"/>
      <c r="K1038" s="17" t="str">
        <f>IF(J1038="","",ROUND(J1038*Settings!$B$8,2))</f>
        <v/>
      </c>
      <c r="L1038" s="16"/>
      <c r="M1038" s="8" t="str">
        <f t="shared" si="16"/>
        <v/>
      </c>
      <c r="N1038" s="9"/>
    </row>
    <row r="1039" spans="1:14" ht="15.75">
      <c r="A1039" s="11"/>
      <c r="B1039" s="9"/>
      <c r="C1039" s="12" t="str">
        <f>IF(B1039="","",IFERROR(INDEX('Cashier Roster'!$C$5:$C$64,MATCH(B1039,'Cashier Roster'!$B$5:$B$64,0)),"Not on roster"))</f>
        <v/>
      </c>
      <c r="D1039" s="12" t="str">
        <f>IF(B1039="","",IFERROR(INDEX('Cashier Roster'!$D$5:$D$64,MATCH(B1039,'Cashier Roster'!$B$5:$B$64,0)),""))</f>
        <v/>
      </c>
      <c r="E1039" s="13"/>
      <c r="F1039" s="14"/>
      <c r="G1039" s="8" t="str">
        <f>IF(OR(B1039="",E1039=""),"",IF(E1039="No","Missed",IF(F1039="","",IF(F1039&lt;=Settings!$B$7,"On time","Late"))))</f>
        <v/>
      </c>
      <c r="H1039" s="15"/>
      <c r="I1039" s="16"/>
      <c r="J1039" s="16"/>
      <c r="K1039" s="17" t="str">
        <f>IF(J1039="","",ROUND(J1039*Settings!$B$8,2))</f>
        <v/>
      </c>
      <c r="L1039" s="16"/>
      <c r="M1039" s="8" t="str">
        <f t="shared" si="16"/>
        <v/>
      </c>
      <c r="N1039" s="9"/>
    </row>
    <row r="1040" spans="1:14" ht="15.75">
      <c r="A1040" s="11"/>
      <c r="B1040" s="9"/>
      <c r="C1040" s="12" t="str">
        <f>IF(B1040="","",IFERROR(INDEX('Cashier Roster'!$C$5:$C$64,MATCH(B1040,'Cashier Roster'!$B$5:$B$64,0)),"Not on roster"))</f>
        <v/>
      </c>
      <c r="D1040" s="12" t="str">
        <f>IF(B1040="","",IFERROR(INDEX('Cashier Roster'!$D$5:$D$64,MATCH(B1040,'Cashier Roster'!$B$5:$B$64,0)),""))</f>
        <v/>
      </c>
      <c r="E1040" s="13"/>
      <c r="F1040" s="14"/>
      <c r="G1040" s="8" t="str">
        <f>IF(OR(B1040="",E1040=""),"",IF(E1040="No","Missed",IF(F1040="","",IF(F1040&lt;=Settings!$B$7,"On time","Late"))))</f>
        <v/>
      </c>
      <c r="H1040" s="15"/>
      <c r="I1040" s="16"/>
      <c r="J1040" s="16"/>
      <c r="K1040" s="17" t="str">
        <f>IF(J1040="","",ROUND(J1040*Settings!$B$8,2))</f>
        <v/>
      </c>
      <c r="L1040" s="16"/>
      <c r="M1040" s="8" t="str">
        <f t="shared" si="16"/>
        <v/>
      </c>
      <c r="N1040" s="9"/>
    </row>
    <row r="1041" spans="1:14" ht="15.75">
      <c r="A1041" s="11"/>
      <c r="B1041" s="9"/>
      <c r="C1041" s="12" t="str">
        <f>IF(B1041="","",IFERROR(INDEX('Cashier Roster'!$C$5:$C$64,MATCH(B1041,'Cashier Roster'!$B$5:$B$64,0)),"Not on roster"))</f>
        <v/>
      </c>
      <c r="D1041" s="12" t="str">
        <f>IF(B1041="","",IFERROR(INDEX('Cashier Roster'!$D$5:$D$64,MATCH(B1041,'Cashier Roster'!$B$5:$B$64,0)),""))</f>
        <v/>
      </c>
      <c r="E1041" s="13"/>
      <c r="F1041" s="14"/>
      <c r="G1041" s="8" t="str">
        <f>IF(OR(B1041="",E1041=""),"",IF(E1041="No","Missed",IF(F1041="","",IF(F1041&lt;=Settings!$B$7,"On time","Late"))))</f>
        <v/>
      </c>
      <c r="H1041" s="15"/>
      <c r="I1041" s="16"/>
      <c r="J1041" s="16"/>
      <c r="K1041" s="17" t="str">
        <f>IF(J1041="","",ROUND(J1041*Settings!$B$8,2))</f>
        <v/>
      </c>
      <c r="L1041" s="16"/>
      <c r="M1041" s="8" t="str">
        <f t="shared" si="16"/>
        <v/>
      </c>
      <c r="N1041" s="9"/>
    </row>
    <row r="1042" spans="1:14" ht="15.75">
      <c r="A1042" s="11"/>
      <c r="B1042" s="9"/>
      <c r="C1042" s="12" t="str">
        <f>IF(B1042="","",IFERROR(INDEX('Cashier Roster'!$C$5:$C$64,MATCH(B1042,'Cashier Roster'!$B$5:$B$64,0)),"Not on roster"))</f>
        <v/>
      </c>
      <c r="D1042" s="12" t="str">
        <f>IF(B1042="","",IFERROR(INDEX('Cashier Roster'!$D$5:$D$64,MATCH(B1042,'Cashier Roster'!$B$5:$B$64,0)),""))</f>
        <v/>
      </c>
      <c r="E1042" s="13"/>
      <c r="F1042" s="14"/>
      <c r="G1042" s="8" t="str">
        <f>IF(OR(B1042="",E1042=""),"",IF(E1042="No","Missed",IF(F1042="","",IF(F1042&lt;=Settings!$B$7,"On time","Late"))))</f>
        <v/>
      </c>
      <c r="H1042" s="15"/>
      <c r="I1042" s="16"/>
      <c r="J1042" s="16"/>
      <c r="K1042" s="17" t="str">
        <f>IF(J1042="","",ROUND(J1042*Settings!$B$8,2))</f>
        <v/>
      </c>
      <c r="L1042" s="16"/>
      <c r="M1042" s="8" t="str">
        <f t="shared" si="16"/>
        <v/>
      </c>
      <c r="N1042" s="9"/>
    </row>
    <row r="1043" spans="1:14" ht="15.75">
      <c r="A1043" s="11"/>
      <c r="B1043" s="9"/>
      <c r="C1043" s="12" t="str">
        <f>IF(B1043="","",IFERROR(INDEX('Cashier Roster'!$C$5:$C$64,MATCH(B1043,'Cashier Roster'!$B$5:$B$64,0)),"Not on roster"))</f>
        <v/>
      </c>
      <c r="D1043" s="12" t="str">
        <f>IF(B1043="","",IFERROR(INDEX('Cashier Roster'!$D$5:$D$64,MATCH(B1043,'Cashier Roster'!$B$5:$B$64,0)),""))</f>
        <v/>
      </c>
      <c r="E1043" s="13"/>
      <c r="F1043" s="14"/>
      <c r="G1043" s="8" t="str">
        <f>IF(OR(B1043="",E1043=""),"",IF(E1043="No","Missed",IF(F1043="","",IF(F1043&lt;=Settings!$B$7,"On time","Late"))))</f>
        <v/>
      </c>
      <c r="H1043" s="15"/>
      <c r="I1043" s="16"/>
      <c r="J1043" s="16"/>
      <c r="K1043" s="17" t="str">
        <f>IF(J1043="","",ROUND(J1043*Settings!$B$8,2))</f>
        <v/>
      </c>
      <c r="L1043" s="16"/>
      <c r="M1043" s="8" t="str">
        <f t="shared" si="16"/>
        <v/>
      </c>
      <c r="N1043" s="9"/>
    </row>
    <row r="1044" spans="1:14" ht="15.75">
      <c r="A1044" s="11"/>
      <c r="B1044" s="9"/>
      <c r="C1044" s="12" t="str">
        <f>IF(B1044="","",IFERROR(INDEX('Cashier Roster'!$C$5:$C$64,MATCH(B1044,'Cashier Roster'!$B$5:$B$64,0)),"Not on roster"))</f>
        <v/>
      </c>
      <c r="D1044" s="12" t="str">
        <f>IF(B1044="","",IFERROR(INDEX('Cashier Roster'!$D$5:$D$64,MATCH(B1044,'Cashier Roster'!$B$5:$B$64,0)),""))</f>
        <v/>
      </c>
      <c r="E1044" s="13"/>
      <c r="F1044" s="14"/>
      <c r="G1044" s="8" t="str">
        <f>IF(OR(B1044="",E1044=""),"",IF(E1044="No","Missed",IF(F1044="","",IF(F1044&lt;=Settings!$B$7,"On time","Late"))))</f>
        <v/>
      </c>
      <c r="H1044" s="15"/>
      <c r="I1044" s="16"/>
      <c r="J1044" s="16"/>
      <c r="K1044" s="17" t="str">
        <f>IF(J1044="","",ROUND(J1044*Settings!$B$8,2))</f>
        <v/>
      </c>
      <c r="L1044" s="16"/>
      <c r="M1044" s="8" t="str">
        <f t="shared" si="16"/>
        <v/>
      </c>
      <c r="N1044" s="9"/>
    </row>
    <row r="1045" spans="1:14" ht="15.75">
      <c r="A1045" s="11"/>
      <c r="B1045" s="9"/>
      <c r="C1045" s="12" t="str">
        <f>IF(B1045="","",IFERROR(INDEX('Cashier Roster'!$C$5:$C$64,MATCH(B1045,'Cashier Roster'!$B$5:$B$64,0)),"Not on roster"))</f>
        <v/>
      </c>
      <c r="D1045" s="12" t="str">
        <f>IF(B1045="","",IFERROR(INDEX('Cashier Roster'!$D$5:$D$64,MATCH(B1045,'Cashier Roster'!$B$5:$B$64,0)),""))</f>
        <v/>
      </c>
      <c r="E1045" s="13"/>
      <c r="F1045" s="14"/>
      <c r="G1045" s="8" t="str">
        <f>IF(OR(B1045="",E1045=""),"",IF(E1045="No","Missed",IF(F1045="","",IF(F1045&lt;=Settings!$B$7,"On time","Late"))))</f>
        <v/>
      </c>
      <c r="H1045" s="15"/>
      <c r="I1045" s="16"/>
      <c r="J1045" s="16"/>
      <c r="K1045" s="17" t="str">
        <f>IF(J1045="","",ROUND(J1045*Settings!$B$8,2))</f>
        <v/>
      </c>
      <c r="L1045" s="16"/>
      <c r="M1045" s="8" t="str">
        <f t="shared" si="16"/>
        <v/>
      </c>
      <c r="N1045" s="9"/>
    </row>
    <row r="1046" spans="1:14" ht="15.75">
      <c r="A1046" s="11"/>
      <c r="B1046" s="9"/>
      <c r="C1046" s="12" t="str">
        <f>IF(B1046="","",IFERROR(INDEX('Cashier Roster'!$C$5:$C$64,MATCH(B1046,'Cashier Roster'!$B$5:$B$64,0)),"Not on roster"))</f>
        <v/>
      </c>
      <c r="D1046" s="12" t="str">
        <f>IF(B1046="","",IFERROR(INDEX('Cashier Roster'!$D$5:$D$64,MATCH(B1046,'Cashier Roster'!$B$5:$B$64,0)),""))</f>
        <v/>
      </c>
      <c r="E1046" s="13"/>
      <c r="F1046" s="14"/>
      <c r="G1046" s="8" t="str">
        <f>IF(OR(B1046="",E1046=""),"",IF(E1046="No","Missed",IF(F1046="","",IF(F1046&lt;=Settings!$B$7,"On time","Late"))))</f>
        <v/>
      </c>
      <c r="H1046" s="15"/>
      <c r="I1046" s="16"/>
      <c r="J1046" s="16"/>
      <c r="K1046" s="17" t="str">
        <f>IF(J1046="","",ROUND(J1046*Settings!$B$8,2))</f>
        <v/>
      </c>
      <c r="L1046" s="16"/>
      <c r="M1046" s="8" t="str">
        <f t="shared" si="16"/>
        <v/>
      </c>
      <c r="N1046" s="9"/>
    </row>
    <row r="1047" spans="1:14" ht="15.75">
      <c r="A1047" s="11"/>
      <c r="B1047" s="9"/>
      <c r="C1047" s="12" t="str">
        <f>IF(B1047="","",IFERROR(INDEX('Cashier Roster'!$C$5:$C$64,MATCH(B1047,'Cashier Roster'!$B$5:$B$64,0)),"Not on roster"))</f>
        <v/>
      </c>
      <c r="D1047" s="12" t="str">
        <f>IF(B1047="","",IFERROR(INDEX('Cashier Roster'!$D$5:$D$64,MATCH(B1047,'Cashier Roster'!$B$5:$B$64,0)),""))</f>
        <v/>
      </c>
      <c r="E1047" s="13"/>
      <c r="F1047" s="14"/>
      <c r="G1047" s="8" t="str">
        <f>IF(OR(B1047="",E1047=""),"",IF(E1047="No","Missed",IF(F1047="","",IF(F1047&lt;=Settings!$B$7,"On time","Late"))))</f>
        <v/>
      </c>
      <c r="H1047" s="15"/>
      <c r="I1047" s="16"/>
      <c r="J1047" s="16"/>
      <c r="K1047" s="17" t="str">
        <f>IF(J1047="","",ROUND(J1047*Settings!$B$8,2))</f>
        <v/>
      </c>
      <c r="L1047" s="16"/>
      <c r="M1047" s="8" t="str">
        <f t="shared" si="16"/>
        <v/>
      </c>
      <c r="N1047" s="9"/>
    </row>
    <row r="1048" spans="1:14" ht="15.75">
      <c r="A1048" s="11"/>
      <c r="B1048" s="9"/>
      <c r="C1048" s="12" t="str">
        <f>IF(B1048="","",IFERROR(INDEX('Cashier Roster'!$C$5:$C$64,MATCH(B1048,'Cashier Roster'!$B$5:$B$64,0)),"Not on roster"))</f>
        <v/>
      </c>
      <c r="D1048" s="12" t="str">
        <f>IF(B1048="","",IFERROR(INDEX('Cashier Roster'!$D$5:$D$64,MATCH(B1048,'Cashier Roster'!$B$5:$B$64,0)),""))</f>
        <v/>
      </c>
      <c r="E1048" s="13"/>
      <c r="F1048" s="14"/>
      <c r="G1048" s="8" t="str">
        <f>IF(OR(B1048="",E1048=""),"",IF(E1048="No","Missed",IF(F1048="","",IF(F1048&lt;=Settings!$B$7,"On time","Late"))))</f>
        <v/>
      </c>
      <c r="H1048" s="15"/>
      <c r="I1048" s="16"/>
      <c r="J1048" s="16"/>
      <c r="K1048" s="17" t="str">
        <f>IF(J1048="","",ROUND(J1048*Settings!$B$8,2))</f>
        <v/>
      </c>
      <c r="L1048" s="16"/>
      <c r="M1048" s="8" t="str">
        <f t="shared" si="16"/>
        <v/>
      </c>
      <c r="N1048" s="9"/>
    </row>
    <row r="1049" spans="1:14" ht="15.75">
      <c r="A1049" s="11"/>
      <c r="B1049" s="9"/>
      <c r="C1049" s="12" t="str">
        <f>IF(B1049="","",IFERROR(INDEX('Cashier Roster'!$C$5:$C$64,MATCH(B1049,'Cashier Roster'!$B$5:$B$64,0)),"Not on roster"))</f>
        <v/>
      </c>
      <c r="D1049" s="12" t="str">
        <f>IF(B1049="","",IFERROR(INDEX('Cashier Roster'!$D$5:$D$64,MATCH(B1049,'Cashier Roster'!$B$5:$B$64,0)),""))</f>
        <v/>
      </c>
      <c r="E1049" s="13"/>
      <c r="F1049" s="14"/>
      <c r="G1049" s="8" t="str">
        <f>IF(OR(B1049="",E1049=""),"",IF(E1049="No","Missed",IF(F1049="","",IF(F1049&lt;=Settings!$B$7,"On time","Late"))))</f>
        <v/>
      </c>
      <c r="H1049" s="15"/>
      <c r="I1049" s="16"/>
      <c r="J1049" s="16"/>
      <c r="K1049" s="17" t="str">
        <f>IF(J1049="","",ROUND(J1049*Settings!$B$8,2))</f>
        <v/>
      </c>
      <c r="L1049" s="16"/>
      <c r="M1049" s="8" t="str">
        <f t="shared" si="16"/>
        <v/>
      </c>
      <c r="N1049" s="9"/>
    </row>
    <row r="1050" spans="1:14" ht="15.75">
      <c r="A1050" s="11"/>
      <c r="B1050" s="9"/>
      <c r="C1050" s="12" t="str">
        <f>IF(B1050="","",IFERROR(INDEX('Cashier Roster'!$C$5:$C$64,MATCH(B1050,'Cashier Roster'!$B$5:$B$64,0)),"Not on roster"))</f>
        <v/>
      </c>
      <c r="D1050" s="12" t="str">
        <f>IF(B1050="","",IFERROR(INDEX('Cashier Roster'!$D$5:$D$64,MATCH(B1050,'Cashier Roster'!$B$5:$B$64,0)),""))</f>
        <v/>
      </c>
      <c r="E1050" s="13"/>
      <c r="F1050" s="14"/>
      <c r="G1050" s="8" t="str">
        <f>IF(OR(B1050="",E1050=""),"",IF(E1050="No","Missed",IF(F1050="","",IF(F1050&lt;=Settings!$B$7,"On time","Late"))))</f>
        <v/>
      </c>
      <c r="H1050" s="15"/>
      <c r="I1050" s="16"/>
      <c r="J1050" s="16"/>
      <c r="K1050" s="17" t="str">
        <f>IF(J1050="","",ROUND(J1050*Settings!$B$8,2))</f>
        <v/>
      </c>
      <c r="L1050" s="16"/>
      <c r="M1050" s="8" t="str">
        <f t="shared" si="16"/>
        <v/>
      </c>
      <c r="N1050" s="9"/>
    </row>
    <row r="1051" spans="1:14" ht="15.75">
      <c r="A1051" s="11"/>
      <c r="B1051" s="9"/>
      <c r="C1051" s="12" t="str">
        <f>IF(B1051="","",IFERROR(INDEX('Cashier Roster'!$C$5:$C$64,MATCH(B1051,'Cashier Roster'!$B$5:$B$64,0)),"Not on roster"))</f>
        <v/>
      </c>
      <c r="D1051" s="12" t="str">
        <f>IF(B1051="","",IFERROR(INDEX('Cashier Roster'!$D$5:$D$64,MATCH(B1051,'Cashier Roster'!$B$5:$B$64,0)),""))</f>
        <v/>
      </c>
      <c r="E1051" s="13"/>
      <c r="F1051" s="14"/>
      <c r="G1051" s="8" t="str">
        <f>IF(OR(B1051="",E1051=""),"",IF(E1051="No","Missed",IF(F1051="","",IF(F1051&lt;=Settings!$B$7,"On time","Late"))))</f>
        <v/>
      </c>
      <c r="H1051" s="15"/>
      <c r="I1051" s="16"/>
      <c r="J1051" s="16"/>
      <c r="K1051" s="17" t="str">
        <f>IF(J1051="","",ROUND(J1051*Settings!$B$8,2))</f>
        <v/>
      </c>
      <c r="L1051" s="16"/>
      <c r="M1051" s="8" t="str">
        <f t="shared" si="16"/>
        <v/>
      </c>
      <c r="N1051" s="9"/>
    </row>
    <row r="1052" spans="1:14" ht="15.75">
      <c r="A1052" s="11"/>
      <c r="B1052" s="9"/>
      <c r="C1052" s="12" t="str">
        <f>IF(B1052="","",IFERROR(INDEX('Cashier Roster'!$C$5:$C$64,MATCH(B1052,'Cashier Roster'!$B$5:$B$64,0)),"Not on roster"))</f>
        <v/>
      </c>
      <c r="D1052" s="12" t="str">
        <f>IF(B1052="","",IFERROR(INDEX('Cashier Roster'!$D$5:$D$64,MATCH(B1052,'Cashier Roster'!$B$5:$B$64,0)),""))</f>
        <v/>
      </c>
      <c r="E1052" s="13"/>
      <c r="F1052" s="14"/>
      <c r="G1052" s="8" t="str">
        <f>IF(OR(B1052="",E1052=""),"",IF(E1052="No","Missed",IF(F1052="","",IF(F1052&lt;=Settings!$B$7,"On time","Late"))))</f>
        <v/>
      </c>
      <c r="H1052" s="15"/>
      <c r="I1052" s="16"/>
      <c r="J1052" s="16"/>
      <c r="K1052" s="17" t="str">
        <f>IF(J1052="","",ROUND(J1052*Settings!$B$8,2))</f>
        <v/>
      </c>
      <c r="L1052" s="16"/>
      <c r="M1052" s="8" t="str">
        <f t="shared" si="16"/>
        <v/>
      </c>
      <c r="N1052" s="9"/>
    </row>
    <row r="1053" spans="1:14" ht="15.75">
      <c r="A1053" s="11"/>
      <c r="B1053" s="9"/>
      <c r="C1053" s="12" t="str">
        <f>IF(B1053="","",IFERROR(INDEX('Cashier Roster'!$C$5:$C$64,MATCH(B1053,'Cashier Roster'!$B$5:$B$64,0)),"Not on roster"))</f>
        <v/>
      </c>
      <c r="D1053" s="12" t="str">
        <f>IF(B1053="","",IFERROR(INDEX('Cashier Roster'!$D$5:$D$64,MATCH(B1053,'Cashier Roster'!$B$5:$B$64,0)),""))</f>
        <v/>
      </c>
      <c r="E1053" s="13"/>
      <c r="F1053" s="14"/>
      <c r="G1053" s="8" t="str">
        <f>IF(OR(B1053="",E1053=""),"",IF(E1053="No","Missed",IF(F1053="","",IF(F1053&lt;=Settings!$B$7,"On time","Late"))))</f>
        <v/>
      </c>
      <c r="H1053" s="15"/>
      <c r="I1053" s="16"/>
      <c r="J1053" s="16"/>
      <c r="K1053" s="17" t="str">
        <f>IF(J1053="","",ROUND(J1053*Settings!$B$8,2))</f>
        <v/>
      </c>
      <c r="L1053" s="16"/>
      <c r="M1053" s="8" t="str">
        <f t="shared" si="16"/>
        <v/>
      </c>
      <c r="N1053" s="9"/>
    </row>
    <row r="1054" spans="1:14" ht="15.75">
      <c r="A1054" s="11"/>
      <c r="B1054" s="9"/>
      <c r="C1054" s="12" t="str">
        <f>IF(B1054="","",IFERROR(INDEX('Cashier Roster'!$C$5:$C$64,MATCH(B1054,'Cashier Roster'!$B$5:$B$64,0)),"Not on roster"))</f>
        <v/>
      </c>
      <c r="D1054" s="12" t="str">
        <f>IF(B1054="","",IFERROR(INDEX('Cashier Roster'!$D$5:$D$64,MATCH(B1054,'Cashier Roster'!$B$5:$B$64,0)),""))</f>
        <v/>
      </c>
      <c r="E1054" s="13"/>
      <c r="F1054" s="14"/>
      <c r="G1054" s="8" t="str">
        <f>IF(OR(B1054="",E1054=""),"",IF(E1054="No","Missed",IF(F1054="","",IF(F1054&lt;=Settings!$B$7,"On time","Late"))))</f>
        <v/>
      </c>
      <c r="H1054" s="15"/>
      <c r="I1054" s="16"/>
      <c r="J1054" s="16"/>
      <c r="K1054" s="17" t="str">
        <f>IF(J1054="","",ROUND(J1054*Settings!$B$8,2))</f>
        <v/>
      </c>
      <c r="L1054" s="16"/>
      <c r="M1054" s="8" t="str">
        <f t="shared" si="16"/>
        <v/>
      </c>
      <c r="N1054" s="9"/>
    </row>
    <row r="1055" spans="1:14" ht="15.75">
      <c r="A1055" s="11"/>
      <c r="B1055" s="9"/>
      <c r="C1055" s="12" t="str">
        <f>IF(B1055="","",IFERROR(INDEX('Cashier Roster'!$C$5:$C$64,MATCH(B1055,'Cashier Roster'!$B$5:$B$64,0)),"Not on roster"))</f>
        <v/>
      </c>
      <c r="D1055" s="12" t="str">
        <f>IF(B1055="","",IFERROR(INDEX('Cashier Roster'!$D$5:$D$64,MATCH(B1055,'Cashier Roster'!$B$5:$B$64,0)),""))</f>
        <v/>
      </c>
      <c r="E1055" s="13"/>
      <c r="F1055" s="14"/>
      <c r="G1055" s="8" t="str">
        <f>IF(OR(B1055="",E1055=""),"",IF(E1055="No","Missed",IF(F1055="","",IF(F1055&lt;=Settings!$B$7,"On time","Late"))))</f>
        <v/>
      </c>
      <c r="H1055" s="15"/>
      <c r="I1055" s="16"/>
      <c r="J1055" s="16"/>
      <c r="K1055" s="17" t="str">
        <f>IF(J1055="","",ROUND(J1055*Settings!$B$8,2))</f>
        <v/>
      </c>
      <c r="L1055" s="16"/>
      <c r="M1055" s="8" t="str">
        <f t="shared" si="16"/>
        <v/>
      </c>
      <c r="N1055" s="9"/>
    </row>
    <row r="1056" spans="1:14" ht="15.75">
      <c r="A1056" s="11"/>
      <c r="B1056" s="9"/>
      <c r="C1056" s="12" t="str">
        <f>IF(B1056="","",IFERROR(INDEX('Cashier Roster'!$C$5:$C$64,MATCH(B1056,'Cashier Roster'!$B$5:$B$64,0)),"Not on roster"))</f>
        <v/>
      </c>
      <c r="D1056" s="12" t="str">
        <f>IF(B1056="","",IFERROR(INDEX('Cashier Roster'!$D$5:$D$64,MATCH(B1056,'Cashier Roster'!$B$5:$B$64,0)),""))</f>
        <v/>
      </c>
      <c r="E1056" s="13"/>
      <c r="F1056" s="14"/>
      <c r="G1056" s="8" t="str">
        <f>IF(OR(B1056="",E1056=""),"",IF(E1056="No","Missed",IF(F1056="","",IF(F1056&lt;=Settings!$B$7,"On time","Late"))))</f>
        <v/>
      </c>
      <c r="H1056" s="15"/>
      <c r="I1056" s="16"/>
      <c r="J1056" s="16"/>
      <c r="K1056" s="17" t="str">
        <f>IF(J1056="","",ROUND(J1056*Settings!$B$8,2))</f>
        <v/>
      </c>
      <c r="L1056" s="16"/>
      <c r="M1056" s="8" t="str">
        <f t="shared" si="16"/>
        <v/>
      </c>
      <c r="N1056" s="9"/>
    </row>
    <row r="1057" spans="1:14" ht="15.75">
      <c r="A1057" s="11"/>
      <c r="B1057" s="9"/>
      <c r="C1057" s="12" t="str">
        <f>IF(B1057="","",IFERROR(INDEX('Cashier Roster'!$C$5:$C$64,MATCH(B1057,'Cashier Roster'!$B$5:$B$64,0)),"Not on roster"))</f>
        <v/>
      </c>
      <c r="D1057" s="12" t="str">
        <f>IF(B1057="","",IFERROR(INDEX('Cashier Roster'!$D$5:$D$64,MATCH(B1057,'Cashier Roster'!$B$5:$B$64,0)),""))</f>
        <v/>
      </c>
      <c r="E1057" s="13"/>
      <c r="F1057" s="14"/>
      <c r="G1057" s="8" t="str">
        <f>IF(OR(B1057="",E1057=""),"",IF(E1057="No","Missed",IF(F1057="","",IF(F1057&lt;=Settings!$B$7,"On time","Late"))))</f>
        <v/>
      </c>
      <c r="H1057" s="15"/>
      <c r="I1057" s="16"/>
      <c r="J1057" s="16"/>
      <c r="K1057" s="17" t="str">
        <f>IF(J1057="","",ROUND(J1057*Settings!$B$8,2))</f>
        <v/>
      </c>
      <c r="L1057" s="16"/>
      <c r="M1057" s="8" t="str">
        <f t="shared" si="16"/>
        <v/>
      </c>
      <c r="N1057" s="9"/>
    </row>
    <row r="1058" spans="1:14" ht="15.75">
      <c r="A1058" s="11"/>
      <c r="B1058" s="9"/>
      <c r="C1058" s="12" t="str">
        <f>IF(B1058="","",IFERROR(INDEX('Cashier Roster'!$C$5:$C$64,MATCH(B1058,'Cashier Roster'!$B$5:$B$64,0)),"Not on roster"))</f>
        <v/>
      </c>
      <c r="D1058" s="12" t="str">
        <f>IF(B1058="","",IFERROR(INDEX('Cashier Roster'!$D$5:$D$64,MATCH(B1058,'Cashier Roster'!$B$5:$B$64,0)),""))</f>
        <v/>
      </c>
      <c r="E1058" s="13"/>
      <c r="F1058" s="14"/>
      <c r="G1058" s="8" t="str">
        <f>IF(OR(B1058="",E1058=""),"",IF(E1058="No","Missed",IF(F1058="","",IF(F1058&lt;=Settings!$B$7,"On time","Late"))))</f>
        <v/>
      </c>
      <c r="H1058" s="15"/>
      <c r="I1058" s="16"/>
      <c r="J1058" s="16"/>
      <c r="K1058" s="17" t="str">
        <f>IF(J1058="","",ROUND(J1058*Settings!$B$8,2))</f>
        <v/>
      </c>
      <c r="L1058" s="16"/>
      <c r="M1058" s="8" t="str">
        <f t="shared" si="16"/>
        <v/>
      </c>
      <c r="N1058" s="9"/>
    </row>
    <row r="1059" spans="1:14" ht="15.75">
      <c r="A1059" s="11"/>
      <c r="B1059" s="9"/>
      <c r="C1059" s="12" t="str">
        <f>IF(B1059="","",IFERROR(INDEX('Cashier Roster'!$C$5:$C$64,MATCH(B1059,'Cashier Roster'!$B$5:$B$64,0)),"Not on roster"))</f>
        <v/>
      </c>
      <c r="D1059" s="12" t="str">
        <f>IF(B1059="","",IFERROR(INDEX('Cashier Roster'!$D$5:$D$64,MATCH(B1059,'Cashier Roster'!$B$5:$B$64,0)),""))</f>
        <v/>
      </c>
      <c r="E1059" s="13"/>
      <c r="F1059" s="14"/>
      <c r="G1059" s="8" t="str">
        <f>IF(OR(B1059="",E1059=""),"",IF(E1059="No","Missed",IF(F1059="","",IF(F1059&lt;=Settings!$B$7,"On time","Late"))))</f>
        <v/>
      </c>
      <c r="H1059" s="15"/>
      <c r="I1059" s="16"/>
      <c r="J1059" s="16"/>
      <c r="K1059" s="17" t="str">
        <f>IF(J1059="","",ROUND(J1059*Settings!$B$8,2))</f>
        <v/>
      </c>
      <c r="L1059" s="16"/>
      <c r="M1059" s="8" t="str">
        <f t="shared" si="16"/>
        <v/>
      </c>
      <c r="N1059" s="9"/>
    </row>
    <row r="1060" spans="1:14" ht="15.75">
      <c r="A1060" s="11"/>
      <c r="B1060" s="9"/>
      <c r="C1060" s="12" t="str">
        <f>IF(B1060="","",IFERROR(INDEX('Cashier Roster'!$C$5:$C$64,MATCH(B1060,'Cashier Roster'!$B$5:$B$64,0)),"Not on roster"))</f>
        <v/>
      </c>
      <c r="D1060" s="12" t="str">
        <f>IF(B1060="","",IFERROR(INDEX('Cashier Roster'!$D$5:$D$64,MATCH(B1060,'Cashier Roster'!$B$5:$B$64,0)),""))</f>
        <v/>
      </c>
      <c r="E1060" s="13"/>
      <c r="F1060" s="14"/>
      <c r="G1060" s="8" t="str">
        <f>IF(OR(B1060="",E1060=""),"",IF(E1060="No","Missed",IF(F1060="","",IF(F1060&lt;=Settings!$B$7,"On time","Late"))))</f>
        <v/>
      </c>
      <c r="H1060" s="15"/>
      <c r="I1060" s="16"/>
      <c r="J1060" s="16"/>
      <c r="K1060" s="17" t="str">
        <f>IF(J1060="","",ROUND(J1060*Settings!$B$8,2))</f>
        <v/>
      </c>
      <c r="L1060" s="16"/>
      <c r="M1060" s="8" t="str">
        <f t="shared" si="16"/>
        <v/>
      </c>
      <c r="N1060" s="9"/>
    </row>
    <row r="1061" spans="1:14" ht="15.75">
      <c r="A1061" s="11"/>
      <c r="B1061" s="9"/>
      <c r="C1061" s="12" t="str">
        <f>IF(B1061="","",IFERROR(INDEX('Cashier Roster'!$C$5:$C$64,MATCH(B1061,'Cashier Roster'!$B$5:$B$64,0)),"Not on roster"))</f>
        <v/>
      </c>
      <c r="D1061" s="12" t="str">
        <f>IF(B1061="","",IFERROR(INDEX('Cashier Roster'!$D$5:$D$64,MATCH(B1061,'Cashier Roster'!$B$5:$B$64,0)),""))</f>
        <v/>
      </c>
      <c r="E1061" s="13"/>
      <c r="F1061" s="14"/>
      <c r="G1061" s="8" t="str">
        <f>IF(OR(B1061="",E1061=""),"",IF(E1061="No","Missed",IF(F1061="","",IF(F1061&lt;=Settings!$B$7,"On time","Late"))))</f>
        <v/>
      </c>
      <c r="H1061" s="15"/>
      <c r="I1061" s="16"/>
      <c r="J1061" s="16"/>
      <c r="K1061" s="17" t="str">
        <f>IF(J1061="","",ROUND(J1061*Settings!$B$8,2))</f>
        <v/>
      </c>
      <c r="L1061" s="16"/>
      <c r="M1061" s="8" t="str">
        <f t="shared" si="16"/>
        <v/>
      </c>
      <c r="N1061" s="9"/>
    </row>
    <row r="1062" spans="1:14" ht="15.75">
      <c r="A1062" s="11"/>
      <c r="B1062" s="9"/>
      <c r="C1062" s="12" t="str">
        <f>IF(B1062="","",IFERROR(INDEX('Cashier Roster'!$C$5:$C$64,MATCH(B1062,'Cashier Roster'!$B$5:$B$64,0)),"Not on roster"))</f>
        <v/>
      </c>
      <c r="D1062" s="12" t="str">
        <f>IF(B1062="","",IFERROR(INDEX('Cashier Roster'!$D$5:$D$64,MATCH(B1062,'Cashier Roster'!$B$5:$B$64,0)),""))</f>
        <v/>
      </c>
      <c r="E1062" s="13"/>
      <c r="F1062" s="14"/>
      <c r="G1062" s="8" t="str">
        <f>IF(OR(B1062="",E1062=""),"",IF(E1062="No","Missed",IF(F1062="","",IF(F1062&lt;=Settings!$B$7,"On time","Late"))))</f>
        <v/>
      </c>
      <c r="H1062" s="15"/>
      <c r="I1062" s="16"/>
      <c r="J1062" s="16"/>
      <c r="K1062" s="17" t="str">
        <f>IF(J1062="","",ROUND(J1062*Settings!$B$8,2))</f>
        <v/>
      </c>
      <c r="L1062" s="16"/>
      <c r="M1062" s="8" t="str">
        <f t="shared" si="16"/>
        <v/>
      </c>
      <c r="N1062" s="9"/>
    </row>
    <row r="1063" spans="1:14" ht="15.75">
      <c r="A1063" s="11"/>
      <c r="B1063" s="9"/>
      <c r="C1063" s="12" t="str">
        <f>IF(B1063="","",IFERROR(INDEX('Cashier Roster'!$C$5:$C$64,MATCH(B1063,'Cashier Roster'!$B$5:$B$64,0)),"Not on roster"))</f>
        <v/>
      </c>
      <c r="D1063" s="12" t="str">
        <f>IF(B1063="","",IFERROR(INDEX('Cashier Roster'!$D$5:$D$64,MATCH(B1063,'Cashier Roster'!$B$5:$B$64,0)),""))</f>
        <v/>
      </c>
      <c r="E1063" s="13"/>
      <c r="F1063" s="14"/>
      <c r="G1063" s="8" t="str">
        <f>IF(OR(B1063="",E1063=""),"",IF(E1063="No","Missed",IF(F1063="","",IF(F1063&lt;=Settings!$B$7,"On time","Late"))))</f>
        <v/>
      </c>
      <c r="H1063" s="15"/>
      <c r="I1063" s="16"/>
      <c r="J1063" s="16"/>
      <c r="K1063" s="17" t="str">
        <f>IF(J1063="","",ROUND(J1063*Settings!$B$8,2))</f>
        <v/>
      </c>
      <c r="L1063" s="16"/>
      <c r="M1063" s="8" t="str">
        <f t="shared" si="16"/>
        <v/>
      </c>
      <c r="N1063" s="9"/>
    </row>
    <row r="1064" spans="1:14" ht="15.75">
      <c r="A1064" s="11"/>
      <c r="B1064" s="9"/>
      <c r="C1064" s="12" t="str">
        <f>IF(B1064="","",IFERROR(INDEX('Cashier Roster'!$C$5:$C$64,MATCH(B1064,'Cashier Roster'!$B$5:$B$64,0)),"Not on roster"))</f>
        <v/>
      </c>
      <c r="D1064" s="12" t="str">
        <f>IF(B1064="","",IFERROR(INDEX('Cashier Roster'!$D$5:$D$64,MATCH(B1064,'Cashier Roster'!$B$5:$B$64,0)),""))</f>
        <v/>
      </c>
      <c r="E1064" s="13"/>
      <c r="F1064" s="14"/>
      <c r="G1064" s="8" t="str">
        <f>IF(OR(B1064="",E1064=""),"",IF(E1064="No","Missed",IF(F1064="","",IF(F1064&lt;=Settings!$B$7,"On time","Late"))))</f>
        <v/>
      </c>
      <c r="H1064" s="15"/>
      <c r="I1064" s="16"/>
      <c r="J1064" s="16"/>
      <c r="K1064" s="17" t="str">
        <f>IF(J1064="","",ROUND(J1064*Settings!$B$8,2))</f>
        <v/>
      </c>
      <c r="L1064" s="16"/>
      <c r="M1064" s="8" t="str">
        <f t="shared" si="16"/>
        <v/>
      </c>
      <c r="N1064" s="9"/>
    </row>
    <row r="1065" spans="1:14" ht="15.75">
      <c r="A1065" s="11"/>
      <c r="B1065" s="9"/>
      <c r="C1065" s="12" t="str">
        <f>IF(B1065="","",IFERROR(INDEX('Cashier Roster'!$C$5:$C$64,MATCH(B1065,'Cashier Roster'!$B$5:$B$64,0)),"Not on roster"))</f>
        <v/>
      </c>
      <c r="D1065" s="12" t="str">
        <f>IF(B1065="","",IFERROR(INDEX('Cashier Roster'!$D$5:$D$64,MATCH(B1065,'Cashier Roster'!$B$5:$B$64,0)),""))</f>
        <v/>
      </c>
      <c r="E1065" s="13"/>
      <c r="F1065" s="14"/>
      <c r="G1065" s="8" t="str">
        <f>IF(OR(B1065="",E1065=""),"",IF(E1065="No","Missed",IF(F1065="","",IF(F1065&lt;=Settings!$B$7,"On time","Late"))))</f>
        <v/>
      </c>
      <c r="H1065" s="15"/>
      <c r="I1065" s="16"/>
      <c r="J1065" s="16"/>
      <c r="K1065" s="17" t="str">
        <f>IF(J1065="","",ROUND(J1065*Settings!$B$8,2))</f>
        <v/>
      </c>
      <c r="L1065" s="16"/>
      <c r="M1065" s="8" t="str">
        <f t="shared" si="16"/>
        <v/>
      </c>
      <c r="N1065" s="9"/>
    </row>
    <row r="1066" spans="1:14" ht="15.75">
      <c r="A1066" s="11"/>
      <c r="B1066" s="9"/>
      <c r="C1066" s="12" t="str">
        <f>IF(B1066="","",IFERROR(INDEX('Cashier Roster'!$C$5:$C$64,MATCH(B1066,'Cashier Roster'!$B$5:$B$64,0)),"Not on roster"))</f>
        <v/>
      </c>
      <c r="D1066" s="12" t="str">
        <f>IF(B1066="","",IFERROR(INDEX('Cashier Roster'!$D$5:$D$64,MATCH(B1066,'Cashier Roster'!$B$5:$B$64,0)),""))</f>
        <v/>
      </c>
      <c r="E1066" s="13"/>
      <c r="F1066" s="14"/>
      <c r="G1066" s="8" t="str">
        <f>IF(OR(B1066="",E1066=""),"",IF(E1066="No","Missed",IF(F1066="","",IF(F1066&lt;=Settings!$B$7,"On time","Late"))))</f>
        <v/>
      </c>
      <c r="H1066" s="15"/>
      <c r="I1066" s="16"/>
      <c r="J1066" s="16"/>
      <c r="K1066" s="17" t="str">
        <f>IF(J1066="","",ROUND(J1066*Settings!$B$8,2))</f>
        <v/>
      </c>
      <c r="L1066" s="16"/>
      <c r="M1066" s="8" t="str">
        <f t="shared" si="16"/>
        <v/>
      </c>
      <c r="N1066" s="9"/>
    </row>
    <row r="1067" spans="1:14" ht="15.75">
      <c r="A1067" s="11"/>
      <c r="B1067" s="9"/>
      <c r="C1067" s="12" t="str">
        <f>IF(B1067="","",IFERROR(INDEX('Cashier Roster'!$C$5:$C$64,MATCH(B1067,'Cashier Roster'!$B$5:$B$64,0)),"Not on roster"))</f>
        <v/>
      </c>
      <c r="D1067" s="12" t="str">
        <f>IF(B1067="","",IFERROR(INDEX('Cashier Roster'!$D$5:$D$64,MATCH(B1067,'Cashier Roster'!$B$5:$B$64,0)),""))</f>
        <v/>
      </c>
      <c r="E1067" s="13"/>
      <c r="F1067" s="14"/>
      <c r="G1067" s="8" t="str">
        <f>IF(OR(B1067="",E1067=""),"",IF(E1067="No","Missed",IF(F1067="","",IF(F1067&lt;=Settings!$B$7,"On time","Late"))))</f>
        <v/>
      </c>
      <c r="H1067" s="15"/>
      <c r="I1067" s="16"/>
      <c r="J1067" s="16"/>
      <c r="K1067" s="17" t="str">
        <f>IF(J1067="","",ROUND(J1067*Settings!$B$8,2))</f>
        <v/>
      </c>
      <c r="L1067" s="16"/>
      <c r="M1067" s="8" t="str">
        <f t="shared" si="16"/>
        <v/>
      </c>
      <c r="N1067" s="9"/>
    </row>
    <row r="1068" spans="1:14" ht="15.75">
      <c r="A1068" s="11"/>
      <c r="B1068" s="9"/>
      <c r="C1068" s="12" t="str">
        <f>IF(B1068="","",IFERROR(INDEX('Cashier Roster'!$C$5:$C$64,MATCH(B1068,'Cashier Roster'!$B$5:$B$64,0)),"Not on roster"))</f>
        <v/>
      </c>
      <c r="D1068" s="12" t="str">
        <f>IF(B1068="","",IFERROR(INDEX('Cashier Roster'!$D$5:$D$64,MATCH(B1068,'Cashier Roster'!$B$5:$B$64,0)),""))</f>
        <v/>
      </c>
      <c r="E1068" s="13"/>
      <c r="F1068" s="14"/>
      <c r="G1068" s="8" t="str">
        <f>IF(OR(B1068="",E1068=""),"",IF(E1068="No","Missed",IF(F1068="","",IF(F1068&lt;=Settings!$B$7,"On time","Late"))))</f>
        <v/>
      </c>
      <c r="H1068" s="15"/>
      <c r="I1068" s="16"/>
      <c r="J1068" s="16"/>
      <c r="K1068" s="17" t="str">
        <f>IF(J1068="","",ROUND(J1068*Settings!$B$8,2))</f>
        <v/>
      </c>
      <c r="L1068" s="16"/>
      <c r="M1068" s="8" t="str">
        <f t="shared" si="16"/>
        <v/>
      </c>
      <c r="N1068" s="9"/>
    </row>
    <row r="1069" spans="1:14" ht="15.75">
      <c r="A1069" s="11"/>
      <c r="B1069" s="9"/>
      <c r="C1069" s="12" t="str">
        <f>IF(B1069="","",IFERROR(INDEX('Cashier Roster'!$C$5:$C$64,MATCH(B1069,'Cashier Roster'!$B$5:$B$64,0)),"Not on roster"))</f>
        <v/>
      </c>
      <c r="D1069" s="12" t="str">
        <f>IF(B1069="","",IFERROR(INDEX('Cashier Roster'!$D$5:$D$64,MATCH(B1069,'Cashier Roster'!$B$5:$B$64,0)),""))</f>
        <v/>
      </c>
      <c r="E1069" s="13"/>
      <c r="F1069" s="14"/>
      <c r="G1069" s="8" t="str">
        <f>IF(OR(B1069="",E1069=""),"",IF(E1069="No","Missed",IF(F1069="","",IF(F1069&lt;=Settings!$B$7,"On time","Late"))))</f>
        <v/>
      </c>
      <c r="H1069" s="15"/>
      <c r="I1069" s="16"/>
      <c r="J1069" s="16"/>
      <c r="K1069" s="17" t="str">
        <f>IF(J1069="","",ROUND(J1069*Settings!$B$8,2))</f>
        <v/>
      </c>
      <c r="L1069" s="16"/>
      <c r="M1069" s="8" t="str">
        <f t="shared" si="16"/>
        <v/>
      </c>
      <c r="N1069" s="9"/>
    </row>
    <row r="1070" spans="1:14" ht="15.75">
      <c r="A1070" s="11"/>
      <c r="B1070" s="9"/>
      <c r="C1070" s="12" t="str">
        <f>IF(B1070="","",IFERROR(INDEX('Cashier Roster'!$C$5:$C$64,MATCH(B1070,'Cashier Roster'!$B$5:$B$64,0)),"Not on roster"))</f>
        <v/>
      </c>
      <c r="D1070" s="12" t="str">
        <f>IF(B1070="","",IFERROR(INDEX('Cashier Roster'!$D$5:$D$64,MATCH(B1070,'Cashier Roster'!$B$5:$B$64,0)),""))</f>
        <v/>
      </c>
      <c r="E1070" s="13"/>
      <c r="F1070" s="14"/>
      <c r="G1070" s="8" t="str">
        <f>IF(OR(B1070="",E1070=""),"",IF(E1070="No","Missed",IF(F1070="","",IF(F1070&lt;=Settings!$B$7,"On time","Late"))))</f>
        <v/>
      </c>
      <c r="H1070" s="15"/>
      <c r="I1070" s="16"/>
      <c r="J1070" s="16"/>
      <c r="K1070" s="17" t="str">
        <f>IF(J1070="","",ROUND(J1070*Settings!$B$8,2))</f>
        <v/>
      </c>
      <c r="L1070" s="16"/>
      <c r="M1070" s="8" t="str">
        <f t="shared" si="16"/>
        <v/>
      </c>
      <c r="N1070" s="9"/>
    </row>
    <row r="1071" spans="1:14" ht="15.75">
      <c r="A1071" s="11"/>
      <c r="B1071" s="9"/>
      <c r="C1071" s="12" t="str">
        <f>IF(B1071="","",IFERROR(INDEX('Cashier Roster'!$C$5:$C$64,MATCH(B1071,'Cashier Roster'!$B$5:$B$64,0)),"Not on roster"))</f>
        <v/>
      </c>
      <c r="D1071" s="12" t="str">
        <f>IF(B1071="","",IFERROR(INDEX('Cashier Roster'!$D$5:$D$64,MATCH(B1071,'Cashier Roster'!$B$5:$B$64,0)),""))</f>
        <v/>
      </c>
      <c r="E1071" s="13"/>
      <c r="F1071" s="14"/>
      <c r="G1071" s="8" t="str">
        <f>IF(OR(B1071="",E1071=""),"",IF(E1071="No","Missed",IF(F1071="","",IF(F1071&lt;=Settings!$B$7,"On time","Late"))))</f>
        <v/>
      </c>
      <c r="H1071" s="15"/>
      <c r="I1071" s="16"/>
      <c r="J1071" s="16"/>
      <c r="K1071" s="17" t="str">
        <f>IF(J1071="","",ROUND(J1071*Settings!$B$8,2))</f>
        <v/>
      </c>
      <c r="L1071" s="16"/>
      <c r="M1071" s="8" t="str">
        <f t="shared" si="16"/>
        <v/>
      </c>
      <c r="N1071" s="9"/>
    </row>
    <row r="1072" spans="1:14" ht="15.75">
      <c r="A1072" s="11"/>
      <c r="B1072" s="9"/>
      <c r="C1072" s="12" t="str">
        <f>IF(B1072="","",IFERROR(INDEX('Cashier Roster'!$C$5:$C$64,MATCH(B1072,'Cashier Roster'!$B$5:$B$64,0)),"Not on roster"))</f>
        <v/>
      </c>
      <c r="D1072" s="12" t="str">
        <f>IF(B1072="","",IFERROR(INDEX('Cashier Roster'!$D$5:$D$64,MATCH(B1072,'Cashier Roster'!$B$5:$B$64,0)),""))</f>
        <v/>
      </c>
      <c r="E1072" s="13"/>
      <c r="F1072" s="14"/>
      <c r="G1072" s="8" t="str">
        <f>IF(OR(B1072="",E1072=""),"",IF(E1072="No","Missed",IF(F1072="","",IF(F1072&lt;=Settings!$B$7,"On time","Late"))))</f>
        <v/>
      </c>
      <c r="H1072" s="15"/>
      <c r="I1072" s="16"/>
      <c r="J1072" s="16"/>
      <c r="K1072" s="17" t="str">
        <f>IF(J1072="","",ROUND(J1072*Settings!$B$8,2))</f>
        <v/>
      </c>
      <c r="L1072" s="16"/>
      <c r="M1072" s="8" t="str">
        <f t="shared" si="16"/>
        <v/>
      </c>
      <c r="N1072" s="9"/>
    </row>
    <row r="1073" spans="1:14" ht="15.75">
      <c r="A1073" s="11"/>
      <c r="B1073" s="9"/>
      <c r="C1073" s="12" t="str">
        <f>IF(B1073="","",IFERROR(INDEX('Cashier Roster'!$C$5:$C$64,MATCH(B1073,'Cashier Roster'!$B$5:$B$64,0)),"Not on roster"))</f>
        <v/>
      </c>
      <c r="D1073" s="12" t="str">
        <f>IF(B1073="","",IFERROR(INDEX('Cashier Roster'!$D$5:$D$64,MATCH(B1073,'Cashier Roster'!$B$5:$B$64,0)),""))</f>
        <v/>
      </c>
      <c r="E1073" s="13"/>
      <c r="F1073" s="14"/>
      <c r="G1073" s="8" t="str">
        <f>IF(OR(B1073="",E1073=""),"",IF(E1073="No","Missed",IF(F1073="","",IF(F1073&lt;=Settings!$B$7,"On time","Late"))))</f>
        <v/>
      </c>
      <c r="H1073" s="15"/>
      <c r="I1073" s="16"/>
      <c r="J1073" s="16"/>
      <c r="K1073" s="17" t="str">
        <f>IF(J1073="","",ROUND(J1073*Settings!$B$8,2))</f>
        <v/>
      </c>
      <c r="L1073" s="16"/>
      <c r="M1073" s="8" t="str">
        <f t="shared" si="16"/>
        <v/>
      </c>
      <c r="N1073" s="9"/>
    </row>
    <row r="1074" spans="1:14" ht="15.75">
      <c r="A1074" s="11"/>
      <c r="B1074" s="9"/>
      <c r="C1074" s="12" t="str">
        <f>IF(B1074="","",IFERROR(INDEX('Cashier Roster'!$C$5:$C$64,MATCH(B1074,'Cashier Roster'!$B$5:$B$64,0)),"Not on roster"))</f>
        <v/>
      </c>
      <c r="D1074" s="12" t="str">
        <f>IF(B1074="","",IFERROR(INDEX('Cashier Roster'!$D$5:$D$64,MATCH(B1074,'Cashier Roster'!$B$5:$B$64,0)),""))</f>
        <v/>
      </c>
      <c r="E1074" s="13"/>
      <c r="F1074" s="14"/>
      <c r="G1074" s="8" t="str">
        <f>IF(OR(B1074="",E1074=""),"",IF(E1074="No","Missed",IF(F1074="","",IF(F1074&lt;=Settings!$B$7,"On time","Late"))))</f>
        <v/>
      </c>
      <c r="H1074" s="15"/>
      <c r="I1074" s="16"/>
      <c r="J1074" s="16"/>
      <c r="K1074" s="17" t="str">
        <f>IF(J1074="","",ROUND(J1074*Settings!$B$8,2))</f>
        <v/>
      </c>
      <c r="L1074" s="16"/>
      <c r="M1074" s="8" t="str">
        <f t="shared" si="16"/>
        <v/>
      </c>
      <c r="N1074" s="9"/>
    </row>
    <row r="1075" spans="1:14" ht="15.75">
      <c r="A1075" s="11"/>
      <c r="B1075" s="9"/>
      <c r="C1075" s="12" t="str">
        <f>IF(B1075="","",IFERROR(INDEX('Cashier Roster'!$C$5:$C$64,MATCH(B1075,'Cashier Roster'!$B$5:$B$64,0)),"Not on roster"))</f>
        <v/>
      </c>
      <c r="D1075" s="12" t="str">
        <f>IF(B1075="","",IFERROR(INDEX('Cashier Roster'!$D$5:$D$64,MATCH(B1075,'Cashier Roster'!$B$5:$B$64,0)),""))</f>
        <v/>
      </c>
      <c r="E1075" s="13"/>
      <c r="F1075" s="14"/>
      <c r="G1075" s="8" t="str">
        <f>IF(OR(B1075="",E1075=""),"",IF(E1075="No","Missed",IF(F1075="","",IF(F1075&lt;=Settings!$B$7,"On time","Late"))))</f>
        <v/>
      </c>
      <c r="H1075" s="15"/>
      <c r="I1075" s="16"/>
      <c r="J1075" s="16"/>
      <c r="K1075" s="17" t="str">
        <f>IF(J1075="","",ROUND(J1075*Settings!$B$8,2))</f>
        <v/>
      </c>
      <c r="L1075" s="16"/>
      <c r="M1075" s="8" t="str">
        <f t="shared" si="16"/>
        <v/>
      </c>
      <c r="N1075" s="9"/>
    </row>
    <row r="1076" spans="1:14" ht="15.75">
      <c r="A1076" s="11"/>
      <c r="B1076" s="9"/>
      <c r="C1076" s="12" t="str">
        <f>IF(B1076="","",IFERROR(INDEX('Cashier Roster'!$C$5:$C$64,MATCH(B1076,'Cashier Roster'!$B$5:$B$64,0)),"Not on roster"))</f>
        <v/>
      </c>
      <c r="D1076" s="12" t="str">
        <f>IF(B1076="","",IFERROR(INDEX('Cashier Roster'!$D$5:$D$64,MATCH(B1076,'Cashier Roster'!$B$5:$B$64,0)),""))</f>
        <v/>
      </c>
      <c r="E1076" s="13"/>
      <c r="F1076" s="14"/>
      <c r="G1076" s="8" t="str">
        <f>IF(OR(B1076="",E1076=""),"",IF(E1076="No","Missed",IF(F1076="","",IF(F1076&lt;=Settings!$B$7,"On time","Late"))))</f>
        <v/>
      </c>
      <c r="H1076" s="15"/>
      <c r="I1076" s="16"/>
      <c r="J1076" s="16"/>
      <c r="K1076" s="17" t="str">
        <f>IF(J1076="","",ROUND(J1076*Settings!$B$8,2))</f>
        <v/>
      </c>
      <c r="L1076" s="16"/>
      <c r="M1076" s="8" t="str">
        <f t="shared" si="16"/>
        <v/>
      </c>
      <c r="N1076" s="9"/>
    </row>
    <row r="1077" spans="1:14" ht="15.75">
      <c r="A1077" s="11"/>
      <c r="B1077" s="9"/>
      <c r="C1077" s="12" t="str">
        <f>IF(B1077="","",IFERROR(INDEX('Cashier Roster'!$C$5:$C$64,MATCH(B1077,'Cashier Roster'!$B$5:$B$64,0)),"Not on roster"))</f>
        <v/>
      </c>
      <c r="D1077" s="12" t="str">
        <f>IF(B1077="","",IFERROR(INDEX('Cashier Roster'!$D$5:$D$64,MATCH(B1077,'Cashier Roster'!$B$5:$B$64,0)),""))</f>
        <v/>
      </c>
      <c r="E1077" s="13"/>
      <c r="F1077" s="14"/>
      <c r="G1077" s="8" t="str">
        <f>IF(OR(B1077="",E1077=""),"",IF(E1077="No","Missed",IF(F1077="","",IF(F1077&lt;=Settings!$B$7,"On time","Late"))))</f>
        <v/>
      </c>
      <c r="H1077" s="15"/>
      <c r="I1077" s="16"/>
      <c r="J1077" s="16"/>
      <c r="K1077" s="17" t="str">
        <f>IF(J1077="","",ROUND(J1077*Settings!$B$8,2))</f>
        <v/>
      </c>
      <c r="L1077" s="16"/>
      <c r="M1077" s="8" t="str">
        <f t="shared" si="16"/>
        <v/>
      </c>
      <c r="N1077" s="9"/>
    </row>
    <row r="1078" spans="1:14" ht="15.75">
      <c r="A1078" s="11"/>
      <c r="B1078" s="9"/>
      <c r="C1078" s="12" t="str">
        <f>IF(B1078="","",IFERROR(INDEX('Cashier Roster'!$C$5:$C$64,MATCH(B1078,'Cashier Roster'!$B$5:$B$64,0)),"Not on roster"))</f>
        <v/>
      </c>
      <c r="D1078" s="12" t="str">
        <f>IF(B1078="","",IFERROR(INDEX('Cashier Roster'!$D$5:$D$64,MATCH(B1078,'Cashier Roster'!$B$5:$B$64,0)),""))</f>
        <v/>
      </c>
      <c r="E1078" s="13"/>
      <c r="F1078" s="14"/>
      <c r="G1078" s="8" t="str">
        <f>IF(OR(B1078="",E1078=""),"",IF(E1078="No","Missed",IF(F1078="","",IF(F1078&lt;=Settings!$B$7,"On time","Late"))))</f>
        <v/>
      </c>
      <c r="H1078" s="15"/>
      <c r="I1078" s="16"/>
      <c r="J1078" s="16"/>
      <c r="K1078" s="17" t="str">
        <f>IF(J1078="","",ROUND(J1078*Settings!$B$8,2))</f>
        <v/>
      </c>
      <c r="L1078" s="16"/>
      <c r="M1078" s="8" t="str">
        <f t="shared" si="16"/>
        <v/>
      </c>
      <c r="N1078" s="9"/>
    </row>
    <row r="1079" spans="1:14" ht="15.75">
      <c r="A1079" s="11"/>
      <c r="B1079" s="9"/>
      <c r="C1079" s="12" t="str">
        <f>IF(B1079="","",IFERROR(INDEX('Cashier Roster'!$C$5:$C$64,MATCH(B1079,'Cashier Roster'!$B$5:$B$64,0)),"Not on roster"))</f>
        <v/>
      </c>
      <c r="D1079" s="12" t="str">
        <f>IF(B1079="","",IFERROR(INDEX('Cashier Roster'!$D$5:$D$64,MATCH(B1079,'Cashier Roster'!$B$5:$B$64,0)),""))</f>
        <v/>
      </c>
      <c r="E1079" s="13"/>
      <c r="F1079" s="14"/>
      <c r="G1079" s="8" t="str">
        <f>IF(OR(B1079="",E1079=""),"",IF(E1079="No","Missed",IF(F1079="","",IF(F1079&lt;=Settings!$B$7,"On time","Late"))))</f>
        <v/>
      </c>
      <c r="H1079" s="15"/>
      <c r="I1079" s="16"/>
      <c r="J1079" s="16"/>
      <c r="K1079" s="17" t="str">
        <f>IF(J1079="","",ROUND(J1079*Settings!$B$8,2))</f>
        <v/>
      </c>
      <c r="L1079" s="16"/>
      <c r="M1079" s="8" t="str">
        <f t="shared" si="16"/>
        <v/>
      </c>
      <c r="N1079" s="9"/>
    </row>
    <row r="1080" spans="1:14" ht="15.75">
      <c r="A1080" s="11"/>
      <c r="B1080" s="9"/>
      <c r="C1080" s="12" t="str">
        <f>IF(B1080="","",IFERROR(INDEX('Cashier Roster'!$C$5:$C$64,MATCH(B1080,'Cashier Roster'!$B$5:$B$64,0)),"Not on roster"))</f>
        <v/>
      </c>
      <c r="D1080" s="12" t="str">
        <f>IF(B1080="","",IFERROR(INDEX('Cashier Roster'!$D$5:$D$64,MATCH(B1080,'Cashier Roster'!$B$5:$B$64,0)),""))</f>
        <v/>
      </c>
      <c r="E1080" s="13"/>
      <c r="F1080" s="14"/>
      <c r="G1080" s="8" t="str">
        <f>IF(OR(B1080="",E1080=""),"",IF(E1080="No","Missed",IF(F1080="","",IF(F1080&lt;=Settings!$B$7,"On time","Late"))))</f>
        <v/>
      </c>
      <c r="H1080" s="15"/>
      <c r="I1080" s="16"/>
      <c r="J1080" s="16"/>
      <c r="K1080" s="17" t="str">
        <f>IF(J1080="","",ROUND(J1080*Settings!$B$8,2))</f>
        <v/>
      </c>
      <c r="L1080" s="16"/>
      <c r="M1080" s="8" t="str">
        <f t="shared" si="16"/>
        <v/>
      </c>
      <c r="N1080" s="9"/>
    </row>
    <row r="1081" spans="1:14" ht="15.75">
      <c r="A1081" s="11"/>
      <c r="B1081" s="9"/>
      <c r="C1081" s="12" t="str">
        <f>IF(B1081="","",IFERROR(INDEX('Cashier Roster'!$C$5:$C$64,MATCH(B1081,'Cashier Roster'!$B$5:$B$64,0)),"Not on roster"))</f>
        <v/>
      </c>
      <c r="D1081" s="12" t="str">
        <f>IF(B1081="","",IFERROR(INDEX('Cashier Roster'!$D$5:$D$64,MATCH(B1081,'Cashier Roster'!$B$5:$B$64,0)),""))</f>
        <v/>
      </c>
      <c r="E1081" s="13"/>
      <c r="F1081" s="14"/>
      <c r="G1081" s="8" t="str">
        <f>IF(OR(B1081="",E1081=""),"",IF(E1081="No","Missed",IF(F1081="","",IF(F1081&lt;=Settings!$B$7,"On time","Late"))))</f>
        <v/>
      </c>
      <c r="H1081" s="15"/>
      <c r="I1081" s="16"/>
      <c r="J1081" s="16"/>
      <c r="K1081" s="17" t="str">
        <f>IF(J1081="","",ROUND(J1081*Settings!$B$8,2))</f>
        <v/>
      </c>
      <c r="L1081" s="16"/>
      <c r="M1081" s="8" t="str">
        <f t="shared" si="16"/>
        <v/>
      </c>
      <c r="N1081" s="9"/>
    </row>
    <row r="1082" spans="1:14" ht="15.75">
      <c r="A1082" s="11"/>
      <c r="B1082" s="9"/>
      <c r="C1082" s="12" t="str">
        <f>IF(B1082="","",IFERROR(INDEX('Cashier Roster'!$C$5:$C$64,MATCH(B1082,'Cashier Roster'!$B$5:$B$64,0)),"Not on roster"))</f>
        <v/>
      </c>
      <c r="D1082" s="12" t="str">
        <f>IF(B1082="","",IFERROR(INDEX('Cashier Roster'!$D$5:$D$64,MATCH(B1082,'Cashier Roster'!$B$5:$B$64,0)),""))</f>
        <v/>
      </c>
      <c r="E1082" s="13"/>
      <c r="F1082" s="14"/>
      <c r="G1082" s="8" t="str">
        <f>IF(OR(B1082="",E1082=""),"",IF(E1082="No","Missed",IF(F1082="","",IF(F1082&lt;=Settings!$B$7,"On time","Late"))))</f>
        <v/>
      </c>
      <c r="H1082" s="15"/>
      <c r="I1082" s="16"/>
      <c r="J1082" s="16"/>
      <c r="K1082" s="17" t="str">
        <f>IF(J1082="","",ROUND(J1082*Settings!$B$8,2))</f>
        <v/>
      </c>
      <c r="L1082" s="16"/>
      <c r="M1082" s="8" t="str">
        <f t="shared" si="16"/>
        <v/>
      </c>
      <c r="N1082" s="9"/>
    </row>
    <row r="1083" spans="1:14" ht="15.75">
      <c r="A1083" s="11"/>
      <c r="B1083" s="9"/>
      <c r="C1083" s="12" t="str">
        <f>IF(B1083="","",IFERROR(INDEX('Cashier Roster'!$C$5:$C$64,MATCH(B1083,'Cashier Roster'!$B$5:$B$64,0)),"Not on roster"))</f>
        <v/>
      </c>
      <c r="D1083" s="12" t="str">
        <f>IF(B1083="","",IFERROR(INDEX('Cashier Roster'!$D$5:$D$64,MATCH(B1083,'Cashier Roster'!$B$5:$B$64,0)),""))</f>
        <v/>
      </c>
      <c r="E1083" s="13"/>
      <c r="F1083" s="14"/>
      <c r="G1083" s="8" t="str">
        <f>IF(OR(B1083="",E1083=""),"",IF(E1083="No","Missed",IF(F1083="","",IF(F1083&lt;=Settings!$B$7,"On time","Late"))))</f>
        <v/>
      </c>
      <c r="H1083" s="15"/>
      <c r="I1083" s="16"/>
      <c r="J1083" s="16"/>
      <c r="K1083" s="17" t="str">
        <f>IF(J1083="","",ROUND(J1083*Settings!$B$8,2))</f>
        <v/>
      </c>
      <c r="L1083" s="16"/>
      <c r="M1083" s="8" t="str">
        <f t="shared" si="16"/>
        <v/>
      </c>
      <c r="N1083" s="9"/>
    </row>
    <row r="1084" spans="1:14" ht="15.75">
      <c r="A1084" s="11"/>
      <c r="B1084" s="9"/>
      <c r="C1084" s="12" t="str">
        <f>IF(B1084="","",IFERROR(INDEX('Cashier Roster'!$C$5:$C$64,MATCH(B1084,'Cashier Roster'!$B$5:$B$64,0)),"Not on roster"))</f>
        <v/>
      </c>
      <c r="D1084" s="12" t="str">
        <f>IF(B1084="","",IFERROR(INDEX('Cashier Roster'!$D$5:$D$64,MATCH(B1084,'Cashier Roster'!$B$5:$B$64,0)),""))</f>
        <v/>
      </c>
      <c r="E1084" s="13"/>
      <c r="F1084" s="14"/>
      <c r="G1084" s="8" t="str">
        <f>IF(OR(B1084="",E1084=""),"",IF(E1084="No","Missed",IF(F1084="","",IF(F1084&lt;=Settings!$B$7,"On time","Late"))))</f>
        <v/>
      </c>
      <c r="H1084" s="15"/>
      <c r="I1084" s="16"/>
      <c r="J1084" s="16"/>
      <c r="K1084" s="17" t="str">
        <f>IF(J1084="","",ROUND(J1084*Settings!$B$8,2))</f>
        <v/>
      </c>
      <c r="L1084" s="16"/>
      <c r="M1084" s="8" t="str">
        <f t="shared" si="16"/>
        <v/>
      </c>
      <c r="N1084" s="9"/>
    </row>
    <row r="1085" spans="1:14" ht="15.75">
      <c r="A1085" s="11"/>
      <c r="B1085" s="9"/>
      <c r="C1085" s="12" t="str">
        <f>IF(B1085="","",IFERROR(INDEX('Cashier Roster'!$C$5:$C$64,MATCH(B1085,'Cashier Roster'!$B$5:$B$64,0)),"Not on roster"))</f>
        <v/>
      </c>
      <c r="D1085" s="12" t="str">
        <f>IF(B1085="","",IFERROR(INDEX('Cashier Roster'!$D$5:$D$64,MATCH(B1085,'Cashier Roster'!$B$5:$B$64,0)),""))</f>
        <v/>
      </c>
      <c r="E1085" s="13"/>
      <c r="F1085" s="14"/>
      <c r="G1085" s="8" t="str">
        <f>IF(OR(B1085="",E1085=""),"",IF(E1085="No","Missed",IF(F1085="","",IF(F1085&lt;=Settings!$B$7,"On time","Late"))))</f>
        <v/>
      </c>
      <c r="H1085" s="15"/>
      <c r="I1085" s="16"/>
      <c r="J1085" s="16"/>
      <c r="K1085" s="17" t="str">
        <f>IF(J1085="","",ROUND(J1085*Settings!$B$8,2))</f>
        <v/>
      </c>
      <c r="L1085" s="16"/>
      <c r="M1085" s="8" t="str">
        <f t="shared" si="16"/>
        <v/>
      </c>
      <c r="N1085" s="9"/>
    </row>
    <row r="1086" spans="1:14" ht="15.75">
      <c r="A1086" s="11"/>
      <c r="B1086" s="9"/>
      <c r="C1086" s="12" t="str">
        <f>IF(B1086="","",IFERROR(INDEX('Cashier Roster'!$C$5:$C$64,MATCH(B1086,'Cashier Roster'!$B$5:$B$64,0)),"Not on roster"))</f>
        <v/>
      </c>
      <c r="D1086" s="12" t="str">
        <f>IF(B1086="","",IFERROR(INDEX('Cashier Roster'!$D$5:$D$64,MATCH(B1086,'Cashier Roster'!$B$5:$B$64,0)),""))</f>
        <v/>
      </c>
      <c r="E1086" s="13"/>
      <c r="F1086" s="14"/>
      <c r="G1086" s="8" t="str">
        <f>IF(OR(B1086="",E1086=""),"",IF(E1086="No","Missed",IF(F1086="","",IF(F1086&lt;=Settings!$B$7,"On time","Late"))))</f>
        <v/>
      </c>
      <c r="H1086" s="15"/>
      <c r="I1086" s="16"/>
      <c r="J1086" s="16"/>
      <c r="K1086" s="17" t="str">
        <f>IF(J1086="","",ROUND(J1086*Settings!$B$8,2))</f>
        <v/>
      </c>
      <c r="L1086" s="16"/>
      <c r="M1086" s="8" t="str">
        <f t="shared" si="16"/>
        <v/>
      </c>
      <c r="N1086" s="9"/>
    </row>
    <row r="1087" spans="1:14" ht="15.75">
      <c r="A1087" s="11"/>
      <c r="B1087" s="9"/>
      <c r="C1087" s="12" t="str">
        <f>IF(B1087="","",IFERROR(INDEX('Cashier Roster'!$C$5:$C$64,MATCH(B1087,'Cashier Roster'!$B$5:$B$64,0)),"Not on roster"))</f>
        <v/>
      </c>
      <c r="D1087" s="12" t="str">
        <f>IF(B1087="","",IFERROR(INDEX('Cashier Roster'!$D$5:$D$64,MATCH(B1087,'Cashier Roster'!$B$5:$B$64,0)),""))</f>
        <v/>
      </c>
      <c r="E1087" s="13"/>
      <c r="F1087" s="14"/>
      <c r="G1087" s="8" t="str">
        <f>IF(OR(B1087="",E1087=""),"",IF(E1087="No","Missed",IF(F1087="","",IF(F1087&lt;=Settings!$B$7,"On time","Late"))))</f>
        <v/>
      </c>
      <c r="H1087" s="15"/>
      <c r="I1087" s="16"/>
      <c r="J1087" s="16"/>
      <c r="K1087" s="17" t="str">
        <f>IF(J1087="","",ROUND(J1087*Settings!$B$8,2))</f>
        <v/>
      </c>
      <c r="L1087" s="16"/>
      <c r="M1087" s="8" t="str">
        <f t="shared" si="16"/>
        <v/>
      </c>
      <c r="N1087" s="9"/>
    </row>
    <row r="1088" spans="1:14" ht="15.75">
      <c r="A1088" s="11"/>
      <c r="B1088" s="9"/>
      <c r="C1088" s="12" t="str">
        <f>IF(B1088="","",IFERROR(INDEX('Cashier Roster'!$C$5:$C$64,MATCH(B1088,'Cashier Roster'!$B$5:$B$64,0)),"Not on roster"))</f>
        <v/>
      </c>
      <c r="D1088" s="12" t="str">
        <f>IF(B1088="","",IFERROR(INDEX('Cashier Roster'!$D$5:$D$64,MATCH(B1088,'Cashier Roster'!$B$5:$B$64,0)),""))</f>
        <v/>
      </c>
      <c r="E1088" s="13"/>
      <c r="F1088" s="14"/>
      <c r="G1088" s="8" t="str">
        <f>IF(OR(B1088="",E1088=""),"",IF(E1088="No","Missed",IF(F1088="","",IF(F1088&lt;=Settings!$B$7,"On time","Late"))))</f>
        <v/>
      </c>
      <c r="H1088" s="15"/>
      <c r="I1088" s="16"/>
      <c r="J1088" s="16"/>
      <c r="K1088" s="17" t="str">
        <f>IF(J1088="","",ROUND(J1088*Settings!$B$8,2))</f>
        <v/>
      </c>
      <c r="L1088" s="16"/>
      <c r="M1088" s="8" t="str">
        <f t="shared" si="16"/>
        <v/>
      </c>
      <c r="N1088" s="9"/>
    </row>
    <row r="1089" spans="1:14" ht="15.75">
      <c r="A1089" s="11"/>
      <c r="B1089" s="9"/>
      <c r="C1089" s="12" t="str">
        <f>IF(B1089="","",IFERROR(INDEX('Cashier Roster'!$C$5:$C$64,MATCH(B1089,'Cashier Roster'!$B$5:$B$64,0)),"Not on roster"))</f>
        <v/>
      </c>
      <c r="D1089" s="12" t="str">
        <f>IF(B1089="","",IFERROR(INDEX('Cashier Roster'!$D$5:$D$64,MATCH(B1089,'Cashier Roster'!$B$5:$B$64,0)),""))</f>
        <v/>
      </c>
      <c r="E1089" s="13"/>
      <c r="F1089" s="14"/>
      <c r="G1089" s="8" t="str">
        <f>IF(OR(B1089="",E1089=""),"",IF(E1089="No","Missed",IF(F1089="","",IF(F1089&lt;=Settings!$B$7,"On time","Late"))))</f>
        <v/>
      </c>
      <c r="H1089" s="15"/>
      <c r="I1089" s="16"/>
      <c r="J1089" s="16"/>
      <c r="K1089" s="17" t="str">
        <f>IF(J1089="","",ROUND(J1089*Settings!$B$8,2))</f>
        <v/>
      </c>
      <c r="L1089" s="16"/>
      <c r="M1089" s="8" t="str">
        <f t="shared" si="16"/>
        <v/>
      </c>
      <c r="N1089" s="9"/>
    </row>
    <row r="1090" spans="1:14" ht="15.75">
      <c r="A1090" s="11"/>
      <c r="B1090" s="9"/>
      <c r="C1090" s="12" t="str">
        <f>IF(B1090="","",IFERROR(INDEX('Cashier Roster'!$C$5:$C$64,MATCH(B1090,'Cashier Roster'!$B$5:$B$64,0)),"Not on roster"))</f>
        <v/>
      </c>
      <c r="D1090" s="12" t="str">
        <f>IF(B1090="","",IFERROR(INDEX('Cashier Roster'!$D$5:$D$64,MATCH(B1090,'Cashier Roster'!$B$5:$B$64,0)),""))</f>
        <v/>
      </c>
      <c r="E1090" s="13"/>
      <c r="F1090" s="14"/>
      <c r="G1090" s="8" t="str">
        <f>IF(OR(B1090="",E1090=""),"",IF(E1090="No","Missed",IF(F1090="","",IF(F1090&lt;=Settings!$B$7,"On time","Late"))))</f>
        <v/>
      </c>
      <c r="H1090" s="15"/>
      <c r="I1090" s="16"/>
      <c r="J1090" s="16"/>
      <c r="K1090" s="17" t="str">
        <f>IF(J1090="","",ROUND(J1090*Settings!$B$8,2))</f>
        <v/>
      </c>
      <c r="L1090" s="16"/>
      <c r="M1090" s="8" t="str">
        <f t="shared" si="16"/>
        <v/>
      </c>
      <c r="N1090" s="9"/>
    </row>
    <row r="1091" spans="1:14" ht="15.75">
      <c r="A1091" s="11"/>
      <c r="B1091" s="9"/>
      <c r="C1091" s="12" t="str">
        <f>IF(B1091="","",IFERROR(INDEX('Cashier Roster'!$C$5:$C$64,MATCH(B1091,'Cashier Roster'!$B$5:$B$64,0)),"Not on roster"))</f>
        <v/>
      </c>
      <c r="D1091" s="12" t="str">
        <f>IF(B1091="","",IFERROR(INDEX('Cashier Roster'!$D$5:$D$64,MATCH(B1091,'Cashier Roster'!$B$5:$B$64,0)),""))</f>
        <v/>
      </c>
      <c r="E1091" s="13"/>
      <c r="F1091" s="14"/>
      <c r="G1091" s="8" t="str">
        <f>IF(OR(B1091="",E1091=""),"",IF(E1091="No","Missed",IF(F1091="","",IF(F1091&lt;=Settings!$B$7,"On time","Late"))))</f>
        <v/>
      </c>
      <c r="H1091" s="15"/>
      <c r="I1091" s="16"/>
      <c r="J1091" s="16"/>
      <c r="K1091" s="17" t="str">
        <f>IF(J1091="","",ROUND(J1091*Settings!$B$8,2))</f>
        <v/>
      </c>
      <c r="L1091" s="16"/>
      <c r="M1091" s="8" t="str">
        <f t="shared" si="16"/>
        <v/>
      </c>
      <c r="N1091" s="9"/>
    </row>
    <row r="1092" spans="1:14" ht="15.75">
      <c r="A1092" s="11"/>
      <c r="B1092" s="9"/>
      <c r="C1092" s="12" t="str">
        <f>IF(B1092="","",IFERROR(INDEX('Cashier Roster'!$C$5:$C$64,MATCH(B1092,'Cashier Roster'!$B$5:$B$64,0)),"Not on roster"))</f>
        <v/>
      </c>
      <c r="D1092" s="12" t="str">
        <f>IF(B1092="","",IFERROR(INDEX('Cashier Roster'!$D$5:$D$64,MATCH(B1092,'Cashier Roster'!$B$5:$B$64,0)),""))</f>
        <v/>
      </c>
      <c r="E1092" s="13"/>
      <c r="F1092" s="14"/>
      <c r="G1092" s="8" t="str">
        <f>IF(OR(B1092="",E1092=""),"",IF(E1092="No","Missed",IF(F1092="","",IF(F1092&lt;=Settings!$B$7,"On time","Late"))))</f>
        <v/>
      </c>
      <c r="H1092" s="15"/>
      <c r="I1092" s="16"/>
      <c r="J1092" s="16"/>
      <c r="K1092" s="17" t="str">
        <f>IF(J1092="","",ROUND(J1092*Settings!$B$8,2))</f>
        <v/>
      </c>
      <c r="L1092" s="16"/>
      <c r="M1092" s="8" t="str">
        <f t="shared" si="16"/>
        <v/>
      </c>
      <c r="N1092" s="9"/>
    </row>
    <row r="1093" spans="1:14" ht="15.75">
      <c r="A1093" s="11"/>
      <c r="B1093" s="9"/>
      <c r="C1093" s="12" t="str">
        <f>IF(B1093="","",IFERROR(INDEX('Cashier Roster'!$C$5:$C$64,MATCH(B1093,'Cashier Roster'!$B$5:$B$64,0)),"Not on roster"))</f>
        <v/>
      </c>
      <c r="D1093" s="12" t="str">
        <f>IF(B1093="","",IFERROR(INDEX('Cashier Roster'!$D$5:$D$64,MATCH(B1093,'Cashier Roster'!$B$5:$B$64,0)),""))</f>
        <v/>
      </c>
      <c r="E1093" s="13"/>
      <c r="F1093" s="14"/>
      <c r="G1093" s="8" t="str">
        <f>IF(OR(B1093="",E1093=""),"",IF(E1093="No","Missed",IF(F1093="","",IF(F1093&lt;=Settings!$B$7,"On time","Late"))))</f>
        <v/>
      </c>
      <c r="H1093" s="15"/>
      <c r="I1093" s="16"/>
      <c r="J1093" s="16"/>
      <c r="K1093" s="17" t="str">
        <f>IF(J1093="","",ROUND(J1093*Settings!$B$8,2))</f>
        <v/>
      </c>
      <c r="L1093" s="16"/>
      <c r="M1093" s="8" t="str">
        <f t="shared" ref="M1093:M1156" si="17">IF(L1093="","",IF(L1093&lt;=0,"Yes","No"))</f>
        <v/>
      </c>
      <c r="N1093" s="9"/>
    </row>
    <row r="1094" spans="1:14" ht="15.75">
      <c r="A1094" s="11"/>
      <c r="B1094" s="9"/>
      <c r="C1094" s="12" t="str">
        <f>IF(B1094="","",IFERROR(INDEX('Cashier Roster'!$C$5:$C$64,MATCH(B1094,'Cashier Roster'!$B$5:$B$64,0)),"Not on roster"))</f>
        <v/>
      </c>
      <c r="D1094" s="12" t="str">
        <f>IF(B1094="","",IFERROR(INDEX('Cashier Roster'!$D$5:$D$64,MATCH(B1094,'Cashier Roster'!$B$5:$B$64,0)),""))</f>
        <v/>
      </c>
      <c r="E1094" s="13"/>
      <c r="F1094" s="14"/>
      <c r="G1094" s="8" t="str">
        <f>IF(OR(B1094="",E1094=""),"",IF(E1094="No","Missed",IF(F1094="","",IF(F1094&lt;=Settings!$B$7,"On time","Late"))))</f>
        <v/>
      </c>
      <c r="H1094" s="15"/>
      <c r="I1094" s="16"/>
      <c r="J1094" s="16"/>
      <c r="K1094" s="17" t="str">
        <f>IF(J1094="","",ROUND(J1094*Settings!$B$8,2))</f>
        <v/>
      </c>
      <c r="L1094" s="16"/>
      <c r="M1094" s="8" t="str">
        <f t="shared" si="17"/>
        <v/>
      </c>
      <c r="N1094" s="9"/>
    </row>
    <row r="1095" spans="1:14" ht="15.75">
      <c r="A1095" s="11"/>
      <c r="B1095" s="9"/>
      <c r="C1095" s="12" t="str">
        <f>IF(B1095="","",IFERROR(INDEX('Cashier Roster'!$C$5:$C$64,MATCH(B1095,'Cashier Roster'!$B$5:$B$64,0)),"Not on roster"))</f>
        <v/>
      </c>
      <c r="D1095" s="12" t="str">
        <f>IF(B1095="","",IFERROR(INDEX('Cashier Roster'!$D$5:$D$64,MATCH(B1095,'Cashier Roster'!$B$5:$B$64,0)),""))</f>
        <v/>
      </c>
      <c r="E1095" s="13"/>
      <c r="F1095" s="14"/>
      <c r="G1095" s="8" t="str">
        <f>IF(OR(B1095="",E1095=""),"",IF(E1095="No","Missed",IF(F1095="","",IF(F1095&lt;=Settings!$B$7,"On time","Late"))))</f>
        <v/>
      </c>
      <c r="H1095" s="15"/>
      <c r="I1095" s="16"/>
      <c r="J1095" s="16"/>
      <c r="K1095" s="17" t="str">
        <f>IF(J1095="","",ROUND(J1095*Settings!$B$8,2))</f>
        <v/>
      </c>
      <c r="L1095" s="16"/>
      <c r="M1095" s="8" t="str">
        <f t="shared" si="17"/>
        <v/>
      </c>
      <c r="N1095" s="9"/>
    </row>
    <row r="1096" spans="1:14" ht="15.75">
      <c r="A1096" s="11"/>
      <c r="B1096" s="9"/>
      <c r="C1096" s="12" t="str">
        <f>IF(B1096="","",IFERROR(INDEX('Cashier Roster'!$C$5:$C$64,MATCH(B1096,'Cashier Roster'!$B$5:$B$64,0)),"Not on roster"))</f>
        <v/>
      </c>
      <c r="D1096" s="12" t="str">
        <f>IF(B1096="","",IFERROR(INDEX('Cashier Roster'!$D$5:$D$64,MATCH(B1096,'Cashier Roster'!$B$5:$B$64,0)),""))</f>
        <v/>
      </c>
      <c r="E1096" s="13"/>
      <c r="F1096" s="14"/>
      <c r="G1096" s="8" t="str">
        <f>IF(OR(B1096="",E1096=""),"",IF(E1096="No","Missed",IF(F1096="","",IF(F1096&lt;=Settings!$B$7,"On time","Late"))))</f>
        <v/>
      </c>
      <c r="H1096" s="15"/>
      <c r="I1096" s="16"/>
      <c r="J1096" s="16"/>
      <c r="K1096" s="17" t="str">
        <f>IF(J1096="","",ROUND(J1096*Settings!$B$8,2))</f>
        <v/>
      </c>
      <c r="L1096" s="16"/>
      <c r="M1096" s="8" t="str">
        <f t="shared" si="17"/>
        <v/>
      </c>
      <c r="N1096" s="9"/>
    </row>
    <row r="1097" spans="1:14" ht="15.75">
      <c r="A1097" s="11"/>
      <c r="B1097" s="9"/>
      <c r="C1097" s="12" t="str">
        <f>IF(B1097="","",IFERROR(INDEX('Cashier Roster'!$C$5:$C$64,MATCH(B1097,'Cashier Roster'!$B$5:$B$64,0)),"Not on roster"))</f>
        <v/>
      </c>
      <c r="D1097" s="12" t="str">
        <f>IF(B1097="","",IFERROR(INDEX('Cashier Roster'!$D$5:$D$64,MATCH(B1097,'Cashier Roster'!$B$5:$B$64,0)),""))</f>
        <v/>
      </c>
      <c r="E1097" s="13"/>
      <c r="F1097" s="14"/>
      <c r="G1097" s="8" t="str">
        <f>IF(OR(B1097="",E1097=""),"",IF(E1097="No","Missed",IF(F1097="","",IF(F1097&lt;=Settings!$B$7,"On time","Late"))))</f>
        <v/>
      </c>
      <c r="H1097" s="15"/>
      <c r="I1097" s="16"/>
      <c r="J1097" s="16"/>
      <c r="K1097" s="17" t="str">
        <f>IF(J1097="","",ROUND(J1097*Settings!$B$8,2))</f>
        <v/>
      </c>
      <c r="L1097" s="16"/>
      <c r="M1097" s="8" t="str">
        <f t="shared" si="17"/>
        <v/>
      </c>
      <c r="N1097" s="9"/>
    </row>
    <row r="1098" spans="1:14" ht="15.75">
      <c r="A1098" s="11"/>
      <c r="B1098" s="9"/>
      <c r="C1098" s="12" t="str">
        <f>IF(B1098="","",IFERROR(INDEX('Cashier Roster'!$C$5:$C$64,MATCH(B1098,'Cashier Roster'!$B$5:$B$64,0)),"Not on roster"))</f>
        <v/>
      </c>
      <c r="D1098" s="12" t="str">
        <f>IF(B1098="","",IFERROR(INDEX('Cashier Roster'!$D$5:$D$64,MATCH(B1098,'Cashier Roster'!$B$5:$B$64,0)),""))</f>
        <v/>
      </c>
      <c r="E1098" s="13"/>
      <c r="F1098" s="14"/>
      <c r="G1098" s="8" t="str">
        <f>IF(OR(B1098="",E1098=""),"",IF(E1098="No","Missed",IF(F1098="","",IF(F1098&lt;=Settings!$B$7,"On time","Late"))))</f>
        <v/>
      </c>
      <c r="H1098" s="15"/>
      <c r="I1098" s="16"/>
      <c r="J1098" s="16"/>
      <c r="K1098" s="17" t="str">
        <f>IF(J1098="","",ROUND(J1098*Settings!$B$8,2))</f>
        <v/>
      </c>
      <c r="L1098" s="16"/>
      <c r="M1098" s="8" t="str">
        <f t="shared" si="17"/>
        <v/>
      </c>
      <c r="N1098" s="9"/>
    </row>
    <row r="1099" spans="1:14" ht="15.75">
      <c r="A1099" s="11"/>
      <c r="B1099" s="9"/>
      <c r="C1099" s="12" t="str">
        <f>IF(B1099="","",IFERROR(INDEX('Cashier Roster'!$C$5:$C$64,MATCH(B1099,'Cashier Roster'!$B$5:$B$64,0)),"Not on roster"))</f>
        <v/>
      </c>
      <c r="D1099" s="12" t="str">
        <f>IF(B1099="","",IFERROR(INDEX('Cashier Roster'!$D$5:$D$64,MATCH(B1099,'Cashier Roster'!$B$5:$B$64,0)),""))</f>
        <v/>
      </c>
      <c r="E1099" s="13"/>
      <c r="F1099" s="14"/>
      <c r="G1099" s="8" t="str">
        <f>IF(OR(B1099="",E1099=""),"",IF(E1099="No","Missed",IF(F1099="","",IF(F1099&lt;=Settings!$B$7,"On time","Late"))))</f>
        <v/>
      </c>
      <c r="H1099" s="15"/>
      <c r="I1099" s="16"/>
      <c r="J1099" s="16"/>
      <c r="K1099" s="17" t="str">
        <f>IF(J1099="","",ROUND(J1099*Settings!$B$8,2))</f>
        <v/>
      </c>
      <c r="L1099" s="16"/>
      <c r="M1099" s="8" t="str">
        <f t="shared" si="17"/>
        <v/>
      </c>
      <c r="N1099" s="9"/>
    </row>
    <row r="1100" spans="1:14" ht="15.75">
      <c r="A1100" s="11"/>
      <c r="B1100" s="9"/>
      <c r="C1100" s="12" t="str">
        <f>IF(B1100="","",IFERROR(INDEX('Cashier Roster'!$C$5:$C$64,MATCH(B1100,'Cashier Roster'!$B$5:$B$64,0)),"Not on roster"))</f>
        <v/>
      </c>
      <c r="D1100" s="12" t="str">
        <f>IF(B1100="","",IFERROR(INDEX('Cashier Roster'!$D$5:$D$64,MATCH(B1100,'Cashier Roster'!$B$5:$B$64,0)),""))</f>
        <v/>
      </c>
      <c r="E1100" s="13"/>
      <c r="F1100" s="14"/>
      <c r="G1100" s="8" t="str">
        <f>IF(OR(B1100="",E1100=""),"",IF(E1100="No","Missed",IF(F1100="","",IF(F1100&lt;=Settings!$B$7,"On time","Late"))))</f>
        <v/>
      </c>
      <c r="H1100" s="15"/>
      <c r="I1100" s="16"/>
      <c r="J1100" s="16"/>
      <c r="K1100" s="17" t="str">
        <f>IF(J1100="","",ROUND(J1100*Settings!$B$8,2))</f>
        <v/>
      </c>
      <c r="L1100" s="16"/>
      <c r="M1100" s="8" t="str">
        <f t="shared" si="17"/>
        <v/>
      </c>
      <c r="N1100" s="9"/>
    </row>
    <row r="1101" spans="1:14" ht="15.75">
      <c r="A1101" s="11"/>
      <c r="B1101" s="9"/>
      <c r="C1101" s="12" t="str">
        <f>IF(B1101="","",IFERROR(INDEX('Cashier Roster'!$C$5:$C$64,MATCH(B1101,'Cashier Roster'!$B$5:$B$64,0)),"Not on roster"))</f>
        <v/>
      </c>
      <c r="D1101" s="12" t="str">
        <f>IF(B1101="","",IFERROR(INDEX('Cashier Roster'!$D$5:$D$64,MATCH(B1101,'Cashier Roster'!$B$5:$B$64,0)),""))</f>
        <v/>
      </c>
      <c r="E1101" s="13"/>
      <c r="F1101" s="14"/>
      <c r="G1101" s="8" t="str">
        <f>IF(OR(B1101="",E1101=""),"",IF(E1101="No","Missed",IF(F1101="","",IF(F1101&lt;=Settings!$B$7,"On time","Late"))))</f>
        <v/>
      </c>
      <c r="H1101" s="15"/>
      <c r="I1101" s="16"/>
      <c r="J1101" s="16"/>
      <c r="K1101" s="17" t="str">
        <f>IF(J1101="","",ROUND(J1101*Settings!$B$8,2))</f>
        <v/>
      </c>
      <c r="L1101" s="16"/>
      <c r="M1101" s="8" t="str">
        <f t="shared" si="17"/>
        <v/>
      </c>
      <c r="N1101" s="9"/>
    </row>
    <row r="1102" spans="1:14" ht="15.75">
      <c r="A1102" s="11"/>
      <c r="B1102" s="9"/>
      <c r="C1102" s="12" t="str">
        <f>IF(B1102="","",IFERROR(INDEX('Cashier Roster'!$C$5:$C$64,MATCH(B1102,'Cashier Roster'!$B$5:$B$64,0)),"Not on roster"))</f>
        <v/>
      </c>
      <c r="D1102" s="12" t="str">
        <f>IF(B1102="","",IFERROR(INDEX('Cashier Roster'!$D$5:$D$64,MATCH(B1102,'Cashier Roster'!$B$5:$B$64,0)),""))</f>
        <v/>
      </c>
      <c r="E1102" s="13"/>
      <c r="F1102" s="14"/>
      <c r="G1102" s="8" t="str">
        <f>IF(OR(B1102="",E1102=""),"",IF(E1102="No","Missed",IF(F1102="","",IF(F1102&lt;=Settings!$B$7,"On time","Late"))))</f>
        <v/>
      </c>
      <c r="H1102" s="15"/>
      <c r="I1102" s="16"/>
      <c r="J1102" s="16"/>
      <c r="K1102" s="17" t="str">
        <f>IF(J1102="","",ROUND(J1102*Settings!$B$8,2))</f>
        <v/>
      </c>
      <c r="L1102" s="16"/>
      <c r="M1102" s="8" t="str">
        <f t="shared" si="17"/>
        <v/>
      </c>
      <c r="N1102" s="9"/>
    </row>
    <row r="1103" spans="1:14" ht="15.75">
      <c r="A1103" s="11"/>
      <c r="B1103" s="9"/>
      <c r="C1103" s="12" t="str">
        <f>IF(B1103="","",IFERROR(INDEX('Cashier Roster'!$C$5:$C$64,MATCH(B1103,'Cashier Roster'!$B$5:$B$64,0)),"Not on roster"))</f>
        <v/>
      </c>
      <c r="D1103" s="12" t="str">
        <f>IF(B1103="","",IFERROR(INDEX('Cashier Roster'!$D$5:$D$64,MATCH(B1103,'Cashier Roster'!$B$5:$B$64,0)),""))</f>
        <v/>
      </c>
      <c r="E1103" s="13"/>
      <c r="F1103" s="14"/>
      <c r="G1103" s="8" t="str">
        <f>IF(OR(B1103="",E1103=""),"",IF(E1103="No","Missed",IF(F1103="","",IF(F1103&lt;=Settings!$B$7,"On time","Late"))))</f>
        <v/>
      </c>
      <c r="H1103" s="15"/>
      <c r="I1103" s="16"/>
      <c r="J1103" s="16"/>
      <c r="K1103" s="17" t="str">
        <f>IF(J1103="","",ROUND(J1103*Settings!$B$8,2))</f>
        <v/>
      </c>
      <c r="L1103" s="16"/>
      <c r="M1103" s="8" t="str">
        <f t="shared" si="17"/>
        <v/>
      </c>
      <c r="N1103" s="9"/>
    </row>
    <row r="1104" spans="1:14" ht="15.75">
      <c r="A1104" s="11"/>
      <c r="B1104" s="9"/>
      <c r="C1104" s="12" t="str">
        <f>IF(B1104="","",IFERROR(INDEX('Cashier Roster'!$C$5:$C$64,MATCH(B1104,'Cashier Roster'!$B$5:$B$64,0)),"Not on roster"))</f>
        <v/>
      </c>
      <c r="D1104" s="12" t="str">
        <f>IF(B1104="","",IFERROR(INDEX('Cashier Roster'!$D$5:$D$64,MATCH(B1104,'Cashier Roster'!$B$5:$B$64,0)),""))</f>
        <v/>
      </c>
      <c r="E1104" s="13"/>
      <c r="F1104" s="14"/>
      <c r="G1104" s="8" t="str">
        <f>IF(OR(B1104="",E1104=""),"",IF(E1104="No","Missed",IF(F1104="","",IF(F1104&lt;=Settings!$B$7,"On time","Late"))))</f>
        <v/>
      </c>
      <c r="H1104" s="15"/>
      <c r="I1104" s="16"/>
      <c r="J1104" s="16"/>
      <c r="K1104" s="17" t="str">
        <f>IF(J1104="","",ROUND(J1104*Settings!$B$8,2))</f>
        <v/>
      </c>
      <c r="L1104" s="16"/>
      <c r="M1104" s="8" t="str">
        <f t="shared" si="17"/>
        <v/>
      </c>
      <c r="N1104" s="9"/>
    </row>
    <row r="1105" spans="1:14" ht="15.75">
      <c r="A1105" s="11"/>
      <c r="B1105" s="9"/>
      <c r="C1105" s="12" t="str">
        <f>IF(B1105="","",IFERROR(INDEX('Cashier Roster'!$C$5:$C$64,MATCH(B1105,'Cashier Roster'!$B$5:$B$64,0)),"Not on roster"))</f>
        <v/>
      </c>
      <c r="D1105" s="12" t="str">
        <f>IF(B1105="","",IFERROR(INDEX('Cashier Roster'!$D$5:$D$64,MATCH(B1105,'Cashier Roster'!$B$5:$B$64,0)),""))</f>
        <v/>
      </c>
      <c r="E1105" s="13"/>
      <c r="F1105" s="14"/>
      <c r="G1105" s="8" t="str">
        <f>IF(OR(B1105="",E1105=""),"",IF(E1105="No","Missed",IF(F1105="","",IF(F1105&lt;=Settings!$B$7,"On time","Late"))))</f>
        <v/>
      </c>
      <c r="H1105" s="15"/>
      <c r="I1105" s="16"/>
      <c r="J1105" s="16"/>
      <c r="K1105" s="17" t="str">
        <f>IF(J1105="","",ROUND(J1105*Settings!$B$8,2))</f>
        <v/>
      </c>
      <c r="L1105" s="16"/>
      <c r="M1105" s="8" t="str">
        <f t="shared" si="17"/>
        <v/>
      </c>
      <c r="N1105" s="9"/>
    </row>
    <row r="1106" spans="1:14" ht="15.75">
      <c r="A1106" s="11"/>
      <c r="B1106" s="9"/>
      <c r="C1106" s="12" t="str">
        <f>IF(B1106="","",IFERROR(INDEX('Cashier Roster'!$C$5:$C$64,MATCH(B1106,'Cashier Roster'!$B$5:$B$64,0)),"Not on roster"))</f>
        <v/>
      </c>
      <c r="D1106" s="12" t="str">
        <f>IF(B1106="","",IFERROR(INDEX('Cashier Roster'!$D$5:$D$64,MATCH(B1106,'Cashier Roster'!$B$5:$B$64,0)),""))</f>
        <v/>
      </c>
      <c r="E1106" s="13"/>
      <c r="F1106" s="14"/>
      <c r="G1106" s="8" t="str">
        <f>IF(OR(B1106="",E1106=""),"",IF(E1106="No","Missed",IF(F1106="","",IF(F1106&lt;=Settings!$B$7,"On time","Late"))))</f>
        <v/>
      </c>
      <c r="H1106" s="15"/>
      <c r="I1106" s="16"/>
      <c r="J1106" s="16"/>
      <c r="K1106" s="17" t="str">
        <f>IF(J1106="","",ROUND(J1106*Settings!$B$8,2))</f>
        <v/>
      </c>
      <c r="L1106" s="16"/>
      <c r="M1106" s="8" t="str">
        <f t="shared" si="17"/>
        <v/>
      </c>
      <c r="N1106" s="9"/>
    </row>
    <row r="1107" spans="1:14" ht="15.75">
      <c r="A1107" s="11"/>
      <c r="B1107" s="9"/>
      <c r="C1107" s="12" t="str">
        <f>IF(B1107="","",IFERROR(INDEX('Cashier Roster'!$C$5:$C$64,MATCH(B1107,'Cashier Roster'!$B$5:$B$64,0)),"Not on roster"))</f>
        <v/>
      </c>
      <c r="D1107" s="12" t="str">
        <f>IF(B1107="","",IFERROR(INDEX('Cashier Roster'!$D$5:$D$64,MATCH(B1107,'Cashier Roster'!$B$5:$B$64,0)),""))</f>
        <v/>
      </c>
      <c r="E1107" s="13"/>
      <c r="F1107" s="14"/>
      <c r="G1107" s="8" t="str">
        <f>IF(OR(B1107="",E1107=""),"",IF(E1107="No","Missed",IF(F1107="","",IF(F1107&lt;=Settings!$B$7,"On time","Late"))))</f>
        <v/>
      </c>
      <c r="H1107" s="15"/>
      <c r="I1107" s="16"/>
      <c r="J1107" s="16"/>
      <c r="K1107" s="17" t="str">
        <f>IF(J1107="","",ROUND(J1107*Settings!$B$8,2))</f>
        <v/>
      </c>
      <c r="L1107" s="16"/>
      <c r="M1107" s="8" t="str">
        <f t="shared" si="17"/>
        <v/>
      </c>
      <c r="N1107" s="9"/>
    </row>
    <row r="1108" spans="1:14" ht="15.75">
      <c r="A1108" s="11"/>
      <c r="B1108" s="9"/>
      <c r="C1108" s="12" t="str">
        <f>IF(B1108="","",IFERROR(INDEX('Cashier Roster'!$C$5:$C$64,MATCH(B1108,'Cashier Roster'!$B$5:$B$64,0)),"Not on roster"))</f>
        <v/>
      </c>
      <c r="D1108" s="12" t="str">
        <f>IF(B1108="","",IFERROR(INDEX('Cashier Roster'!$D$5:$D$64,MATCH(B1108,'Cashier Roster'!$B$5:$B$64,0)),""))</f>
        <v/>
      </c>
      <c r="E1108" s="13"/>
      <c r="F1108" s="14"/>
      <c r="G1108" s="8" t="str">
        <f>IF(OR(B1108="",E1108=""),"",IF(E1108="No","Missed",IF(F1108="","",IF(F1108&lt;=Settings!$B$7,"On time","Late"))))</f>
        <v/>
      </c>
      <c r="H1108" s="15"/>
      <c r="I1108" s="16"/>
      <c r="J1108" s="16"/>
      <c r="K1108" s="17" t="str">
        <f>IF(J1108="","",ROUND(J1108*Settings!$B$8,2))</f>
        <v/>
      </c>
      <c r="L1108" s="16"/>
      <c r="M1108" s="8" t="str">
        <f t="shared" si="17"/>
        <v/>
      </c>
      <c r="N1108" s="9"/>
    </row>
    <row r="1109" spans="1:14" ht="15.75">
      <c r="A1109" s="11"/>
      <c r="B1109" s="9"/>
      <c r="C1109" s="12" t="str">
        <f>IF(B1109="","",IFERROR(INDEX('Cashier Roster'!$C$5:$C$64,MATCH(B1109,'Cashier Roster'!$B$5:$B$64,0)),"Not on roster"))</f>
        <v/>
      </c>
      <c r="D1109" s="12" t="str">
        <f>IF(B1109="","",IFERROR(INDEX('Cashier Roster'!$D$5:$D$64,MATCH(B1109,'Cashier Roster'!$B$5:$B$64,0)),""))</f>
        <v/>
      </c>
      <c r="E1109" s="13"/>
      <c r="F1109" s="14"/>
      <c r="G1109" s="8" t="str">
        <f>IF(OR(B1109="",E1109=""),"",IF(E1109="No","Missed",IF(F1109="","",IF(F1109&lt;=Settings!$B$7,"On time","Late"))))</f>
        <v/>
      </c>
      <c r="H1109" s="15"/>
      <c r="I1109" s="16"/>
      <c r="J1109" s="16"/>
      <c r="K1109" s="17" t="str">
        <f>IF(J1109="","",ROUND(J1109*Settings!$B$8,2))</f>
        <v/>
      </c>
      <c r="L1109" s="16"/>
      <c r="M1109" s="8" t="str">
        <f t="shared" si="17"/>
        <v/>
      </c>
      <c r="N1109" s="9"/>
    </row>
    <row r="1110" spans="1:14" ht="15.75">
      <c r="A1110" s="11"/>
      <c r="B1110" s="9"/>
      <c r="C1110" s="12" t="str">
        <f>IF(B1110="","",IFERROR(INDEX('Cashier Roster'!$C$5:$C$64,MATCH(B1110,'Cashier Roster'!$B$5:$B$64,0)),"Not on roster"))</f>
        <v/>
      </c>
      <c r="D1110" s="12" t="str">
        <f>IF(B1110="","",IFERROR(INDEX('Cashier Roster'!$D$5:$D$64,MATCH(B1110,'Cashier Roster'!$B$5:$B$64,0)),""))</f>
        <v/>
      </c>
      <c r="E1110" s="13"/>
      <c r="F1110" s="14"/>
      <c r="G1110" s="8" t="str">
        <f>IF(OR(B1110="",E1110=""),"",IF(E1110="No","Missed",IF(F1110="","",IF(F1110&lt;=Settings!$B$7,"On time","Late"))))</f>
        <v/>
      </c>
      <c r="H1110" s="15"/>
      <c r="I1110" s="16"/>
      <c r="J1110" s="16"/>
      <c r="K1110" s="17" t="str">
        <f>IF(J1110="","",ROUND(J1110*Settings!$B$8,2))</f>
        <v/>
      </c>
      <c r="L1110" s="16"/>
      <c r="M1110" s="8" t="str">
        <f t="shared" si="17"/>
        <v/>
      </c>
      <c r="N1110" s="9"/>
    </row>
    <row r="1111" spans="1:14" ht="15.75">
      <c r="A1111" s="11"/>
      <c r="B1111" s="9"/>
      <c r="C1111" s="12" t="str">
        <f>IF(B1111="","",IFERROR(INDEX('Cashier Roster'!$C$5:$C$64,MATCH(B1111,'Cashier Roster'!$B$5:$B$64,0)),"Not on roster"))</f>
        <v/>
      </c>
      <c r="D1111" s="12" t="str">
        <f>IF(B1111="","",IFERROR(INDEX('Cashier Roster'!$D$5:$D$64,MATCH(B1111,'Cashier Roster'!$B$5:$B$64,0)),""))</f>
        <v/>
      </c>
      <c r="E1111" s="13"/>
      <c r="F1111" s="14"/>
      <c r="G1111" s="8" t="str">
        <f>IF(OR(B1111="",E1111=""),"",IF(E1111="No","Missed",IF(F1111="","",IF(F1111&lt;=Settings!$B$7,"On time","Late"))))</f>
        <v/>
      </c>
      <c r="H1111" s="15"/>
      <c r="I1111" s="16"/>
      <c r="J1111" s="16"/>
      <c r="K1111" s="17" t="str">
        <f>IF(J1111="","",ROUND(J1111*Settings!$B$8,2))</f>
        <v/>
      </c>
      <c r="L1111" s="16"/>
      <c r="M1111" s="8" t="str">
        <f t="shared" si="17"/>
        <v/>
      </c>
      <c r="N1111" s="9"/>
    </row>
    <row r="1112" spans="1:14" ht="15.75">
      <c r="A1112" s="11"/>
      <c r="B1112" s="9"/>
      <c r="C1112" s="12" t="str">
        <f>IF(B1112="","",IFERROR(INDEX('Cashier Roster'!$C$5:$C$64,MATCH(B1112,'Cashier Roster'!$B$5:$B$64,0)),"Not on roster"))</f>
        <v/>
      </c>
      <c r="D1112" s="12" t="str">
        <f>IF(B1112="","",IFERROR(INDEX('Cashier Roster'!$D$5:$D$64,MATCH(B1112,'Cashier Roster'!$B$5:$B$64,0)),""))</f>
        <v/>
      </c>
      <c r="E1112" s="13"/>
      <c r="F1112" s="14"/>
      <c r="G1112" s="8" t="str">
        <f>IF(OR(B1112="",E1112=""),"",IF(E1112="No","Missed",IF(F1112="","",IF(F1112&lt;=Settings!$B$7,"On time","Late"))))</f>
        <v/>
      </c>
      <c r="H1112" s="15"/>
      <c r="I1112" s="16"/>
      <c r="J1112" s="16"/>
      <c r="K1112" s="17" t="str">
        <f>IF(J1112="","",ROUND(J1112*Settings!$B$8,2))</f>
        <v/>
      </c>
      <c r="L1112" s="16"/>
      <c r="M1112" s="8" t="str">
        <f t="shared" si="17"/>
        <v/>
      </c>
      <c r="N1112" s="9"/>
    </row>
    <row r="1113" spans="1:14" ht="15.75">
      <c r="A1113" s="11"/>
      <c r="B1113" s="9"/>
      <c r="C1113" s="12" t="str">
        <f>IF(B1113="","",IFERROR(INDEX('Cashier Roster'!$C$5:$C$64,MATCH(B1113,'Cashier Roster'!$B$5:$B$64,0)),"Not on roster"))</f>
        <v/>
      </c>
      <c r="D1113" s="12" t="str">
        <f>IF(B1113="","",IFERROR(INDEX('Cashier Roster'!$D$5:$D$64,MATCH(B1113,'Cashier Roster'!$B$5:$B$64,0)),""))</f>
        <v/>
      </c>
      <c r="E1113" s="13"/>
      <c r="F1113" s="14"/>
      <c r="G1113" s="8" t="str">
        <f>IF(OR(B1113="",E1113=""),"",IF(E1113="No","Missed",IF(F1113="","",IF(F1113&lt;=Settings!$B$7,"On time","Late"))))</f>
        <v/>
      </c>
      <c r="H1113" s="15"/>
      <c r="I1113" s="16"/>
      <c r="J1113" s="16"/>
      <c r="K1113" s="17" t="str">
        <f>IF(J1113="","",ROUND(J1113*Settings!$B$8,2))</f>
        <v/>
      </c>
      <c r="L1113" s="16"/>
      <c r="M1113" s="8" t="str">
        <f t="shared" si="17"/>
        <v/>
      </c>
      <c r="N1113" s="9"/>
    </row>
    <row r="1114" spans="1:14" ht="15.75">
      <c r="A1114" s="11"/>
      <c r="B1114" s="9"/>
      <c r="C1114" s="12" t="str">
        <f>IF(B1114="","",IFERROR(INDEX('Cashier Roster'!$C$5:$C$64,MATCH(B1114,'Cashier Roster'!$B$5:$B$64,0)),"Not on roster"))</f>
        <v/>
      </c>
      <c r="D1114" s="12" t="str">
        <f>IF(B1114="","",IFERROR(INDEX('Cashier Roster'!$D$5:$D$64,MATCH(B1114,'Cashier Roster'!$B$5:$B$64,0)),""))</f>
        <v/>
      </c>
      <c r="E1114" s="13"/>
      <c r="F1114" s="14"/>
      <c r="G1114" s="8" t="str">
        <f>IF(OR(B1114="",E1114=""),"",IF(E1114="No","Missed",IF(F1114="","",IF(F1114&lt;=Settings!$B$7,"On time","Late"))))</f>
        <v/>
      </c>
      <c r="H1114" s="15"/>
      <c r="I1114" s="16"/>
      <c r="J1114" s="16"/>
      <c r="K1114" s="17" t="str">
        <f>IF(J1114="","",ROUND(J1114*Settings!$B$8,2))</f>
        <v/>
      </c>
      <c r="L1114" s="16"/>
      <c r="M1114" s="8" t="str">
        <f t="shared" si="17"/>
        <v/>
      </c>
      <c r="N1114" s="9"/>
    </row>
    <row r="1115" spans="1:14" ht="15.75">
      <c r="A1115" s="11"/>
      <c r="B1115" s="9"/>
      <c r="C1115" s="12" t="str">
        <f>IF(B1115="","",IFERROR(INDEX('Cashier Roster'!$C$5:$C$64,MATCH(B1115,'Cashier Roster'!$B$5:$B$64,0)),"Not on roster"))</f>
        <v/>
      </c>
      <c r="D1115" s="12" t="str">
        <f>IF(B1115="","",IFERROR(INDEX('Cashier Roster'!$D$5:$D$64,MATCH(B1115,'Cashier Roster'!$B$5:$B$64,0)),""))</f>
        <v/>
      </c>
      <c r="E1115" s="13"/>
      <c r="F1115" s="14"/>
      <c r="G1115" s="8" t="str">
        <f>IF(OR(B1115="",E1115=""),"",IF(E1115="No","Missed",IF(F1115="","",IF(F1115&lt;=Settings!$B$7,"On time","Late"))))</f>
        <v/>
      </c>
      <c r="H1115" s="15"/>
      <c r="I1115" s="16"/>
      <c r="J1115" s="16"/>
      <c r="K1115" s="17" t="str">
        <f>IF(J1115="","",ROUND(J1115*Settings!$B$8,2))</f>
        <v/>
      </c>
      <c r="L1115" s="16"/>
      <c r="M1115" s="8" t="str">
        <f t="shared" si="17"/>
        <v/>
      </c>
      <c r="N1115" s="9"/>
    </row>
    <row r="1116" spans="1:14" ht="15.75">
      <c r="A1116" s="11"/>
      <c r="B1116" s="9"/>
      <c r="C1116" s="12" t="str">
        <f>IF(B1116="","",IFERROR(INDEX('Cashier Roster'!$C$5:$C$64,MATCH(B1116,'Cashier Roster'!$B$5:$B$64,0)),"Not on roster"))</f>
        <v/>
      </c>
      <c r="D1116" s="12" t="str">
        <f>IF(B1116="","",IFERROR(INDEX('Cashier Roster'!$D$5:$D$64,MATCH(B1116,'Cashier Roster'!$B$5:$B$64,0)),""))</f>
        <v/>
      </c>
      <c r="E1116" s="13"/>
      <c r="F1116" s="14"/>
      <c r="G1116" s="8" t="str">
        <f>IF(OR(B1116="",E1116=""),"",IF(E1116="No","Missed",IF(F1116="","",IF(F1116&lt;=Settings!$B$7,"On time","Late"))))</f>
        <v/>
      </c>
      <c r="H1116" s="15"/>
      <c r="I1116" s="16"/>
      <c r="J1116" s="16"/>
      <c r="K1116" s="17" t="str">
        <f>IF(J1116="","",ROUND(J1116*Settings!$B$8,2))</f>
        <v/>
      </c>
      <c r="L1116" s="16"/>
      <c r="M1116" s="8" t="str">
        <f t="shared" si="17"/>
        <v/>
      </c>
      <c r="N1116" s="9"/>
    </row>
    <row r="1117" spans="1:14" ht="15.75">
      <c r="A1117" s="11"/>
      <c r="B1117" s="9"/>
      <c r="C1117" s="12" t="str">
        <f>IF(B1117="","",IFERROR(INDEX('Cashier Roster'!$C$5:$C$64,MATCH(B1117,'Cashier Roster'!$B$5:$B$64,0)),"Not on roster"))</f>
        <v/>
      </c>
      <c r="D1117" s="12" t="str">
        <f>IF(B1117="","",IFERROR(INDEX('Cashier Roster'!$D$5:$D$64,MATCH(B1117,'Cashier Roster'!$B$5:$B$64,0)),""))</f>
        <v/>
      </c>
      <c r="E1117" s="13"/>
      <c r="F1117" s="14"/>
      <c r="G1117" s="8" t="str">
        <f>IF(OR(B1117="",E1117=""),"",IF(E1117="No","Missed",IF(F1117="","",IF(F1117&lt;=Settings!$B$7,"On time","Late"))))</f>
        <v/>
      </c>
      <c r="H1117" s="15"/>
      <c r="I1117" s="16"/>
      <c r="J1117" s="16"/>
      <c r="K1117" s="17" t="str">
        <f>IF(J1117="","",ROUND(J1117*Settings!$B$8,2))</f>
        <v/>
      </c>
      <c r="L1117" s="16"/>
      <c r="M1117" s="8" t="str">
        <f t="shared" si="17"/>
        <v/>
      </c>
      <c r="N1117" s="9"/>
    </row>
    <row r="1118" spans="1:14" ht="15.75">
      <c r="A1118" s="11"/>
      <c r="B1118" s="9"/>
      <c r="C1118" s="12" t="str">
        <f>IF(B1118="","",IFERROR(INDEX('Cashier Roster'!$C$5:$C$64,MATCH(B1118,'Cashier Roster'!$B$5:$B$64,0)),"Not on roster"))</f>
        <v/>
      </c>
      <c r="D1118" s="12" t="str">
        <f>IF(B1118="","",IFERROR(INDEX('Cashier Roster'!$D$5:$D$64,MATCH(B1118,'Cashier Roster'!$B$5:$B$64,0)),""))</f>
        <v/>
      </c>
      <c r="E1118" s="13"/>
      <c r="F1118" s="14"/>
      <c r="G1118" s="8" t="str">
        <f>IF(OR(B1118="",E1118=""),"",IF(E1118="No","Missed",IF(F1118="","",IF(F1118&lt;=Settings!$B$7,"On time","Late"))))</f>
        <v/>
      </c>
      <c r="H1118" s="15"/>
      <c r="I1118" s="16"/>
      <c r="J1118" s="16"/>
      <c r="K1118" s="17" t="str">
        <f>IF(J1118="","",ROUND(J1118*Settings!$B$8,2))</f>
        <v/>
      </c>
      <c r="L1118" s="16"/>
      <c r="M1118" s="8" t="str">
        <f t="shared" si="17"/>
        <v/>
      </c>
      <c r="N1118" s="9"/>
    </row>
    <row r="1119" spans="1:14" ht="15.75">
      <c r="A1119" s="11"/>
      <c r="B1119" s="9"/>
      <c r="C1119" s="12" t="str">
        <f>IF(B1119="","",IFERROR(INDEX('Cashier Roster'!$C$5:$C$64,MATCH(B1119,'Cashier Roster'!$B$5:$B$64,0)),"Not on roster"))</f>
        <v/>
      </c>
      <c r="D1119" s="12" t="str">
        <f>IF(B1119="","",IFERROR(INDEX('Cashier Roster'!$D$5:$D$64,MATCH(B1119,'Cashier Roster'!$B$5:$B$64,0)),""))</f>
        <v/>
      </c>
      <c r="E1119" s="13"/>
      <c r="F1119" s="14"/>
      <c r="G1119" s="8" t="str">
        <f>IF(OR(B1119="",E1119=""),"",IF(E1119="No","Missed",IF(F1119="","",IF(F1119&lt;=Settings!$B$7,"On time","Late"))))</f>
        <v/>
      </c>
      <c r="H1119" s="15"/>
      <c r="I1119" s="16"/>
      <c r="J1119" s="16"/>
      <c r="K1119" s="17" t="str">
        <f>IF(J1119="","",ROUND(J1119*Settings!$B$8,2))</f>
        <v/>
      </c>
      <c r="L1119" s="16"/>
      <c r="M1119" s="8" t="str">
        <f t="shared" si="17"/>
        <v/>
      </c>
      <c r="N1119" s="9"/>
    </row>
    <row r="1120" spans="1:14" ht="15.75">
      <c r="A1120" s="11"/>
      <c r="B1120" s="9"/>
      <c r="C1120" s="12" t="str">
        <f>IF(B1120="","",IFERROR(INDEX('Cashier Roster'!$C$5:$C$64,MATCH(B1120,'Cashier Roster'!$B$5:$B$64,0)),"Not on roster"))</f>
        <v/>
      </c>
      <c r="D1120" s="12" t="str">
        <f>IF(B1120="","",IFERROR(INDEX('Cashier Roster'!$D$5:$D$64,MATCH(B1120,'Cashier Roster'!$B$5:$B$64,0)),""))</f>
        <v/>
      </c>
      <c r="E1120" s="13"/>
      <c r="F1120" s="14"/>
      <c r="G1120" s="8" t="str">
        <f>IF(OR(B1120="",E1120=""),"",IF(E1120="No","Missed",IF(F1120="","",IF(F1120&lt;=Settings!$B$7,"On time","Late"))))</f>
        <v/>
      </c>
      <c r="H1120" s="15"/>
      <c r="I1120" s="16"/>
      <c r="J1120" s="16"/>
      <c r="K1120" s="17" t="str">
        <f>IF(J1120="","",ROUND(J1120*Settings!$B$8,2))</f>
        <v/>
      </c>
      <c r="L1120" s="16"/>
      <c r="M1120" s="8" t="str">
        <f t="shared" si="17"/>
        <v/>
      </c>
      <c r="N1120" s="9"/>
    </row>
    <row r="1121" spans="1:14" ht="15.75">
      <c r="A1121" s="11"/>
      <c r="B1121" s="9"/>
      <c r="C1121" s="12" t="str">
        <f>IF(B1121="","",IFERROR(INDEX('Cashier Roster'!$C$5:$C$64,MATCH(B1121,'Cashier Roster'!$B$5:$B$64,0)),"Not on roster"))</f>
        <v/>
      </c>
      <c r="D1121" s="12" t="str">
        <f>IF(B1121="","",IFERROR(INDEX('Cashier Roster'!$D$5:$D$64,MATCH(B1121,'Cashier Roster'!$B$5:$B$64,0)),""))</f>
        <v/>
      </c>
      <c r="E1121" s="13"/>
      <c r="F1121" s="14"/>
      <c r="G1121" s="8" t="str">
        <f>IF(OR(B1121="",E1121=""),"",IF(E1121="No","Missed",IF(F1121="","",IF(F1121&lt;=Settings!$B$7,"On time","Late"))))</f>
        <v/>
      </c>
      <c r="H1121" s="15"/>
      <c r="I1121" s="16"/>
      <c r="J1121" s="16"/>
      <c r="K1121" s="17" t="str">
        <f>IF(J1121="","",ROUND(J1121*Settings!$B$8,2))</f>
        <v/>
      </c>
      <c r="L1121" s="16"/>
      <c r="M1121" s="8" t="str">
        <f t="shared" si="17"/>
        <v/>
      </c>
      <c r="N1121" s="9"/>
    </row>
    <row r="1122" spans="1:14" ht="15.75">
      <c r="A1122" s="11"/>
      <c r="B1122" s="9"/>
      <c r="C1122" s="12" t="str">
        <f>IF(B1122="","",IFERROR(INDEX('Cashier Roster'!$C$5:$C$64,MATCH(B1122,'Cashier Roster'!$B$5:$B$64,0)),"Not on roster"))</f>
        <v/>
      </c>
      <c r="D1122" s="12" t="str">
        <f>IF(B1122="","",IFERROR(INDEX('Cashier Roster'!$D$5:$D$64,MATCH(B1122,'Cashier Roster'!$B$5:$B$64,0)),""))</f>
        <v/>
      </c>
      <c r="E1122" s="13"/>
      <c r="F1122" s="14"/>
      <c r="G1122" s="8" t="str">
        <f>IF(OR(B1122="",E1122=""),"",IF(E1122="No","Missed",IF(F1122="","",IF(F1122&lt;=Settings!$B$7,"On time","Late"))))</f>
        <v/>
      </c>
      <c r="H1122" s="15"/>
      <c r="I1122" s="16"/>
      <c r="J1122" s="16"/>
      <c r="K1122" s="17" t="str">
        <f>IF(J1122="","",ROUND(J1122*Settings!$B$8,2))</f>
        <v/>
      </c>
      <c r="L1122" s="16"/>
      <c r="M1122" s="8" t="str">
        <f t="shared" si="17"/>
        <v/>
      </c>
      <c r="N1122" s="9"/>
    </row>
    <row r="1123" spans="1:14" ht="15.75">
      <c r="A1123" s="11"/>
      <c r="B1123" s="9"/>
      <c r="C1123" s="12" t="str">
        <f>IF(B1123="","",IFERROR(INDEX('Cashier Roster'!$C$5:$C$64,MATCH(B1123,'Cashier Roster'!$B$5:$B$64,0)),"Not on roster"))</f>
        <v/>
      </c>
      <c r="D1123" s="12" t="str">
        <f>IF(B1123="","",IFERROR(INDEX('Cashier Roster'!$D$5:$D$64,MATCH(B1123,'Cashier Roster'!$B$5:$B$64,0)),""))</f>
        <v/>
      </c>
      <c r="E1123" s="13"/>
      <c r="F1123" s="14"/>
      <c r="G1123" s="8" t="str">
        <f>IF(OR(B1123="",E1123=""),"",IF(E1123="No","Missed",IF(F1123="","",IF(F1123&lt;=Settings!$B$7,"On time","Late"))))</f>
        <v/>
      </c>
      <c r="H1123" s="15"/>
      <c r="I1123" s="16"/>
      <c r="J1123" s="16"/>
      <c r="K1123" s="17" t="str">
        <f>IF(J1123="","",ROUND(J1123*Settings!$B$8,2))</f>
        <v/>
      </c>
      <c r="L1123" s="16"/>
      <c r="M1123" s="8" t="str">
        <f t="shared" si="17"/>
        <v/>
      </c>
      <c r="N1123" s="9"/>
    </row>
    <row r="1124" spans="1:14" ht="15.75">
      <c r="A1124" s="11"/>
      <c r="B1124" s="9"/>
      <c r="C1124" s="12" t="str">
        <f>IF(B1124="","",IFERROR(INDEX('Cashier Roster'!$C$5:$C$64,MATCH(B1124,'Cashier Roster'!$B$5:$B$64,0)),"Not on roster"))</f>
        <v/>
      </c>
      <c r="D1124" s="12" t="str">
        <f>IF(B1124="","",IFERROR(INDEX('Cashier Roster'!$D$5:$D$64,MATCH(B1124,'Cashier Roster'!$B$5:$B$64,0)),""))</f>
        <v/>
      </c>
      <c r="E1124" s="13"/>
      <c r="F1124" s="14"/>
      <c r="G1124" s="8" t="str">
        <f>IF(OR(B1124="",E1124=""),"",IF(E1124="No","Missed",IF(F1124="","",IF(F1124&lt;=Settings!$B$7,"On time","Late"))))</f>
        <v/>
      </c>
      <c r="H1124" s="15"/>
      <c r="I1124" s="16"/>
      <c r="J1124" s="16"/>
      <c r="K1124" s="17" t="str">
        <f>IF(J1124="","",ROUND(J1124*Settings!$B$8,2))</f>
        <v/>
      </c>
      <c r="L1124" s="16"/>
      <c r="M1124" s="8" t="str">
        <f t="shared" si="17"/>
        <v/>
      </c>
      <c r="N1124" s="9"/>
    </row>
    <row r="1125" spans="1:14" ht="15.75">
      <c r="A1125" s="11"/>
      <c r="B1125" s="9"/>
      <c r="C1125" s="12" t="str">
        <f>IF(B1125="","",IFERROR(INDEX('Cashier Roster'!$C$5:$C$64,MATCH(B1125,'Cashier Roster'!$B$5:$B$64,0)),"Not on roster"))</f>
        <v/>
      </c>
      <c r="D1125" s="12" t="str">
        <f>IF(B1125="","",IFERROR(INDEX('Cashier Roster'!$D$5:$D$64,MATCH(B1125,'Cashier Roster'!$B$5:$B$64,0)),""))</f>
        <v/>
      </c>
      <c r="E1125" s="13"/>
      <c r="F1125" s="14"/>
      <c r="G1125" s="8" t="str">
        <f>IF(OR(B1125="",E1125=""),"",IF(E1125="No","Missed",IF(F1125="","",IF(F1125&lt;=Settings!$B$7,"On time","Late"))))</f>
        <v/>
      </c>
      <c r="H1125" s="15"/>
      <c r="I1125" s="16"/>
      <c r="J1125" s="16"/>
      <c r="K1125" s="17" t="str">
        <f>IF(J1125="","",ROUND(J1125*Settings!$B$8,2))</f>
        <v/>
      </c>
      <c r="L1125" s="16"/>
      <c r="M1125" s="8" t="str">
        <f t="shared" si="17"/>
        <v/>
      </c>
      <c r="N1125" s="9"/>
    </row>
    <row r="1126" spans="1:14" ht="15.75">
      <c r="A1126" s="11"/>
      <c r="B1126" s="9"/>
      <c r="C1126" s="12" t="str">
        <f>IF(B1126="","",IFERROR(INDEX('Cashier Roster'!$C$5:$C$64,MATCH(B1126,'Cashier Roster'!$B$5:$B$64,0)),"Not on roster"))</f>
        <v/>
      </c>
      <c r="D1126" s="12" t="str">
        <f>IF(B1126="","",IFERROR(INDEX('Cashier Roster'!$D$5:$D$64,MATCH(B1126,'Cashier Roster'!$B$5:$B$64,0)),""))</f>
        <v/>
      </c>
      <c r="E1126" s="13"/>
      <c r="F1126" s="14"/>
      <c r="G1126" s="8" t="str">
        <f>IF(OR(B1126="",E1126=""),"",IF(E1126="No","Missed",IF(F1126="","",IF(F1126&lt;=Settings!$B$7,"On time","Late"))))</f>
        <v/>
      </c>
      <c r="H1126" s="15"/>
      <c r="I1126" s="16"/>
      <c r="J1126" s="16"/>
      <c r="K1126" s="17" t="str">
        <f>IF(J1126="","",ROUND(J1126*Settings!$B$8,2))</f>
        <v/>
      </c>
      <c r="L1126" s="16"/>
      <c r="M1126" s="8" t="str">
        <f t="shared" si="17"/>
        <v/>
      </c>
      <c r="N1126" s="9"/>
    </row>
    <row r="1127" spans="1:14" ht="15.75">
      <c r="A1127" s="11"/>
      <c r="B1127" s="9"/>
      <c r="C1127" s="12" t="str">
        <f>IF(B1127="","",IFERROR(INDEX('Cashier Roster'!$C$5:$C$64,MATCH(B1127,'Cashier Roster'!$B$5:$B$64,0)),"Not on roster"))</f>
        <v/>
      </c>
      <c r="D1127" s="12" t="str">
        <f>IF(B1127="","",IFERROR(INDEX('Cashier Roster'!$D$5:$D$64,MATCH(B1127,'Cashier Roster'!$B$5:$B$64,0)),""))</f>
        <v/>
      </c>
      <c r="E1127" s="13"/>
      <c r="F1127" s="14"/>
      <c r="G1127" s="8" t="str">
        <f>IF(OR(B1127="",E1127=""),"",IF(E1127="No","Missed",IF(F1127="","",IF(F1127&lt;=Settings!$B$7,"On time","Late"))))</f>
        <v/>
      </c>
      <c r="H1127" s="15"/>
      <c r="I1127" s="16"/>
      <c r="J1127" s="16"/>
      <c r="K1127" s="17" t="str">
        <f>IF(J1127="","",ROUND(J1127*Settings!$B$8,2))</f>
        <v/>
      </c>
      <c r="L1127" s="16"/>
      <c r="M1127" s="8" t="str">
        <f t="shared" si="17"/>
        <v/>
      </c>
      <c r="N1127" s="9"/>
    </row>
    <row r="1128" spans="1:14" ht="15.75">
      <c r="A1128" s="11"/>
      <c r="B1128" s="9"/>
      <c r="C1128" s="12" t="str">
        <f>IF(B1128="","",IFERROR(INDEX('Cashier Roster'!$C$5:$C$64,MATCH(B1128,'Cashier Roster'!$B$5:$B$64,0)),"Not on roster"))</f>
        <v/>
      </c>
      <c r="D1128" s="12" t="str">
        <f>IF(B1128="","",IFERROR(INDEX('Cashier Roster'!$D$5:$D$64,MATCH(B1128,'Cashier Roster'!$B$5:$B$64,0)),""))</f>
        <v/>
      </c>
      <c r="E1128" s="13"/>
      <c r="F1128" s="14"/>
      <c r="G1128" s="8" t="str">
        <f>IF(OR(B1128="",E1128=""),"",IF(E1128="No","Missed",IF(F1128="","",IF(F1128&lt;=Settings!$B$7,"On time","Late"))))</f>
        <v/>
      </c>
      <c r="H1128" s="15"/>
      <c r="I1128" s="16"/>
      <c r="J1128" s="16"/>
      <c r="K1128" s="17" t="str">
        <f>IF(J1128="","",ROUND(J1128*Settings!$B$8,2))</f>
        <v/>
      </c>
      <c r="L1128" s="16"/>
      <c r="M1128" s="8" t="str">
        <f t="shared" si="17"/>
        <v/>
      </c>
      <c r="N1128" s="9"/>
    </row>
    <row r="1129" spans="1:14" ht="15.75">
      <c r="A1129" s="11"/>
      <c r="B1129" s="9"/>
      <c r="C1129" s="12" t="str">
        <f>IF(B1129="","",IFERROR(INDEX('Cashier Roster'!$C$5:$C$64,MATCH(B1129,'Cashier Roster'!$B$5:$B$64,0)),"Not on roster"))</f>
        <v/>
      </c>
      <c r="D1129" s="12" t="str">
        <f>IF(B1129="","",IFERROR(INDEX('Cashier Roster'!$D$5:$D$64,MATCH(B1129,'Cashier Roster'!$B$5:$B$64,0)),""))</f>
        <v/>
      </c>
      <c r="E1129" s="13"/>
      <c r="F1129" s="14"/>
      <c r="G1129" s="8" t="str">
        <f>IF(OR(B1129="",E1129=""),"",IF(E1129="No","Missed",IF(F1129="","",IF(F1129&lt;=Settings!$B$7,"On time","Late"))))</f>
        <v/>
      </c>
      <c r="H1129" s="15"/>
      <c r="I1129" s="16"/>
      <c r="J1129" s="16"/>
      <c r="K1129" s="17" t="str">
        <f>IF(J1129="","",ROUND(J1129*Settings!$B$8,2))</f>
        <v/>
      </c>
      <c r="L1129" s="16"/>
      <c r="M1129" s="8" t="str">
        <f t="shared" si="17"/>
        <v/>
      </c>
      <c r="N1129" s="9"/>
    </row>
    <row r="1130" spans="1:14" ht="15.75">
      <c r="A1130" s="11"/>
      <c r="B1130" s="9"/>
      <c r="C1130" s="12" t="str">
        <f>IF(B1130="","",IFERROR(INDEX('Cashier Roster'!$C$5:$C$64,MATCH(B1130,'Cashier Roster'!$B$5:$B$64,0)),"Not on roster"))</f>
        <v/>
      </c>
      <c r="D1130" s="12" t="str">
        <f>IF(B1130="","",IFERROR(INDEX('Cashier Roster'!$D$5:$D$64,MATCH(B1130,'Cashier Roster'!$B$5:$B$64,0)),""))</f>
        <v/>
      </c>
      <c r="E1130" s="13"/>
      <c r="F1130" s="14"/>
      <c r="G1130" s="8" t="str">
        <f>IF(OR(B1130="",E1130=""),"",IF(E1130="No","Missed",IF(F1130="","",IF(F1130&lt;=Settings!$B$7,"On time","Late"))))</f>
        <v/>
      </c>
      <c r="H1130" s="15"/>
      <c r="I1130" s="16"/>
      <c r="J1130" s="16"/>
      <c r="K1130" s="17" t="str">
        <f>IF(J1130="","",ROUND(J1130*Settings!$B$8,2))</f>
        <v/>
      </c>
      <c r="L1130" s="16"/>
      <c r="M1130" s="8" t="str">
        <f t="shared" si="17"/>
        <v/>
      </c>
      <c r="N1130" s="9"/>
    </row>
    <row r="1131" spans="1:14" ht="15.75">
      <c r="A1131" s="11"/>
      <c r="B1131" s="9"/>
      <c r="C1131" s="12" t="str">
        <f>IF(B1131="","",IFERROR(INDEX('Cashier Roster'!$C$5:$C$64,MATCH(B1131,'Cashier Roster'!$B$5:$B$64,0)),"Not on roster"))</f>
        <v/>
      </c>
      <c r="D1131" s="12" t="str">
        <f>IF(B1131="","",IFERROR(INDEX('Cashier Roster'!$D$5:$D$64,MATCH(B1131,'Cashier Roster'!$B$5:$B$64,0)),""))</f>
        <v/>
      </c>
      <c r="E1131" s="13"/>
      <c r="F1131" s="14"/>
      <c r="G1131" s="8" t="str">
        <f>IF(OR(B1131="",E1131=""),"",IF(E1131="No","Missed",IF(F1131="","",IF(F1131&lt;=Settings!$B$7,"On time","Late"))))</f>
        <v/>
      </c>
      <c r="H1131" s="15"/>
      <c r="I1131" s="16"/>
      <c r="J1131" s="16"/>
      <c r="K1131" s="17" t="str">
        <f>IF(J1131="","",ROUND(J1131*Settings!$B$8,2))</f>
        <v/>
      </c>
      <c r="L1131" s="16"/>
      <c r="M1131" s="8" t="str">
        <f t="shared" si="17"/>
        <v/>
      </c>
      <c r="N1131" s="9"/>
    </row>
    <row r="1132" spans="1:14" ht="15.75">
      <c r="A1132" s="11"/>
      <c r="B1132" s="9"/>
      <c r="C1132" s="12" t="str">
        <f>IF(B1132="","",IFERROR(INDEX('Cashier Roster'!$C$5:$C$64,MATCH(B1132,'Cashier Roster'!$B$5:$B$64,0)),"Not on roster"))</f>
        <v/>
      </c>
      <c r="D1132" s="12" t="str">
        <f>IF(B1132="","",IFERROR(INDEX('Cashier Roster'!$D$5:$D$64,MATCH(B1132,'Cashier Roster'!$B$5:$B$64,0)),""))</f>
        <v/>
      </c>
      <c r="E1132" s="13"/>
      <c r="F1132" s="14"/>
      <c r="G1132" s="8" t="str">
        <f>IF(OR(B1132="",E1132=""),"",IF(E1132="No","Missed",IF(F1132="","",IF(F1132&lt;=Settings!$B$7,"On time","Late"))))</f>
        <v/>
      </c>
      <c r="H1132" s="15"/>
      <c r="I1132" s="16"/>
      <c r="J1132" s="16"/>
      <c r="K1132" s="17" t="str">
        <f>IF(J1132="","",ROUND(J1132*Settings!$B$8,2))</f>
        <v/>
      </c>
      <c r="L1132" s="16"/>
      <c r="M1132" s="8" t="str">
        <f t="shared" si="17"/>
        <v/>
      </c>
      <c r="N1132" s="9"/>
    </row>
    <row r="1133" spans="1:14" ht="15.75">
      <c r="A1133" s="11"/>
      <c r="B1133" s="9"/>
      <c r="C1133" s="12" t="str">
        <f>IF(B1133="","",IFERROR(INDEX('Cashier Roster'!$C$5:$C$64,MATCH(B1133,'Cashier Roster'!$B$5:$B$64,0)),"Not on roster"))</f>
        <v/>
      </c>
      <c r="D1133" s="12" t="str">
        <f>IF(B1133="","",IFERROR(INDEX('Cashier Roster'!$D$5:$D$64,MATCH(B1133,'Cashier Roster'!$B$5:$B$64,0)),""))</f>
        <v/>
      </c>
      <c r="E1133" s="13"/>
      <c r="F1133" s="14"/>
      <c r="G1133" s="8" t="str">
        <f>IF(OR(B1133="",E1133=""),"",IF(E1133="No","Missed",IF(F1133="","",IF(F1133&lt;=Settings!$B$7,"On time","Late"))))</f>
        <v/>
      </c>
      <c r="H1133" s="15"/>
      <c r="I1133" s="16"/>
      <c r="J1133" s="16"/>
      <c r="K1133" s="17" t="str">
        <f>IF(J1133="","",ROUND(J1133*Settings!$B$8,2))</f>
        <v/>
      </c>
      <c r="L1133" s="16"/>
      <c r="M1133" s="8" t="str">
        <f t="shared" si="17"/>
        <v/>
      </c>
      <c r="N1133" s="9"/>
    </row>
    <row r="1134" spans="1:14" ht="15.75">
      <c r="A1134" s="11"/>
      <c r="B1134" s="9"/>
      <c r="C1134" s="12" t="str">
        <f>IF(B1134="","",IFERROR(INDEX('Cashier Roster'!$C$5:$C$64,MATCH(B1134,'Cashier Roster'!$B$5:$B$64,0)),"Not on roster"))</f>
        <v/>
      </c>
      <c r="D1134" s="12" t="str">
        <f>IF(B1134="","",IFERROR(INDEX('Cashier Roster'!$D$5:$D$64,MATCH(B1134,'Cashier Roster'!$B$5:$B$64,0)),""))</f>
        <v/>
      </c>
      <c r="E1134" s="13"/>
      <c r="F1134" s="14"/>
      <c r="G1134" s="8" t="str">
        <f>IF(OR(B1134="",E1134=""),"",IF(E1134="No","Missed",IF(F1134="","",IF(F1134&lt;=Settings!$B$7,"On time","Late"))))</f>
        <v/>
      </c>
      <c r="H1134" s="15"/>
      <c r="I1134" s="16"/>
      <c r="J1134" s="16"/>
      <c r="K1134" s="17" t="str">
        <f>IF(J1134="","",ROUND(J1134*Settings!$B$8,2))</f>
        <v/>
      </c>
      <c r="L1134" s="16"/>
      <c r="M1134" s="8" t="str">
        <f t="shared" si="17"/>
        <v/>
      </c>
      <c r="N1134" s="9"/>
    </row>
    <row r="1135" spans="1:14" ht="15.75">
      <c r="A1135" s="11"/>
      <c r="B1135" s="9"/>
      <c r="C1135" s="12" t="str">
        <f>IF(B1135="","",IFERROR(INDEX('Cashier Roster'!$C$5:$C$64,MATCH(B1135,'Cashier Roster'!$B$5:$B$64,0)),"Not on roster"))</f>
        <v/>
      </c>
      <c r="D1135" s="12" t="str">
        <f>IF(B1135="","",IFERROR(INDEX('Cashier Roster'!$D$5:$D$64,MATCH(B1135,'Cashier Roster'!$B$5:$B$64,0)),""))</f>
        <v/>
      </c>
      <c r="E1135" s="13"/>
      <c r="F1135" s="14"/>
      <c r="G1135" s="8" t="str">
        <f>IF(OR(B1135="",E1135=""),"",IF(E1135="No","Missed",IF(F1135="","",IF(F1135&lt;=Settings!$B$7,"On time","Late"))))</f>
        <v/>
      </c>
      <c r="H1135" s="15"/>
      <c r="I1135" s="16"/>
      <c r="J1135" s="16"/>
      <c r="K1135" s="17" t="str">
        <f>IF(J1135="","",ROUND(J1135*Settings!$B$8,2))</f>
        <v/>
      </c>
      <c r="L1135" s="16"/>
      <c r="M1135" s="8" t="str">
        <f t="shared" si="17"/>
        <v/>
      </c>
      <c r="N1135" s="9"/>
    </row>
    <row r="1136" spans="1:14" ht="15.75">
      <c r="A1136" s="11"/>
      <c r="B1136" s="9"/>
      <c r="C1136" s="12" t="str">
        <f>IF(B1136="","",IFERROR(INDEX('Cashier Roster'!$C$5:$C$64,MATCH(B1136,'Cashier Roster'!$B$5:$B$64,0)),"Not on roster"))</f>
        <v/>
      </c>
      <c r="D1136" s="12" t="str">
        <f>IF(B1136="","",IFERROR(INDEX('Cashier Roster'!$D$5:$D$64,MATCH(B1136,'Cashier Roster'!$B$5:$B$64,0)),""))</f>
        <v/>
      </c>
      <c r="E1136" s="13"/>
      <c r="F1136" s="14"/>
      <c r="G1136" s="8" t="str">
        <f>IF(OR(B1136="",E1136=""),"",IF(E1136="No","Missed",IF(F1136="","",IF(F1136&lt;=Settings!$B$7,"On time","Late"))))</f>
        <v/>
      </c>
      <c r="H1136" s="15"/>
      <c r="I1136" s="16"/>
      <c r="J1136" s="16"/>
      <c r="K1136" s="17" t="str">
        <f>IF(J1136="","",ROUND(J1136*Settings!$B$8,2))</f>
        <v/>
      </c>
      <c r="L1136" s="16"/>
      <c r="M1136" s="8" t="str">
        <f t="shared" si="17"/>
        <v/>
      </c>
      <c r="N1136" s="9"/>
    </row>
    <row r="1137" spans="1:14" ht="15.75">
      <c r="A1137" s="11"/>
      <c r="B1137" s="9"/>
      <c r="C1137" s="12" t="str">
        <f>IF(B1137="","",IFERROR(INDEX('Cashier Roster'!$C$5:$C$64,MATCH(B1137,'Cashier Roster'!$B$5:$B$64,0)),"Not on roster"))</f>
        <v/>
      </c>
      <c r="D1137" s="12" t="str">
        <f>IF(B1137="","",IFERROR(INDEX('Cashier Roster'!$D$5:$D$64,MATCH(B1137,'Cashier Roster'!$B$5:$B$64,0)),""))</f>
        <v/>
      </c>
      <c r="E1137" s="13"/>
      <c r="F1137" s="14"/>
      <c r="G1137" s="8" t="str">
        <f>IF(OR(B1137="",E1137=""),"",IF(E1137="No","Missed",IF(F1137="","",IF(F1137&lt;=Settings!$B$7,"On time","Late"))))</f>
        <v/>
      </c>
      <c r="H1137" s="15"/>
      <c r="I1137" s="16"/>
      <c r="J1137" s="16"/>
      <c r="K1137" s="17" t="str">
        <f>IF(J1137="","",ROUND(J1137*Settings!$B$8,2))</f>
        <v/>
      </c>
      <c r="L1137" s="16"/>
      <c r="M1137" s="8" t="str">
        <f t="shared" si="17"/>
        <v/>
      </c>
      <c r="N1137" s="9"/>
    </row>
    <row r="1138" spans="1:14" ht="15.75">
      <c r="A1138" s="11"/>
      <c r="B1138" s="9"/>
      <c r="C1138" s="12" t="str">
        <f>IF(B1138="","",IFERROR(INDEX('Cashier Roster'!$C$5:$C$64,MATCH(B1138,'Cashier Roster'!$B$5:$B$64,0)),"Not on roster"))</f>
        <v/>
      </c>
      <c r="D1138" s="12" t="str">
        <f>IF(B1138="","",IFERROR(INDEX('Cashier Roster'!$D$5:$D$64,MATCH(B1138,'Cashier Roster'!$B$5:$B$64,0)),""))</f>
        <v/>
      </c>
      <c r="E1138" s="13"/>
      <c r="F1138" s="14"/>
      <c r="G1138" s="8" t="str">
        <f>IF(OR(B1138="",E1138=""),"",IF(E1138="No","Missed",IF(F1138="","",IF(F1138&lt;=Settings!$B$7,"On time","Late"))))</f>
        <v/>
      </c>
      <c r="H1138" s="15"/>
      <c r="I1138" s="16"/>
      <c r="J1138" s="16"/>
      <c r="K1138" s="17" t="str">
        <f>IF(J1138="","",ROUND(J1138*Settings!$B$8,2))</f>
        <v/>
      </c>
      <c r="L1138" s="16"/>
      <c r="M1138" s="8" t="str">
        <f t="shared" si="17"/>
        <v/>
      </c>
      <c r="N1138" s="9"/>
    </row>
    <row r="1139" spans="1:14" ht="15.75">
      <c r="A1139" s="11"/>
      <c r="B1139" s="9"/>
      <c r="C1139" s="12" t="str">
        <f>IF(B1139="","",IFERROR(INDEX('Cashier Roster'!$C$5:$C$64,MATCH(B1139,'Cashier Roster'!$B$5:$B$64,0)),"Not on roster"))</f>
        <v/>
      </c>
      <c r="D1139" s="12" t="str">
        <f>IF(B1139="","",IFERROR(INDEX('Cashier Roster'!$D$5:$D$64,MATCH(B1139,'Cashier Roster'!$B$5:$B$64,0)),""))</f>
        <v/>
      </c>
      <c r="E1139" s="13"/>
      <c r="F1139" s="14"/>
      <c r="G1139" s="8" t="str">
        <f>IF(OR(B1139="",E1139=""),"",IF(E1139="No","Missed",IF(F1139="","",IF(F1139&lt;=Settings!$B$7,"On time","Late"))))</f>
        <v/>
      </c>
      <c r="H1139" s="15"/>
      <c r="I1139" s="16"/>
      <c r="J1139" s="16"/>
      <c r="K1139" s="17" t="str">
        <f>IF(J1139="","",ROUND(J1139*Settings!$B$8,2))</f>
        <v/>
      </c>
      <c r="L1139" s="16"/>
      <c r="M1139" s="8" t="str">
        <f t="shared" si="17"/>
        <v/>
      </c>
      <c r="N1139" s="9"/>
    </row>
    <row r="1140" spans="1:14" ht="15.75">
      <c r="A1140" s="11"/>
      <c r="B1140" s="9"/>
      <c r="C1140" s="12" t="str">
        <f>IF(B1140="","",IFERROR(INDEX('Cashier Roster'!$C$5:$C$64,MATCH(B1140,'Cashier Roster'!$B$5:$B$64,0)),"Not on roster"))</f>
        <v/>
      </c>
      <c r="D1140" s="12" t="str">
        <f>IF(B1140="","",IFERROR(INDEX('Cashier Roster'!$D$5:$D$64,MATCH(B1140,'Cashier Roster'!$B$5:$B$64,0)),""))</f>
        <v/>
      </c>
      <c r="E1140" s="13"/>
      <c r="F1140" s="14"/>
      <c r="G1140" s="8" t="str">
        <f>IF(OR(B1140="",E1140=""),"",IF(E1140="No","Missed",IF(F1140="","",IF(F1140&lt;=Settings!$B$7,"On time","Late"))))</f>
        <v/>
      </c>
      <c r="H1140" s="15"/>
      <c r="I1140" s="16"/>
      <c r="J1140" s="16"/>
      <c r="K1140" s="17" t="str">
        <f>IF(J1140="","",ROUND(J1140*Settings!$B$8,2))</f>
        <v/>
      </c>
      <c r="L1140" s="16"/>
      <c r="M1140" s="8" t="str">
        <f t="shared" si="17"/>
        <v/>
      </c>
      <c r="N1140" s="9"/>
    </row>
    <row r="1141" spans="1:14" ht="15.75">
      <c r="A1141" s="11"/>
      <c r="B1141" s="9"/>
      <c r="C1141" s="12" t="str">
        <f>IF(B1141="","",IFERROR(INDEX('Cashier Roster'!$C$5:$C$64,MATCH(B1141,'Cashier Roster'!$B$5:$B$64,0)),"Not on roster"))</f>
        <v/>
      </c>
      <c r="D1141" s="12" t="str">
        <f>IF(B1141="","",IFERROR(INDEX('Cashier Roster'!$D$5:$D$64,MATCH(B1141,'Cashier Roster'!$B$5:$B$64,0)),""))</f>
        <v/>
      </c>
      <c r="E1141" s="13"/>
      <c r="F1141" s="14"/>
      <c r="G1141" s="8" t="str">
        <f>IF(OR(B1141="",E1141=""),"",IF(E1141="No","Missed",IF(F1141="","",IF(F1141&lt;=Settings!$B$7,"On time","Late"))))</f>
        <v/>
      </c>
      <c r="H1141" s="15"/>
      <c r="I1141" s="16"/>
      <c r="J1141" s="16"/>
      <c r="K1141" s="17" t="str">
        <f>IF(J1141="","",ROUND(J1141*Settings!$B$8,2))</f>
        <v/>
      </c>
      <c r="L1141" s="16"/>
      <c r="M1141" s="8" t="str">
        <f t="shared" si="17"/>
        <v/>
      </c>
      <c r="N1141" s="9"/>
    </row>
    <row r="1142" spans="1:14" ht="15.75">
      <c r="A1142" s="11"/>
      <c r="B1142" s="9"/>
      <c r="C1142" s="12" t="str">
        <f>IF(B1142="","",IFERROR(INDEX('Cashier Roster'!$C$5:$C$64,MATCH(B1142,'Cashier Roster'!$B$5:$B$64,0)),"Not on roster"))</f>
        <v/>
      </c>
      <c r="D1142" s="12" t="str">
        <f>IF(B1142="","",IFERROR(INDEX('Cashier Roster'!$D$5:$D$64,MATCH(B1142,'Cashier Roster'!$B$5:$B$64,0)),""))</f>
        <v/>
      </c>
      <c r="E1142" s="13"/>
      <c r="F1142" s="14"/>
      <c r="G1142" s="8" t="str">
        <f>IF(OR(B1142="",E1142=""),"",IF(E1142="No","Missed",IF(F1142="","",IF(F1142&lt;=Settings!$B$7,"On time","Late"))))</f>
        <v/>
      </c>
      <c r="H1142" s="15"/>
      <c r="I1142" s="16"/>
      <c r="J1142" s="16"/>
      <c r="K1142" s="17" t="str">
        <f>IF(J1142="","",ROUND(J1142*Settings!$B$8,2))</f>
        <v/>
      </c>
      <c r="L1142" s="16"/>
      <c r="M1142" s="8" t="str">
        <f t="shared" si="17"/>
        <v/>
      </c>
      <c r="N1142" s="9"/>
    </row>
    <row r="1143" spans="1:14" ht="15.75">
      <c r="A1143" s="11"/>
      <c r="B1143" s="9"/>
      <c r="C1143" s="12" t="str">
        <f>IF(B1143="","",IFERROR(INDEX('Cashier Roster'!$C$5:$C$64,MATCH(B1143,'Cashier Roster'!$B$5:$B$64,0)),"Not on roster"))</f>
        <v/>
      </c>
      <c r="D1143" s="12" t="str">
        <f>IF(B1143="","",IFERROR(INDEX('Cashier Roster'!$D$5:$D$64,MATCH(B1143,'Cashier Roster'!$B$5:$B$64,0)),""))</f>
        <v/>
      </c>
      <c r="E1143" s="13"/>
      <c r="F1143" s="14"/>
      <c r="G1143" s="8" t="str">
        <f>IF(OR(B1143="",E1143=""),"",IF(E1143="No","Missed",IF(F1143="","",IF(F1143&lt;=Settings!$B$7,"On time","Late"))))</f>
        <v/>
      </c>
      <c r="H1143" s="15"/>
      <c r="I1143" s="16"/>
      <c r="J1143" s="16"/>
      <c r="K1143" s="17" t="str">
        <f>IF(J1143="","",ROUND(J1143*Settings!$B$8,2))</f>
        <v/>
      </c>
      <c r="L1143" s="16"/>
      <c r="M1143" s="8" t="str">
        <f t="shared" si="17"/>
        <v/>
      </c>
      <c r="N1143" s="9"/>
    </row>
    <row r="1144" spans="1:14" ht="15.75">
      <c r="A1144" s="11"/>
      <c r="B1144" s="9"/>
      <c r="C1144" s="12" t="str">
        <f>IF(B1144="","",IFERROR(INDEX('Cashier Roster'!$C$5:$C$64,MATCH(B1144,'Cashier Roster'!$B$5:$B$64,0)),"Not on roster"))</f>
        <v/>
      </c>
      <c r="D1144" s="12" t="str">
        <f>IF(B1144="","",IFERROR(INDEX('Cashier Roster'!$D$5:$D$64,MATCH(B1144,'Cashier Roster'!$B$5:$B$64,0)),""))</f>
        <v/>
      </c>
      <c r="E1144" s="13"/>
      <c r="F1144" s="14"/>
      <c r="G1144" s="8" t="str">
        <f>IF(OR(B1144="",E1144=""),"",IF(E1144="No","Missed",IF(F1144="","",IF(F1144&lt;=Settings!$B$7,"On time","Late"))))</f>
        <v/>
      </c>
      <c r="H1144" s="15"/>
      <c r="I1144" s="16"/>
      <c r="J1144" s="16"/>
      <c r="K1144" s="17" t="str">
        <f>IF(J1144="","",ROUND(J1144*Settings!$B$8,2))</f>
        <v/>
      </c>
      <c r="L1144" s="16"/>
      <c r="M1144" s="8" t="str">
        <f t="shared" si="17"/>
        <v/>
      </c>
      <c r="N1144" s="9"/>
    </row>
    <row r="1145" spans="1:14" ht="15.75">
      <c r="A1145" s="11"/>
      <c r="B1145" s="9"/>
      <c r="C1145" s="12" t="str">
        <f>IF(B1145="","",IFERROR(INDEX('Cashier Roster'!$C$5:$C$64,MATCH(B1145,'Cashier Roster'!$B$5:$B$64,0)),"Not on roster"))</f>
        <v/>
      </c>
      <c r="D1145" s="12" t="str">
        <f>IF(B1145="","",IFERROR(INDEX('Cashier Roster'!$D$5:$D$64,MATCH(B1145,'Cashier Roster'!$B$5:$B$64,0)),""))</f>
        <v/>
      </c>
      <c r="E1145" s="13"/>
      <c r="F1145" s="14"/>
      <c r="G1145" s="8" t="str">
        <f>IF(OR(B1145="",E1145=""),"",IF(E1145="No","Missed",IF(F1145="","",IF(F1145&lt;=Settings!$B$7,"On time","Late"))))</f>
        <v/>
      </c>
      <c r="H1145" s="15"/>
      <c r="I1145" s="16"/>
      <c r="J1145" s="16"/>
      <c r="K1145" s="17" t="str">
        <f>IF(J1145="","",ROUND(J1145*Settings!$B$8,2))</f>
        <v/>
      </c>
      <c r="L1145" s="16"/>
      <c r="M1145" s="8" t="str">
        <f t="shared" si="17"/>
        <v/>
      </c>
      <c r="N1145" s="9"/>
    </row>
    <row r="1146" spans="1:14" ht="15.75">
      <c r="A1146" s="11"/>
      <c r="B1146" s="9"/>
      <c r="C1146" s="12" t="str">
        <f>IF(B1146="","",IFERROR(INDEX('Cashier Roster'!$C$5:$C$64,MATCH(B1146,'Cashier Roster'!$B$5:$B$64,0)),"Not on roster"))</f>
        <v/>
      </c>
      <c r="D1146" s="12" t="str">
        <f>IF(B1146="","",IFERROR(INDEX('Cashier Roster'!$D$5:$D$64,MATCH(B1146,'Cashier Roster'!$B$5:$B$64,0)),""))</f>
        <v/>
      </c>
      <c r="E1146" s="13"/>
      <c r="F1146" s="14"/>
      <c r="G1146" s="8" t="str">
        <f>IF(OR(B1146="",E1146=""),"",IF(E1146="No","Missed",IF(F1146="","",IF(F1146&lt;=Settings!$B$7,"On time","Late"))))</f>
        <v/>
      </c>
      <c r="H1146" s="15"/>
      <c r="I1146" s="16"/>
      <c r="J1146" s="16"/>
      <c r="K1146" s="17" t="str">
        <f>IF(J1146="","",ROUND(J1146*Settings!$B$8,2))</f>
        <v/>
      </c>
      <c r="L1146" s="16"/>
      <c r="M1146" s="8" t="str">
        <f t="shared" si="17"/>
        <v/>
      </c>
      <c r="N1146" s="9"/>
    </row>
    <row r="1147" spans="1:14" ht="15.75">
      <c r="A1147" s="11"/>
      <c r="B1147" s="9"/>
      <c r="C1147" s="12" t="str">
        <f>IF(B1147="","",IFERROR(INDEX('Cashier Roster'!$C$5:$C$64,MATCH(B1147,'Cashier Roster'!$B$5:$B$64,0)),"Not on roster"))</f>
        <v/>
      </c>
      <c r="D1147" s="12" t="str">
        <f>IF(B1147="","",IFERROR(INDEX('Cashier Roster'!$D$5:$D$64,MATCH(B1147,'Cashier Roster'!$B$5:$B$64,0)),""))</f>
        <v/>
      </c>
      <c r="E1147" s="13"/>
      <c r="F1147" s="14"/>
      <c r="G1147" s="8" t="str">
        <f>IF(OR(B1147="",E1147=""),"",IF(E1147="No","Missed",IF(F1147="","",IF(F1147&lt;=Settings!$B$7,"On time","Late"))))</f>
        <v/>
      </c>
      <c r="H1147" s="15"/>
      <c r="I1147" s="16"/>
      <c r="J1147" s="16"/>
      <c r="K1147" s="17" t="str">
        <f>IF(J1147="","",ROUND(J1147*Settings!$B$8,2))</f>
        <v/>
      </c>
      <c r="L1147" s="16"/>
      <c r="M1147" s="8" t="str">
        <f t="shared" si="17"/>
        <v/>
      </c>
      <c r="N1147" s="9"/>
    </row>
    <row r="1148" spans="1:14" ht="15.75">
      <c r="A1148" s="11"/>
      <c r="B1148" s="9"/>
      <c r="C1148" s="12" t="str">
        <f>IF(B1148="","",IFERROR(INDEX('Cashier Roster'!$C$5:$C$64,MATCH(B1148,'Cashier Roster'!$B$5:$B$64,0)),"Not on roster"))</f>
        <v/>
      </c>
      <c r="D1148" s="12" t="str">
        <f>IF(B1148="","",IFERROR(INDEX('Cashier Roster'!$D$5:$D$64,MATCH(B1148,'Cashier Roster'!$B$5:$B$64,0)),""))</f>
        <v/>
      </c>
      <c r="E1148" s="13"/>
      <c r="F1148" s="14"/>
      <c r="G1148" s="8" t="str">
        <f>IF(OR(B1148="",E1148=""),"",IF(E1148="No","Missed",IF(F1148="","",IF(F1148&lt;=Settings!$B$7,"On time","Late"))))</f>
        <v/>
      </c>
      <c r="H1148" s="15"/>
      <c r="I1148" s="16"/>
      <c r="J1148" s="16"/>
      <c r="K1148" s="17" t="str">
        <f>IF(J1148="","",ROUND(J1148*Settings!$B$8,2))</f>
        <v/>
      </c>
      <c r="L1148" s="16"/>
      <c r="M1148" s="8" t="str">
        <f t="shared" si="17"/>
        <v/>
      </c>
      <c r="N1148" s="9"/>
    </row>
    <row r="1149" spans="1:14" ht="15.75">
      <c r="A1149" s="11"/>
      <c r="B1149" s="9"/>
      <c r="C1149" s="12" t="str">
        <f>IF(B1149="","",IFERROR(INDEX('Cashier Roster'!$C$5:$C$64,MATCH(B1149,'Cashier Roster'!$B$5:$B$64,0)),"Not on roster"))</f>
        <v/>
      </c>
      <c r="D1149" s="12" t="str">
        <f>IF(B1149="","",IFERROR(INDEX('Cashier Roster'!$D$5:$D$64,MATCH(B1149,'Cashier Roster'!$B$5:$B$64,0)),""))</f>
        <v/>
      </c>
      <c r="E1149" s="13"/>
      <c r="F1149" s="14"/>
      <c r="G1149" s="8" t="str">
        <f>IF(OR(B1149="",E1149=""),"",IF(E1149="No","Missed",IF(F1149="","",IF(F1149&lt;=Settings!$B$7,"On time","Late"))))</f>
        <v/>
      </c>
      <c r="H1149" s="15"/>
      <c r="I1149" s="16"/>
      <c r="J1149" s="16"/>
      <c r="K1149" s="17" t="str">
        <f>IF(J1149="","",ROUND(J1149*Settings!$B$8,2))</f>
        <v/>
      </c>
      <c r="L1149" s="16"/>
      <c r="M1149" s="8" t="str">
        <f t="shared" si="17"/>
        <v/>
      </c>
      <c r="N1149" s="9"/>
    </row>
    <row r="1150" spans="1:14" ht="15.75">
      <c r="A1150" s="11"/>
      <c r="B1150" s="9"/>
      <c r="C1150" s="12" t="str">
        <f>IF(B1150="","",IFERROR(INDEX('Cashier Roster'!$C$5:$C$64,MATCH(B1150,'Cashier Roster'!$B$5:$B$64,0)),"Not on roster"))</f>
        <v/>
      </c>
      <c r="D1150" s="12" t="str">
        <f>IF(B1150="","",IFERROR(INDEX('Cashier Roster'!$D$5:$D$64,MATCH(B1150,'Cashier Roster'!$B$5:$B$64,0)),""))</f>
        <v/>
      </c>
      <c r="E1150" s="13"/>
      <c r="F1150" s="14"/>
      <c r="G1150" s="8" t="str">
        <f>IF(OR(B1150="",E1150=""),"",IF(E1150="No","Missed",IF(F1150="","",IF(F1150&lt;=Settings!$B$7,"On time","Late"))))</f>
        <v/>
      </c>
      <c r="H1150" s="15"/>
      <c r="I1150" s="16"/>
      <c r="J1150" s="16"/>
      <c r="K1150" s="17" t="str">
        <f>IF(J1150="","",ROUND(J1150*Settings!$B$8,2))</f>
        <v/>
      </c>
      <c r="L1150" s="16"/>
      <c r="M1150" s="8" t="str">
        <f t="shared" si="17"/>
        <v/>
      </c>
      <c r="N1150" s="9"/>
    </row>
    <row r="1151" spans="1:14" ht="15.75">
      <c r="A1151" s="11"/>
      <c r="B1151" s="9"/>
      <c r="C1151" s="12" t="str">
        <f>IF(B1151="","",IFERROR(INDEX('Cashier Roster'!$C$5:$C$64,MATCH(B1151,'Cashier Roster'!$B$5:$B$64,0)),"Not on roster"))</f>
        <v/>
      </c>
      <c r="D1151" s="12" t="str">
        <f>IF(B1151="","",IFERROR(INDEX('Cashier Roster'!$D$5:$D$64,MATCH(B1151,'Cashier Roster'!$B$5:$B$64,0)),""))</f>
        <v/>
      </c>
      <c r="E1151" s="13"/>
      <c r="F1151" s="14"/>
      <c r="G1151" s="8" t="str">
        <f>IF(OR(B1151="",E1151=""),"",IF(E1151="No","Missed",IF(F1151="","",IF(F1151&lt;=Settings!$B$7,"On time","Late"))))</f>
        <v/>
      </c>
      <c r="H1151" s="15"/>
      <c r="I1151" s="16"/>
      <c r="J1151" s="16"/>
      <c r="K1151" s="17" t="str">
        <f>IF(J1151="","",ROUND(J1151*Settings!$B$8,2))</f>
        <v/>
      </c>
      <c r="L1151" s="16"/>
      <c r="M1151" s="8" t="str">
        <f t="shared" si="17"/>
        <v/>
      </c>
      <c r="N1151" s="9"/>
    </row>
    <row r="1152" spans="1:14" ht="15.75">
      <c r="A1152" s="11"/>
      <c r="B1152" s="9"/>
      <c r="C1152" s="12" t="str">
        <f>IF(B1152="","",IFERROR(INDEX('Cashier Roster'!$C$5:$C$64,MATCH(B1152,'Cashier Roster'!$B$5:$B$64,0)),"Not on roster"))</f>
        <v/>
      </c>
      <c r="D1152" s="12" t="str">
        <f>IF(B1152="","",IFERROR(INDEX('Cashier Roster'!$D$5:$D$64,MATCH(B1152,'Cashier Roster'!$B$5:$B$64,0)),""))</f>
        <v/>
      </c>
      <c r="E1152" s="13"/>
      <c r="F1152" s="14"/>
      <c r="G1152" s="8" t="str">
        <f>IF(OR(B1152="",E1152=""),"",IF(E1152="No","Missed",IF(F1152="","",IF(F1152&lt;=Settings!$B$7,"On time","Late"))))</f>
        <v/>
      </c>
      <c r="H1152" s="15"/>
      <c r="I1152" s="16"/>
      <c r="J1152" s="16"/>
      <c r="K1152" s="17" t="str">
        <f>IF(J1152="","",ROUND(J1152*Settings!$B$8,2))</f>
        <v/>
      </c>
      <c r="L1152" s="16"/>
      <c r="M1152" s="8" t="str">
        <f t="shared" si="17"/>
        <v/>
      </c>
      <c r="N1152" s="9"/>
    </row>
    <row r="1153" spans="1:14" ht="15.75">
      <c r="A1153" s="11"/>
      <c r="B1153" s="9"/>
      <c r="C1153" s="12" t="str">
        <f>IF(B1153="","",IFERROR(INDEX('Cashier Roster'!$C$5:$C$64,MATCH(B1153,'Cashier Roster'!$B$5:$B$64,0)),"Not on roster"))</f>
        <v/>
      </c>
      <c r="D1153" s="12" t="str">
        <f>IF(B1153="","",IFERROR(INDEX('Cashier Roster'!$D$5:$D$64,MATCH(B1153,'Cashier Roster'!$B$5:$B$64,0)),""))</f>
        <v/>
      </c>
      <c r="E1153" s="13"/>
      <c r="F1153" s="14"/>
      <c r="G1153" s="8" t="str">
        <f>IF(OR(B1153="",E1153=""),"",IF(E1153="No","Missed",IF(F1153="","",IF(F1153&lt;=Settings!$B$7,"On time","Late"))))</f>
        <v/>
      </c>
      <c r="H1153" s="15"/>
      <c r="I1153" s="16"/>
      <c r="J1153" s="16"/>
      <c r="K1153" s="17" t="str">
        <f>IF(J1153="","",ROUND(J1153*Settings!$B$8,2))</f>
        <v/>
      </c>
      <c r="L1153" s="16"/>
      <c r="M1153" s="8" t="str">
        <f t="shared" si="17"/>
        <v/>
      </c>
      <c r="N1153" s="9"/>
    </row>
    <row r="1154" spans="1:14" ht="15.75">
      <c r="A1154" s="11"/>
      <c r="B1154" s="9"/>
      <c r="C1154" s="12" t="str">
        <f>IF(B1154="","",IFERROR(INDEX('Cashier Roster'!$C$5:$C$64,MATCH(B1154,'Cashier Roster'!$B$5:$B$64,0)),"Not on roster"))</f>
        <v/>
      </c>
      <c r="D1154" s="12" t="str">
        <f>IF(B1154="","",IFERROR(INDEX('Cashier Roster'!$D$5:$D$64,MATCH(B1154,'Cashier Roster'!$B$5:$B$64,0)),""))</f>
        <v/>
      </c>
      <c r="E1154" s="13"/>
      <c r="F1154" s="14"/>
      <c r="G1154" s="8" t="str">
        <f>IF(OR(B1154="",E1154=""),"",IF(E1154="No","Missed",IF(F1154="","",IF(F1154&lt;=Settings!$B$7,"On time","Late"))))</f>
        <v/>
      </c>
      <c r="H1154" s="15"/>
      <c r="I1154" s="16"/>
      <c r="J1154" s="16"/>
      <c r="K1154" s="17" t="str">
        <f>IF(J1154="","",ROUND(J1154*Settings!$B$8,2))</f>
        <v/>
      </c>
      <c r="L1154" s="16"/>
      <c r="M1154" s="8" t="str">
        <f t="shared" si="17"/>
        <v/>
      </c>
      <c r="N1154" s="9"/>
    </row>
    <row r="1155" spans="1:14" ht="15.75">
      <c r="A1155" s="11"/>
      <c r="B1155" s="9"/>
      <c r="C1155" s="12" t="str">
        <f>IF(B1155="","",IFERROR(INDEX('Cashier Roster'!$C$5:$C$64,MATCH(B1155,'Cashier Roster'!$B$5:$B$64,0)),"Not on roster"))</f>
        <v/>
      </c>
      <c r="D1155" s="12" t="str">
        <f>IF(B1155="","",IFERROR(INDEX('Cashier Roster'!$D$5:$D$64,MATCH(B1155,'Cashier Roster'!$B$5:$B$64,0)),""))</f>
        <v/>
      </c>
      <c r="E1155" s="13"/>
      <c r="F1155" s="14"/>
      <c r="G1155" s="8" t="str">
        <f>IF(OR(B1155="",E1155=""),"",IF(E1155="No","Missed",IF(F1155="","",IF(F1155&lt;=Settings!$B$7,"On time","Late"))))</f>
        <v/>
      </c>
      <c r="H1155" s="15"/>
      <c r="I1155" s="16"/>
      <c r="J1155" s="16"/>
      <c r="K1155" s="17" t="str">
        <f>IF(J1155="","",ROUND(J1155*Settings!$B$8,2))</f>
        <v/>
      </c>
      <c r="L1155" s="16"/>
      <c r="M1155" s="8" t="str">
        <f t="shared" si="17"/>
        <v/>
      </c>
      <c r="N1155" s="9"/>
    </row>
    <row r="1156" spans="1:14" ht="15.75">
      <c r="A1156" s="11"/>
      <c r="B1156" s="9"/>
      <c r="C1156" s="12" t="str">
        <f>IF(B1156="","",IFERROR(INDEX('Cashier Roster'!$C$5:$C$64,MATCH(B1156,'Cashier Roster'!$B$5:$B$64,0)),"Not on roster"))</f>
        <v/>
      </c>
      <c r="D1156" s="12" t="str">
        <f>IF(B1156="","",IFERROR(INDEX('Cashier Roster'!$D$5:$D$64,MATCH(B1156,'Cashier Roster'!$B$5:$B$64,0)),""))</f>
        <v/>
      </c>
      <c r="E1156" s="13"/>
      <c r="F1156" s="14"/>
      <c r="G1156" s="8" t="str">
        <f>IF(OR(B1156="",E1156=""),"",IF(E1156="No","Missed",IF(F1156="","",IF(F1156&lt;=Settings!$B$7,"On time","Late"))))</f>
        <v/>
      </c>
      <c r="H1156" s="15"/>
      <c r="I1156" s="16"/>
      <c r="J1156" s="16"/>
      <c r="K1156" s="17" t="str">
        <f>IF(J1156="","",ROUND(J1156*Settings!$B$8,2))</f>
        <v/>
      </c>
      <c r="L1156" s="16"/>
      <c r="M1156" s="8" t="str">
        <f t="shared" si="17"/>
        <v/>
      </c>
      <c r="N1156" s="9"/>
    </row>
    <row r="1157" spans="1:14" ht="15.75">
      <c r="A1157" s="11"/>
      <c r="B1157" s="9"/>
      <c r="C1157" s="12" t="str">
        <f>IF(B1157="","",IFERROR(INDEX('Cashier Roster'!$C$5:$C$64,MATCH(B1157,'Cashier Roster'!$B$5:$B$64,0)),"Not on roster"))</f>
        <v/>
      </c>
      <c r="D1157" s="12" t="str">
        <f>IF(B1157="","",IFERROR(INDEX('Cashier Roster'!$D$5:$D$64,MATCH(B1157,'Cashier Roster'!$B$5:$B$64,0)),""))</f>
        <v/>
      </c>
      <c r="E1157" s="13"/>
      <c r="F1157" s="14"/>
      <c r="G1157" s="8" t="str">
        <f>IF(OR(B1157="",E1157=""),"",IF(E1157="No","Missed",IF(F1157="","",IF(F1157&lt;=Settings!$B$7,"On time","Late"))))</f>
        <v/>
      </c>
      <c r="H1157" s="15"/>
      <c r="I1157" s="16"/>
      <c r="J1157" s="16"/>
      <c r="K1157" s="17" t="str">
        <f>IF(J1157="","",ROUND(J1157*Settings!$B$8,2))</f>
        <v/>
      </c>
      <c r="L1157" s="16"/>
      <c r="M1157" s="8" t="str">
        <f t="shared" ref="M1157:M1220" si="18">IF(L1157="","",IF(L1157&lt;=0,"Yes","No"))</f>
        <v/>
      </c>
      <c r="N1157" s="9"/>
    </row>
    <row r="1158" spans="1:14" ht="15.75">
      <c r="A1158" s="11"/>
      <c r="B1158" s="9"/>
      <c r="C1158" s="12" t="str">
        <f>IF(B1158="","",IFERROR(INDEX('Cashier Roster'!$C$5:$C$64,MATCH(B1158,'Cashier Roster'!$B$5:$B$64,0)),"Not on roster"))</f>
        <v/>
      </c>
      <c r="D1158" s="12" t="str">
        <f>IF(B1158="","",IFERROR(INDEX('Cashier Roster'!$D$5:$D$64,MATCH(B1158,'Cashier Roster'!$B$5:$B$64,0)),""))</f>
        <v/>
      </c>
      <c r="E1158" s="13"/>
      <c r="F1158" s="14"/>
      <c r="G1158" s="8" t="str">
        <f>IF(OR(B1158="",E1158=""),"",IF(E1158="No","Missed",IF(F1158="","",IF(F1158&lt;=Settings!$B$7,"On time","Late"))))</f>
        <v/>
      </c>
      <c r="H1158" s="15"/>
      <c r="I1158" s="16"/>
      <c r="J1158" s="16"/>
      <c r="K1158" s="17" t="str">
        <f>IF(J1158="","",ROUND(J1158*Settings!$B$8,2))</f>
        <v/>
      </c>
      <c r="L1158" s="16"/>
      <c r="M1158" s="8" t="str">
        <f t="shared" si="18"/>
        <v/>
      </c>
      <c r="N1158" s="9"/>
    </row>
    <row r="1159" spans="1:14" ht="15.75">
      <c r="A1159" s="11"/>
      <c r="B1159" s="9"/>
      <c r="C1159" s="12" t="str">
        <f>IF(B1159="","",IFERROR(INDEX('Cashier Roster'!$C$5:$C$64,MATCH(B1159,'Cashier Roster'!$B$5:$B$64,0)),"Not on roster"))</f>
        <v/>
      </c>
      <c r="D1159" s="12" t="str">
        <f>IF(B1159="","",IFERROR(INDEX('Cashier Roster'!$D$5:$D$64,MATCH(B1159,'Cashier Roster'!$B$5:$B$64,0)),""))</f>
        <v/>
      </c>
      <c r="E1159" s="13"/>
      <c r="F1159" s="14"/>
      <c r="G1159" s="8" t="str">
        <f>IF(OR(B1159="",E1159=""),"",IF(E1159="No","Missed",IF(F1159="","",IF(F1159&lt;=Settings!$B$7,"On time","Late"))))</f>
        <v/>
      </c>
      <c r="H1159" s="15"/>
      <c r="I1159" s="16"/>
      <c r="J1159" s="16"/>
      <c r="K1159" s="17" t="str">
        <f>IF(J1159="","",ROUND(J1159*Settings!$B$8,2))</f>
        <v/>
      </c>
      <c r="L1159" s="16"/>
      <c r="M1159" s="8" t="str">
        <f t="shared" si="18"/>
        <v/>
      </c>
      <c r="N1159" s="9"/>
    </row>
    <row r="1160" spans="1:14" ht="15.75">
      <c r="A1160" s="11"/>
      <c r="B1160" s="9"/>
      <c r="C1160" s="12" t="str">
        <f>IF(B1160="","",IFERROR(INDEX('Cashier Roster'!$C$5:$C$64,MATCH(B1160,'Cashier Roster'!$B$5:$B$64,0)),"Not on roster"))</f>
        <v/>
      </c>
      <c r="D1160" s="12" t="str">
        <f>IF(B1160="","",IFERROR(INDEX('Cashier Roster'!$D$5:$D$64,MATCH(B1160,'Cashier Roster'!$B$5:$B$64,0)),""))</f>
        <v/>
      </c>
      <c r="E1160" s="13"/>
      <c r="F1160" s="14"/>
      <c r="G1160" s="8" t="str">
        <f>IF(OR(B1160="",E1160=""),"",IF(E1160="No","Missed",IF(F1160="","",IF(F1160&lt;=Settings!$B$7,"On time","Late"))))</f>
        <v/>
      </c>
      <c r="H1160" s="15"/>
      <c r="I1160" s="16"/>
      <c r="J1160" s="16"/>
      <c r="K1160" s="17" t="str">
        <f>IF(J1160="","",ROUND(J1160*Settings!$B$8,2))</f>
        <v/>
      </c>
      <c r="L1160" s="16"/>
      <c r="M1160" s="8" t="str">
        <f t="shared" si="18"/>
        <v/>
      </c>
      <c r="N1160" s="9"/>
    </row>
    <row r="1161" spans="1:14" ht="15.75">
      <c r="A1161" s="11"/>
      <c r="B1161" s="9"/>
      <c r="C1161" s="12" t="str">
        <f>IF(B1161="","",IFERROR(INDEX('Cashier Roster'!$C$5:$C$64,MATCH(B1161,'Cashier Roster'!$B$5:$B$64,0)),"Not on roster"))</f>
        <v/>
      </c>
      <c r="D1161" s="12" t="str">
        <f>IF(B1161="","",IFERROR(INDEX('Cashier Roster'!$D$5:$D$64,MATCH(B1161,'Cashier Roster'!$B$5:$B$64,0)),""))</f>
        <v/>
      </c>
      <c r="E1161" s="13"/>
      <c r="F1161" s="14"/>
      <c r="G1161" s="8" t="str">
        <f>IF(OR(B1161="",E1161=""),"",IF(E1161="No","Missed",IF(F1161="","",IF(F1161&lt;=Settings!$B$7,"On time","Late"))))</f>
        <v/>
      </c>
      <c r="H1161" s="15"/>
      <c r="I1161" s="16"/>
      <c r="J1161" s="16"/>
      <c r="K1161" s="17" t="str">
        <f>IF(J1161="","",ROUND(J1161*Settings!$B$8,2))</f>
        <v/>
      </c>
      <c r="L1161" s="16"/>
      <c r="M1161" s="8" t="str">
        <f t="shared" si="18"/>
        <v/>
      </c>
      <c r="N1161" s="9"/>
    </row>
    <row r="1162" spans="1:14" ht="15.75">
      <c r="A1162" s="11"/>
      <c r="B1162" s="9"/>
      <c r="C1162" s="12" t="str">
        <f>IF(B1162="","",IFERROR(INDEX('Cashier Roster'!$C$5:$C$64,MATCH(B1162,'Cashier Roster'!$B$5:$B$64,0)),"Not on roster"))</f>
        <v/>
      </c>
      <c r="D1162" s="12" t="str">
        <f>IF(B1162="","",IFERROR(INDEX('Cashier Roster'!$D$5:$D$64,MATCH(B1162,'Cashier Roster'!$B$5:$B$64,0)),""))</f>
        <v/>
      </c>
      <c r="E1162" s="13"/>
      <c r="F1162" s="14"/>
      <c r="G1162" s="8" t="str">
        <f>IF(OR(B1162="",E1162=""),"",IF(E1162="No","Missed",IF(F1162="","",IF(F1162&lt;=Settings!$B$7,"On time","Late"))))</f>
        <v/>
      </c>
      <c r="H1162" s="15"/>
      <c r="I1162" s="16"/>
      <c r="J1162" s="16"/>
      <c r="K1162" s="17" t="str">
        <f>IF(J1162="","",ROUND(J1162*Settings!$B$8,2))</f>
        <v/>
      </c>
      <c r="L1162" s="16"/>
      <c r="M1162" s="8" t="str">
        <f t="shared" si="18"/>
        <v/>
      </c>
      <c r="N1162" s="9"/>
    </row>
    <row r="1163" spans="1:14" ht="15.75">
      <c r="A1163" s="11"/>
      <c r="B1163" s="9"/>
      <c r="C1163" s="12" t="str">
        <f>IF(B1163="","",IFERROR(INDEX('Cashier Roster'!$C$5:$C$64,MATCH(B1163,'Cashier Roster'!$B$5:$B$64,0)),"Not on roster"))</f>
        <v/>
      </c>
      <c r="D1163" s="12" t="str">
        <f>IF(B1163="","",IFERROR(INDEX('Cashier Roster'!$D$5:$D$64,MATCH(B1163,'Cashier Roster'!$B$5:$B$64,0)),""))</f>
        <v/>
      </c>
      <c r="E1163" s="13"/>
      <c r="F1163" s="14"/>
      <c r="G1163" s="8" t="str">
        <f>IF(OR(B1163="",E1163=""),"",IF(E1163="No","Missed",IF(F1163="","",IF(F1163&lt;=Settings!$B$7,"On time","Late"))))</f>
        <v/>
      </c>
      <c r="H1163" s="15"/>
      <c r="I1163" s="16"/>
      <c r="J1163" s="16"/>
      <c r="K1163" s="17" t="str">
        <f>IF(J1163="","",ROUND(J1163*Settings!$B$8,2))</f>
        <v/>
      </c>
      <c r="L1163" s="16"/>
      <c r="M1163" s="8" t="str">
        <f t="shared" si="18"/>
        <v/>
      </c>
      <c r="N1163" s="9"/>
    </row>
    <row r="1164" spans="1:14" ht="15.75">
      <c r="A1164" s="11"/>
      <c r="B1164" s="9"/>
      <c r="C1164" s="12" t="str">
        <f>IF(B1164="","",IFERROR(INDEX('Cashier Roster'!$C$5:$C$64,MATCH(B1164,'Cashier Roster'!$B$5:$B$64,0)),"Not on roster"))</f>
        <v/>
      </c>
      <c r="D1164" s="12" t="str">
        <f>IF(B1164="","",IFERROR(INDEX('Cashier Roster'!$D$5:$D$64,MATCH(B1164,'Cashier Roster'!$B$5:$B$64,0)),""))</f>
        <v/>
      </c>
      <c r="E1164" s="13"/>
      <c r="F1164" s="14"/>
      <c r="G1164" s="8" t="str">
        <f>IF(OR(B1164="",E1164=""),"",IF(E1164="No","Missed",IF(F1164="","",IF(F1164&lt;=Settings!$B$7,"On time","Late"))))</f>
        <v/>
      </c>
      <c r="H1164" s="15"/>
      <c r="I1164" s="16"/>
      <c r="J1164" s="16"/>
      <c r="K1164" s="17" t="str">
        <f>IF(J1164="","",ROUND(J1164*Settings!$B$8,2))</f>
        <v/>
      </c>
      <c r="L1164" s="16"/>
      <c r="M1164" s="8" t="str">
        <f t="shared" si="18"/>
        <v/>
      </c>
      <c r="N1164" s="9"/>
    </row>
    <row r="1165" spans="1:14" ht="15.75">
      <c r="A1165" s="11"/>
      <c r="B1165" s="9"/>
      <c r="C1165" s="12" t="str">
        <f>IF(B1165="","",IFERROR(INDEX('Cashier Roster'!$C$5:$C$64,MATCH(B1165,'Cashier Roster'!$B$5:$B$64,0)),"Not on roster"))</f>
        <v/>
      </c>
      <c r="D1165" s="12" t="str">
        <f>IF(B1165="","",IFERROR(INDEX('Cashier Roster'!$D$5:$D$64,MATCH(B1165,'Cashier Roster'!$B$5:$B$64,0)),""))</f>
        <v/>
      </c>
      <c r="E1165" s="13"/>
      <c r="F1165" s="14"/>
      <c r="G1165" s="8" t="str">
        <f>IF(OR(B1165="",E1165=""),"",IF(E1165="No","Missed",IF(F1165="","",IF(F1165&lt;=Settings!$B$7,"On time","Late"))))</f>
        <v/>
      </c>
      <c r="H1165" s="15"/>
      <c r="I1165" s="16"/>
      <c r="J1165" s="16"/>
      <c r="K1165" s="17" t="str">
        <f>IF(J1165="","",ROUND(J1165*Settings!$B$8,2))</f>
        <v/>
      </c>
      <c r="L1165" s="16"/>
      <c r="M1165" s="8" t="str">
        <f t="shared" si="18"/>
        <v/>
      </c>
      <c r="N1165" s="9"/>
    </row>
    <row r="1166" spans="1:14" ht="15.75">
      <c r="A1166" s="11"/>
      <c r="B1166" s="9"/>
      <c r="C1166" s="12" t="str">
        <f>IF(B1166="","",IFERROR(INDEX('Cashier Roster'!$C$5:$C$64,MATCH(B1166,'Cashier Roster'!$B$5:$B$64,0)),"Not on roster"))</f>
        <v/>
      </c>
      <c r="D1166" s="12" t="str">
        <f>IF(B1166="","",IFERROR(INDEX('Cashier Roster'!$D$5:$D$64,MATCH(B1166,'Cashier Roster'!$B$5:$B$64,0)),""))</f>
        <v/>
      </c>
      <c r="E1166" s="13"/>
      <c r="F1166" s="14"/>
      <c r="G1166" s="8" t="str">
        <f>IF(OR(B1166="",E1166=""),"",IF(E1166="No","Missed",IF(F1166="","",IF(F1166&lt;=Settings!$B$7,"On time","Late"))))</f>
        <v/>
      </c>
      <c r="H1166" s="15"/>
      <c r="I1166" s="16"/>
      <c r="J1166" s="16"/>
      <c r="K1166" s="17" t="str">
        <f>IF(J1166="","",ROUND(J1166*Settings!$B$8,2))</f>
        <v/>
      </c>
      <c r="L1166" s="16"/>
      <c r="M1166" s="8" t="str">
        <f t="shared" si="18"/>
        <v/>
      </c>
      <c r="N1166" s="9"/>
    </row>
    <row r="1167" spans="1:14" ht="15.75">
      <c r="A1167" s="11"/>
      <c r="B1167" s="9"/>
      <c r="C1167" s="12" t="str">
        <f>IF(B1167="","",IFERROR(INDEX('Cashier Roster'!$C$5:$C$64,MATCH(B1167,'Cashier Roster'!$B$5:$B$64,0)),"Not on roster"))</f>
        <v/>
      </c>
      <c r="D1167" s="12" t="str">
        <f>IF(B1167="","",IFERROR(INDEX('Cashier Roster'!$D$5:$D$64,MATCH(B1167,'Cashier Roster'!$B$5:$B$64,0)),""))</f>
        <v/>
      </c>
      <c r="E1167" s="13"/>
      <c r="F1167" s="14"/>
      <c r="G1167" s="8" t="str">
        <f>IF(OR(B1167="",E1167=""),"",IF(E1167="No","Missed",IF(F1167="","",IF(F1167&lt;=Settings!$B$7,"On time","Late"))))</f>
        <v/>
      </c>
      <c r="H1167" s="15"/>
      <c r="I1167" s="16"/>
      <c r="J1167" s="16"/>
      <c r="K1167" s="17" t="str">
        <f>IF(J1167="","",ROUND(J1167*Settings!$B$8,2))</f>
        <v/>
      </c>
      <c r="L1167" s="16"/>
      <c r="M1167" s="8" t="str">
        <f t="shared" si="18"/>
        <v/>
      </c>
      <c r="N1167" s="9"/>
    </row>
    <row r="1168" spans="1:14" ht="15.75">
      <c r="A1168" s="11"/>
      <c r="B1168" s="9"/>
      <c r="C1168" s="12" t="str">
        <f>IF(B1168="","",IFERROR(INDEX('Cashier Roster'!$C$5:$C$64,MATCH(B1168,'Cashier Roster'!$B$5:$B$64,0)),"Not on roster"))</f>
        <v/>
      </c>
      <c r="D1168" s="12" t="str">
        <f>IF(B1168="","",IFERROR(INDEX('Cashier Roster'!$D$5:$D$64,MATCH(B1168,'Cashier Roster'!$B$5:$B$64,0)),""))</f>
        <v/>
      </c>
      <c r="E1168" s="13"/>
      <c r="F1168" s="14"/>
      <c r="G1168" s="8" t="str">
        <f>IF(OR(B1168="",E1168=""),"",IF(E1168="No","Missed",IF(F1168="","",IF(F1168&lt;=Settings!$B$7,"On time","Late"))))</f>
        <v/>
      </c>
      <c r="H1168" s="15"/>
      <c r="I1168" s="16"/>
      <c r="J1168" s="16"/>
      <c r="K1168" s="17" t="str">
        <f>IF(J1168="","",ROUND(J1168*Settings!$B$8,2))</f>
        <v/>
      </c>
      <c r="L1168" s="16"/>
      <c r="M1168" s="8" t="str">
        <f t="shared" si="18"/>
        <v/>
      </c>
      <c r="N1168" s="9"/>
    </row>
    <row r="1169" spans="1:14" ht="15.75">
      <c r="A1169" s="11"/>
      <c r="B1169" s="9"/>
      <c r="C1169" s="12" t="str">
        <f>IF(B1169="","",IFERROR(INDEX('Cashier Roster'!$C$5:$C$64,MATCH(B1169,'Cashier Roster'!$B$5:$B$64,0)),"Not on roster"))</f>
        <v/>
      </c>
      <c r="D1169" s="12" t="str">
        <f>IF(B1169="","",IFERROR(INDEX('Cashier Roster'!$D$5:$D$64,MATCH(B1169,'Cashier Roster'!$B$5:$B$64,0)),""))</f>
        <v/>
      </c>
      <c r="E1169" s="13"/>
      <c r="F1169" s="14"/>
      <c r="G1169" s="8" t="str">
        <f>IF(OR(B1169="",E1169=""),"",IF(E1169="No","Missed",IF(F1169="","",IF(F1169&lt;=Settings!$B$7,"On time","Late"))))</f>
        <v/>
      </c>
      <c r="H1169" s="15"/>
      <c r="I1169" s="16"/>
      <c r="J1169" s="16"/>
      <c r="K1169" s="17" t="str">
        <f>IF(J1169="","",ROUND(J1169*Settings!$B$8,2))</f>
        <v/>
      </c>
      <c r="L1169" s="16"/>
      <c r="M1169" s="8" t="str">
        <f t="shared" si="18"/>
        <v/>
      </c>
      <c r="N1169" s="9"/>
    </row>
    <row r="1170" spans="1:14" ht="15.75">
      <c r="A1170" s="11"/>
      <c r="B1170" s="9"/>
      <c r="C1170" s="12" t="str">
        <f>IF(B1170="","",IFERROR(INDEX('Cashier Roster'!$C$5:$C$64,MATCH(B1170,'Cashier Roster'!$B$5:$B$64,0)),"Not on roster"))</f>
        <v/>
      </c>
      <c r="D1170" s="12" t="str">
        <f>IF(B1170="","",IFERROR(INDEX('Cashier Roster'!$D$5:$D$64,MATCH(B1170,'Cashier Roster'!$B$5:$B$64,0)),""))</f>
        <v/>
      </c>
      <c r="E1170" s="13"/>
      <c r="F1170" s="14"/>
      <c r="G1170" s="8" t="str">
        <f>IF(OR(B1170="",E1170=""),"",IF(E1170="No","Missed",IF(F1170="","",IF(F1170&lt;=Settings!$B$7,"On time","Late"))))</f>
        <v/>
      </c>
      <c r="H1170" s="15"/>
      <c r="I1170" s="16"/>
      <c r="J1170" s="16"/>
      <c r="K1170" s="17" t="str">
        <f>IF(J1170="","",ROUND(J1170*Settings!$B$8,2))</f>
        <v/>
      </c>
      <c r="L1170" s="16"/>
      <c r="M1170" s="8" t="str">
        <f t="shared" si="18"/>
        <v/>
      </c>
      <c r="N1170" s="9"/>
    </row>
    <row r="1171" spans="1:14" ht="15.75">
      <c r="A1171" s="11"/>
      <c r="B1171" s="9"/>
      <c r="C1171" s="12" t="str">
        <f>IF(B1171="","",IFERROR(INDEX('Cashier Roster'!$C$5:$C$64,MATCH(B1171,'Cashier Roster'!$B$5:$B$64,0)),"Not on roster"))</f>
        <v/>
      </c>
      <c r="D1171" s="12" t="str">
        <f>IF(B1171="","",IFERROR(INDEX('Cashier Roster'!$D$5:$D$64,MATCH(B1171,'Cashier Roster'!$B$5:$B$64,0)),""))</f>
        <v/>
      </c>
      <c r="E1171" s="13"/>
      <c r="F1171" s="14"/>
      <c r="G1171" s="8" t="str">
        <f>IF(OR(B1171="",E1171=""),"",IF(E1171="No","Missed",IF(F1171="","",IF(F1171&lt;=Settings!$B$7,"On time","Late"))))</f>
        <v/>
      </c>
      <c r="H1171" s="15"/>
      <c r="I1171" s="16"/>
      <c r="J1171" s="16"/>
      <c r="K1171" s="17" t="str">
        <f>IF(J1171="","",ROUND(J1171*Settings!$B$8,2))</f>
        <v/>
      </c>
      <c r="L1171" s="16"/>
      <c r="M1171" s="8" t="str">
        <f t="shared" si="18"/>
        <v/>
      </c>
      <c r="N1171" s="9"/>
    </row>
    <row r="1172" spans="1:14" ht="15.75">
      <c r="A1172" s="11"/>
      <c r="B1172" s="9"/>
      <c r="C1172" s="12" t="str">
        <f>IF(B1172="","",IFERROR(INDEX('Cashier Roster'!$C$5:$C$64,MATCH(B1172,'Cashier Roster'!$B$5:$B$64,0)),"Not on roster"))</f>
        <v/>
      </c>
      <c r="D1172" s="12" t="str">
        <f>IF(B1172="","",IFERROR(INDEX('Cashier Roster'!$D$5:$D$64,MATCH(B1172,'Cashier Roster'!$B$5:$B$64,0)),""))</f>
        <v/>
      </c>
      <c r="E1172" s="13"/>
      <c r="F1172" s="14"/>
      <c r="G1172" s="8" t="str">
        <f>IF(OR(B1172="",E1172=""),"",IF(E1172="No","Missed",IF(F1172="","",IF(F1172&lt;=Settings!$B$7,"On time","Late"))))</f>
        <v/>
      </c>
      <c r="H1172" s="15"/>
      <c r="I1172" s="16"/>
      <c r="J1172" s="16"/>
      <c r="K1172" s="17" t="str">
        <f>IF(J1172="","",ROUND(J1172*Settings!$B$8,2))</f>
        <v/>
      </c>
      <c r="L1172" s="16"/>
      <c r="M1172" s="8" t="str">
        <f t="shared" si="18"/>
        <v/>
      </c>
      <c r="N1172" s="9"/>
    </row>
    <row r="1173" spans="1:14" ht="15.75">
      <c r="A1173" s="11"/>
      <c r="B1173" s="9"/>
      <c r="C1173" s="12" t="str">
        <f>IF(B1173="","",IFERROR(INDEX('Cashier Roster'!$C$5:$C$64,MATCH(B1173,'Cashier Roster'!$B$5:$B$64,0)),"Not on roster"))</f>
        <v/>
      </c>
      <c r="D1173" s="12" t="str">
        <f>IF(B1173="","",IFERROR(INDEX('Cashier Roster'!$D$5:$D$64,MATCH(B1173,'Cashier Roster'!$B$5:$B$64,0)),""))</f>
        <v/>
      </c>
      <c r="E1173" s="13"/>
      <c r="F1173" s="14"/>
      <c r="G1173" s="8" t="str">
        <f>IF(OR(B1173="",E1173=""),"",IF(E1173="No","Missed",IF(F1173="","",IF(F1173&lt;=Settings!$B$7,"On time","Late"))))</f>
        <v/>
      </c>
      <c r="H1173" s="15"/>
      <c r="I1173" s="16"/>
      <c r="J1173" s="16"/>
      <c r="K1173" s="17" t="str">
        <f>IF(J1173="","",ROUND(J1173*Settings!$B$8,2))</f>
        <v/>
      </c>
      <c r="L1173" s="16"/>
      <c r="M1173" s="8" t="str">
        <f t="shared" si="18"/>
        <v/>
      </c>
      <c r="N1173" s="9"/>
    </row>
    <row r="1174" spans="1:14" ht="15.75">
      <c r="A1174" s="11"/>
      <c r="B1174" s="9"/>
      <c r="C1174" s="12" t="str">
        <f>IF(B1174="","",IFERROR(INDEX('Cashier Roster'!$C$5:$C$64,MATCH(B1174,'Cashier Roster'!$B$5:$B$64,0)),"Not on roster"))</f>
        <v/>
      </c>
      <c r="D1174" s="12" t="str">
        <f>IF(B1174="","",IFERROR(INDEX('Cashier Roster'!$D$5:$D$64,MATCH(B1174,'Cashier Roster'!$B$5:$B$64,0)),""))</f>
        <v/>
      </c>
      <c r="E1174" s="13"/>
      <c r="F1174" s="14"/>
      <c r="G1174" s="8" t="str">
        <f>IF(OR(B1174="",E1174=""),"",IF(E1174="No","Missed",IF(F1174="","",IF(F1174&lt;=Settings!$B$7,"On time","Late"))))</f>
        <v/>
      </c>
      <c r="H1174" s="15"/>
      <c r="I1174" s="16"/>
      <c r="J1174" s="16"/>
      <c r="K1174" s="17" t="str">
        <f>IF(J1174="","",ROUND(J1174*Settings!$B$8,2))</f>
        <v/>
      </c>
      <c r="L1174" s="16"/>
      <c r="M1174" s="8" t="str">
        <f t="shared" si="18"/>
        <v/>
      </c>
      <c r="N1174" s="9"/>
    </row>
    <row r="1175" spans="1:14" ht="15.75">
      <c r="A1175" s="11"/>
      <c r="B1175" s="9"/>
      <c r="C1175" s="12" t="str">
        <f>IF(B1175="","",IFERROR(INDEX('Cashier Roster'!$C$5:$C$64,MATCH(B1175,'Cashier Roster'!$B$5:$B$64,0)),"Not on roster"))</f>
        <v/>
      </c>
      <c r="D1175" s="12" t="str">
        <f>IF(B1175="","",IFERROR(INDEX('Cashier Roster'!$D$5:$D$64,MATCH(B1175,'Cashier Roster'!$B$5:$B$64,0)),""))</f>
        <v/>
      </c>
      <c r="E1175" s="13"/>
      <c r="F1175" s="14"/>
      <c r="G1175" s="8" t="str">
        <f>IF(OR(B1175="",E1175=""),"",IF(E1175="No","Missed",IF(F1175="","",IF(F1175&lt;=Settings!$B$7,"On time","Late"))))</f>
        <v/>
      </c>
      <c r="H1175" s="15"/>
      <c r="I1175" s="16"/>
      <c r="J1175" s="16"/>
      <c r="K1175" s="17" t="str">
        <f>IF(J1175="","",ROUND(J1175*Settings!$B$8,2))</f>
        <v/>
      </c>
      <c r="L1175" s="16"/>
      <c r="M1175" s="8" t="str">
        <f t="shared" si="18"/>
        <v/>
      </c>
      <c r="N1175" s="9"/>
    </row>
    <row r="1176" spans="1:14" ht="15.75">
      <c r="A1176" s="11"/>
      <c r="B1176" s="9"/>
      <c r="C1176" s="12" t="str">
        <f>IF(B1176="","",IFERROR(INDEX('Cashier Roster'!$C$5:$C$64,MATCH(B1176,'Cashier Roster'!$B$5:$B$64,0)),"Not on roster"))</f>
        <v/>
      </c>
      <c r="D1176" s="12" t="str">
        <f>IF(B1176="","",IFERROR(INDEX('Cashier Roster'!$D$5:$D$64,MATCH(B1176,'Cashier Roster'!$B$5:$B$64,0)),""))</f>
        <v/>
      </c>
      <c r="E1176" s="13"/>
      <c r="F1176" s="14"/>
      <c r="G1176" s="8" t="str">
        <f>IF(OR(B1176="",E1176=""),"",IF(E1176="No","Missed",IF(F1176="","",IF(F1176&lt;=Settings!$B$7,"On time","Late"))))</f>
        <v/>
      </c>
      <c r="H1176" s="15"/>
      <c r="I1176" s="16"/>
      <c r="J1176" s="16"/>
      <c r="K1176" s="17" t="str">
        <f>IF(J1176="","",ROUND(J1176*Settings!$B$8,2))</f>
        <v/>
      </c>
      <c r="L1176" s="16"/>
      <c r="M1176" s="8" t="str">
        <f t="shared" si="18"/>
        <v/>
      </c>
      <c r="N1176" s="9"/>
    </row>
    <row r="1177" spans="1:14" ht="15.75">
      <c r="A1177" s="11"/>
      <c r="B1177" s="9"/>
      <c r="C1177" s="12" t="str">
        <f>IF(B1177="","",IFERROR(INDEX('Cashier Roster'!$C$5:$C$64,MATCH(B1177,'Cashier Roster'!$B$5:$B$64,0)),"Not on roster"))</f>
        <v/>
      </c>
      <c r="D1177" s="12" t="str">
        <f>IF(B1177="","",IFERROR(INDEX('Cashier Roster'!$D$5:$D$64,MATCH(B1177,'Cashier Roster'!$B$5:$B$64,0)),""))</f>
        <v/>
      </c>
      <c r="E1177" s="13"/>
      <c r="F1177" s="14"/>
      <c r="G1177" s="8" t="str">
        <f>IF(OR(B1177="",E1177=""),"",IF(E1177="No","Missed",IF(F1177="","",IF(F1177&lt;=Settings!$B$7,"On time","Late"))))</f>
        <v/>
      </c>
      <c r="H1177" s="15"/>
      <c r="I1177" s="16"/>
      <c r="J1177" s="16"/>
      <c r="K1177" s="17" t="str">
        <f>IF(J1177="","",ROUND(J1177*Settings!$B$8,2))</f>
        <v/>
      </c>
      <c r="L1177" s="16"/>
      <c r="M1177" s="8" t="str">
        <f t="shared" si="18"/>
        <v/>
      </c>
      <c r="N1177" s="9"/>
    </row>
    <row r="1178" spans="1:14" ht="15.75">
      <c r="A1178" s="11"/>
      <c r="B1178" s="9"/>
      <c r="C1178" s="12" t="str">
        <f>IF(B1178="","",IFERROR(INDEX('Cashier Roster'!$C$5:$C$64,MATCH(B1178,'Cashier Roster'!$B$5:$B$64,0)),"Not on roster"))</f>
        <v/>
      </c>
      <c r="D1178" s="12" t="str">
        <f>IF(B1178="","",IFERROR(INDEX('Cashier Roster'!$D$5:$D$64,MATCH(B1178,'Cashier Roster'!$B$5:$B$64,0)),""))</f>
        <v/>
      </c>
      <c r="E1178" s="13"/>
      <c r="F1178" s="14"/>
      <c r="G1178" s="8" t="str">
        <f>IF(OR(B1178="",E1178=""),"",IF(E1178="No","Missed",IF(F1178="","",IF(F1178&lt;=Settings!$B$7,"On time","Late"))))</f>
        <v/>
      </c>
      <c r="H1178" s="15"/>
      <c r="I1178" s="16"/>
      <c r="J1178" s="16"/>
      <c r="K1178" s="17" t="str">
        <f>IF(J1178="","",ROUND(J1178*Settings!$B$8,2))</f>
        <v/>
      </c>
      <c r="L1178" s="16"/>
      <c r="M1178" s="8" t="str">
        <f t="shared" si="18"/>
        <v/>
      </c>
      <c r="N1178" s="9"/>
    </row>
    <row r="1179" spans="1:14" ht="15.75">
      <c r="A1179" s="11"/>
      <c r="B1179" s="9"/>
      <c r="C1179" s="12" t="str">
        <f>IF(B1179="","",IFERROR(INDEX('Cashier Roster'!$C$5:$C$64,MATCH(B1179,'Cashier Roster'!$B$5:$B$64,0)),"Not on roster"))</f>
        <v/>
      </c>
      <c r="D1179" s="12" t="str">
        <f>IF(B1179="","",IFERROR(INDEX('Cashier Roster'!$D$5:$D$64,MATCH(B1179,'Cashier Roster'!$B$5:$B$64,0)),""))</f>
        <v/>
      </c>
      <c r="E1179" s="13"/>
      <c r="F1179" s="14"/>
      <c r="G1179" s="8" t="str">
        <f>IF(OR(B1179="",E1179=""),"",IF(E1179="No","Missed",IF(F1179="","",IF(F1179&lt;=Settings!$B$7,"On time","Late"))))</f>
        <v/>
      </c>
      <c r="H1179" s="15"/>
      <c r="I1179" s="16"/>
      <c r="J1179" s="16"/>
      <c r="K1179" s="17" t="str">
        <f>IF(J1179="","",ROUND(J1179*Settings!$B$8,2))</f>
        <v/>
      </c>
      <c r="L1179" s="16"/>
      <c r="M1179" s="8" t="str">
        <f t="shared" si="18"/>
        <v/>
      </c>
      <c r="N1179" s="9"/>
    </row>
    <row r="1180" spans="1:14" ht="15.75">
      <c r="A1180" s="11"/>
      <c r="B1180" s="9"/>
      <c r="C1180" s="12" t="str">
        <f>IF(B1180="","",IFERROR(INDEX('Cashier Roster'!$C$5:$C$64,MATCH(B1180,'Cashier Roster'!$B$5:$B$64,0)),"Not on roster"))</f>
        <v/>
      </c>
      <c r="D1180" s="12" t="str">
        <f>IF(B1180="","",IFERROR(INDEX('Cashier Roster'!$D$5:$D$64,MATCH(B1180,'Cashier Roster'!$B$5:$B$64,0)),""))</f>
        <v/>
      </c>
      <c r="E1180" s="13"/>
      <c r="F1180" s="14"/>
      <c r="G1180" s="8" t="str">
        <f>IF(OR(B1180="",E1180=""),"",IF(E1180="No","Missed",IF(F1180="","",IF(F1180&lt;=Settings!$B$7,"On time","Late"))))</f>
        <v/>
      </c>
      <c r="H1180" s="15"/>
      <c r="I1180" s="16"/>
      <c r="J1180" s="16"/>
      <c r="K1180" s="17" t="str">
        <f>IF(J1180="","",ROUND(J1180*Settings!$B$8,2))</f>
        <v/>
      </c>
      <c r="L1180" s="16"/>
      <c r="M1180" s="8" t="str">
        <f t="shared" si="18"/>
        <v/>
      </c>
      <c r="N1180" s="9"/>
    </row>
    <row r="1181" spans="1:14" ht="15.75">
      <c r="A1181" s="11"/>
      <c r="B1181" s="9"/>
      <c r="C1181" s="12" t="str">
        <f>IF(B1181="","",IFERROR(INDEX('Cashier Roster'!$C$5:$C$64,MATCH(B1181,'Cashier Roster'!$B$5:$B$64,0)),"Not on roster"))</f>
        <v/>
      </c>
      <c r="D1181" s="12" t="str">
        <f>IF(B1181="","",IFERROR(INDEX('Cashier Roster'!$D$5:$D$64,MATCH(B1181,'Cashier Roster'!$B$5:$B$64,0)),""))</f>
        <v/>
      </c>
      <c r="E1181" s="13"/>
      <c r="F1181" s="14"/>
      <c r="G1181" s="8" t="str">
        <f>IF(OR(B1181="",E1181=""),"",IF(E1181="No","Missed",IF(F1181="","",IF(F1181&lt;=Settings!$B$7,"On time","Late"))))</f>
        <v/>
      </c>
      <c r="H1181" s="15"/>
      <c r="I1181" s="16"/>
      <c r="J1181" s="16"/>
      <c r="K1181" s="17" t="str">
        <f>IF(J1181="","",ROUND(J1181*Settings!$B$8,2))</f>
        <v/>
      </c>
      <c r="L1181" s="16"/>
      <c r="M1181" s="8" t="str">
        <f t="shared" si="18"/>
        <v/>
      </c>
      <c r="N1181" s="9"/>
    </row>
    <row r="1182" spans="1:14" ht="15.75">
      <c r="A1182" s="11"/>
      <c r="B1182" s="9"/>
      <c r="C1182" s="12" t="str">
        <f>IF(B1182="","",IFERROR(INDEX('Cashier Roster'!$C$5:$C$64,MATCH(B1182,'Cashier Roster'!$B$5:$B$64,0)),"Not on roster"))</f>
        <v/>
      </c>
      <c r="D1182" s="12" t="str">
        <f>IF(B1182="","",IFERROR(INDEX('Cashier Roster'!$D$5:$D$64,MATCH(B1182,'Cashier Roster'!$B$5:$B$64,0)),""))</f>
        <v/>
      </c>
      <c r="E1182" s="13"/>
      <c r="F1182" s="14"/>
      <c r="G1182" s="8" t="str">
        <f>IF(OR(B1182="",E1182=""),"",IF(E1182="No","Missed",IF(F1182="","",IF(F1182&lt;=Settings!$B$7,"On time","Late"))))</f>
        <v/>
      </c>
      <c r="H1182" s="15"/>
      <c r="I1182" s="16"/>
      <c r="J1182" s="16"/>
      <c r="K1182" s="17" t="str">
        <f>IF(J1182="","",ROUND(J1182*Settings!$B$8,2))</f>
        <v/>
      </c>
      <c r="L1182" s="16"/>
      <c r="M1182" s="8" t="str">
        <f t="shared" si="18"/>
        <v/>
      </c>
      <c r="N1182" s="9"/>
    </row>
    <row r="1183" spans="1:14" ht="15.75">
      <c r="A1183" s="11"/>
      <c r="B1183" s="9"/>
      <c r="C1183" s="12" t="str">
        <f>IF(B1183="","",IFERROR(INDEX('Cashier Roster'!$C$5:$C$64,MATCH(B1183,'Cashier Roster'!$B$5:$B$64,0)),"Not on roster"))</f>
        <v/>
      </c>
      <c r="D1183" s="12" t="str">
        <f>IF(B1183="","",IFERROR(INDEX('Cashier Roster'!$D$5:$D$64,MATCH(B1183,'Cashier Roster'!$B$5:$B$64,0)),""))</f>
        <v/>
      </c>
      <c r="E1183" s="13"/>
      <c r="F1183" s="14"/>
      <c r="G1183" s="8" t="str">
        <f>IF(OR(B1183="",E1183=""),"",IF(E1183="No","Missed",IF(F1183="","",IF(F1183&lt;=Settings!$B$7,"On time","Late"))))</f>
        <v/>
      </c>
      <c r="H1183" s="15"/>
      <c r="I1183" s="16"/>
      <c r="J1183" s="16"/>
      <c r="K1183" s="17" t="str">
        <f>IF(J1183="","",ROUND(J1183*Settings!$B$8,2))</f>
        <v/>
      </c>
      <c r="L1183" s="16"/>
      <c r="M1183" s="8" t="str">
        <f t="shared" si="18"/>
        <v/>
      </c>
      <c r="N1183" s="9"/>
    </row>
    <row r="1184" spans="1:14" ht="15.75">
      <c r="A1184" s="11"/>
      <c r="B1184" s="9"/>
      <c r="C1184" s="12" t="str">
        <f>IF(B1184="","",IFERROR(INDEX('Cashier Roster'!$C$5:$C$64,MATCH(B1184,'Cashier Roster'!$B$5:$B$64,0)),"Not on roster"))</f>
        <v/>
      </c>
      <c r="D1184" s="12" t="str">
        <f>IF(B1184="","",IFERROR(INDEX('Cashier Roster'!$D$5:$D$64,MATCH(B1184,'Cashier Roster'!$B$5:$B$64,0)),""))</f>
        <v/>
      </c>
      <c r="E1184" s="13"/>
      <c r="F1184" s="14"/>
      <c r="G1184" s="8" t="str">
        <f>IF(OR(B1184="",E1184=""),"",IF(E1184="No","Missed",IF(F1184="","",IF(F1184&lt;=Settings!$B$7,"On time","Late"))))</f>
        <v/>
      </c>
      <c r="H1184" s="15"/>
      <c r="I1184" s="16"/>
      <c r="J1184" s="16"/>
      <c r="K1184" s="17" t="str">
        <f>IF(J1184="","",ROUND(J1184*Settings!$B$8,2))</f>
        <v/>
      </c>
      <c r="L1184" s="16"/>
      <c r="M1184" s="8" t="str">
        <f t="shared" si="18"/>
        <v/>
      </c>
      <c r="N1184" s="9"/>
    </row>
    <row r="1185" spans="1:14" ht="15.75">
      <c r="A1185" s="11"/>
      <c r="B1185" s="9"/>
      <c r="C1185" s="12" t="str">
        <f>IF(B1185="","",IFERROR(INDEX('Cashier Roster'!$C$5:$C$64,MATCH(B1185,'Cashier Roster'!$B$5:$B$64,0)),"Not on roster"))</f>
        <v/>
      </c>
      <c r="D1185" s="12" t="str">
        <f>IF(B1185="","",IFERROR(INDEX('Cashier Roster'!$D$5:$D$64,MATCH(B1185,'Cashier Roster'!$B$5:$B$64,0)),""))</f>
        <v/>
      </c>
      <c r="E1185" s="13"/>
      <c r="F1185" s="14"/>
      <c r="G1185" s="8" t="str">
        <f>IF(OR(B1185="",E1185=""),"",IF(E1185="No","Missed",IF(F1185="","",IF(F1185&lt;=Settings!$B$7,"On time","Late"))))</f>
        <v/>
      </c>
      <c r="H1185" s="15"/>
      <c r="I1185" s="16"/>
      <c r="J1185" s="16"/>
      <c r="K1185" s="17" t="str">
        <f>IF(J1185="","",ROUND(J1185*Settings!$B$8,2))</f>
        <v/>
      </c>
      <c r="L1185" s="16"/>
      <c r="M1185" s="8" t="str">
        <f t="shared" si="18"/>
        <v/>
      </c>
      <c r="N1185" s="9"/>
    </row>
    <row r="1186" spans="1:14" ht="15.75">
      <c r="A1186" s="11"/>
      <c r="B1186" s="9"/>
      <c r="C1186" s="12" t="str">
        <f>IF(B1186="","",IFERROR(INDEX('Cashier Roster'!$C$5:$C$64,MATCH(B1186,'Cashier Roster'!$B$5:$B$64,0)),"Not on roster"))</f>
        <v/>
      </c>
      <c r="D1186" s="12" t="str">
        <f>IF(B1186="","",IFERROR(INDEX('Cashier Roster'!$D$5:$D$64,MATCH(B1186,'Cashier Roster'!$B$5:$B$64,0)),""))</f>
        <v/>
      </c>
      <c r="E1186" s="13"/>
      <c r="F1186" s="14"/>
      <c r="G1186" s="8" t="str">
        <f>IF(OR(B1186="",E1186=""),"",IF(E1186="No","Missed",IF(F1186="","",IF(F1186&lt;=Settings!$B$7,"On time","Late"))))</f>
        <v/>
      </c>
      <c r="H1186" s="15"/>
      <c r="I1186" s="16"/>
      <c r="J1186" s="16"/>
      <c r="K1186" s="17" t="str">
        <f>IF(J1186="","",ROUND(J1186*Settings!$B$8,2))</f>
        <v/>
      </c>
      <c r="L1186" s="16"/>
      <c r="M1186" s="8" t="str">
        <f t="shared" si="18"/>
        <v/>
      </c>
      <c r="N1186" s="9"/>
    </row>
    <row r="1187" spans="1:14" ht="15.75">
      <c r="A1187" s="11"/>
      <c r="B1187" s="9"/>
      <c r="C1187" s="12" t="str">
        <f>IF(B1187="","",IFERROR(INDEX('Cashier Roster'!$C$5:$C$64,MATCH(B1187,'Cashier Roster'!$B$5:$B$64,0)),"Not on roster"))</f>
        <v/>
      </c>
      <c r="D1187" s="12" t="str">
        <f>IF(B1187="","",IFERROR(INDEX('Cashier Roster'!$D$5:$D$64,MATCH(B1187,'Cashier Roster'!$B$5:$B$64,0)),""))</f>
        <v/>
      </c>
      <c r="E1187" s="13"/>
      <c r="F1187" s="14"/>
      <c r="G1187" s="8" t="str">
        <f>IF(OR(B1187="",E1187=""),"",IF(E1187="No","Missed",IF(F1187="","",IF(F1187&lt;=Settings!$B$7,"On time","Late"))))</f>
        <v/>
      </c>
      <c r="H1187" s="15"/>
      <c r="I1187" s="16"/>
      <c r="J1187" s="16"/>
      <c r="K1187" s="17" t="str">
        <f>IF(J1187="","",ROUND(J1187*Settings!$B$8,2))</f>
        <v/>
      </c>
      <c r="L1187" s="16"/>
      <c r="M1187" s="8" t="str">
        <f t="shared" si="18"/>
        <v/>
      </c>
      <c r="N1187" s="9"/>
    </row>
    <row r="1188" spans="1:14" ht="15.75">
      <c r="A1188" s="11"/>
      <c r="B1188" s="9"/>
      <c r="C1188" s="12" t="str">
        <f>IF(B1188="","",IFERROR(INDEX('Cashier Roster'!$C$5:$C$64,MATCH(B1188,'Cashier Roster'!$B$5:$B$64,0)),"Not on roster"))</f>
        <v/>
      </c>
      <c r="D1188" s="12" t="str">
        <f>IF(B1188="","",IFERROR(INDEX('Cashier Roster'!$D$5:$D$64,MATCH(B1188,'Cashier Roster'!$B$5:$B$64,0)),""))</f>
        <v/>
      </c>
      <c r="E1188" s="13"/>
      <c r="F1188" s="14"/>
      <c r="G1188" s="8" t="str">
        <f>IF(OR(B1188="",E1188=""),"",IF(E1188="No","Missed",IF(F1188="","",IF(F1188&lt;=Settings!$B$7,"On time","Late"))))</f>
        <v/>
      </c>
      <c r="H1188" s="15"/>
      <c r="I1188" s="16"/>
      <c r="J1188" s="16"/>
      <c r="K1188" s="17" t="str">
        <f>IF(J1188="","",ROUND(J1188*Settings!$B$8,2))</f>
        <v/>
      </c>
      <c r="L1188" s="16"/>
      <c r="M1188" s="8" t="str">
        <f t="shared" si="18"/>
        <v/>
      </c>
      <c r="N1188" s="9"/>
    </row>
    <row r="1189" spans="1:14" ht="15.75">
      <c r="A1189" s="11"/>
      <c r="B1189" s="9"/>
      <c r="C1189" s="12" t="str">
        <f>IF(B1189="","",IFERROR(INDEX('Cashier Roster'!$C$5:$C$64,MATCH(B1189,'Cashier Roster'!$B$5:$B$64,0)),"Not on roster"))</f>
        <v/>
      </c>
      <c r="D1189" s="12" t="str">
        <f>IF(B1189="","",IFERROR(INDEX('Cashier Roster'!$D$5:$D$64,MATCH(B1189,'Cashier Roster'!$B$5:$B$64,0)),""))</f>
        <v/>
      </c>
      <c r="E1189" s="13"/>
      <c r="F1189" s="14"/>
      <c r="G1189" s="8" t="str">
        <f>IF(OR(B1189="",E1189=""),"",IF(E1189="No","Missed",IF(F1189="","",IF(F1189&lt;=Settings!$B$7,"On time","Late"))))</f>
        <v/>
      </c>
      <c r="H1189" s="15"/>
      <c r="I1189" s="16"/>
      <c r="J1189" s="16"/>
      <c r="K1189" s="17" t="str">
        <f>IF(J1189="","",ROUND(J1189*Settings!$B$8,2))</f>
        <v/>
      </c>
      <c r="L1189" s="16"/>
      <c r="M1189" s="8" t="str">
        <f t="shared" si="18"/>
        <v/>
      </c>
      <c r="N1189" s="9"/>
    </row>
    <row r="1190" spans="1:14" ht="15.75">
      <c r="A1190" s="11"/>
      <c r="B1190" s="9"/>
      <c r="C1190" s="12" t="str">
        <f>IF(B1190="","",IFERROR(INDEX('Cashier Roster'!$C$5:$C$64,MATCH(B1190,'Cashier Roster'!$B$5:$B$64,0)),"Not on roster"))</f>
        <v/>
      </c>
      <c r="D1190" s="12" t="str">
        <f>IF(B1190="","",IFERROR(INDEX('Cashier Roster'!$D$5:$D$64,MATCH(B1190,'Cashier Roster'!$B$5:$B$64,0)),""))</f>
        <v/>
      </c>
      <c r="E1190" s="13"/>
      <c r="F1190" s="14"/>
      <c r="G1190" s="8" t="str">
        <f>IF(OR(B1190="",E1190=""),"",IF(E1190="No","Missed",IF(F1190="","",IF(F1190&lt;=Settings!$B$7,"On time","Late"))))</f>
        <v/>
      </c>
      <c r="H1190" s="15"/>
      <c r="I1190" s="16"/>
      <c r="J1190" s="16"/>
      <c r="K1190" s="17" t="str">
        <f>IF(J1190="","",ROUND(J1190*Settings!$B$8,2))</f>
        <v/>
      </c>
      <c r="L1190" s="16"/>
      <c r="M1190" s="8" t="str">
        <f t="shared" si="18"/>
        <v/>
      </c>
      <c r="N1190" s="9"/>
    </row>
    <row r="1191" spans="1:14" ht="15.75">
      <c r="A1191" s="11"/>
      <c r="B1191" s="9"/>
      <c r="C1191" s="12" t="str">
        <f>IF(B1191="","",IFERROR(INDEX('Cashier Roster'!$C$5:$C$64,MATCH(B1191,'Cashier Roster'!$B$5:$B$64,0)),"Not on roster"))</f>
        <v/>
      </c>
      <c r="D1191" s="12" t="str">
        <f>IF(B1191="","",IFERROR(INDEX('Cashier Roster'!$D$5:$D$64,MATCH(B1191,'Cashier Roster'!$B$5:$B$64,0)),""))</f>
        <v/>
      </c>
      <c r="E1191" s="13"/>
      <c r="F1191" s="14"/>
      <c r="G1191" s="8" t="str">
        <f>IF(OR(B1191="",E1191=""),"",IF(E1191="No","Missed",IF(F1191="","",IF(F1191&lt;=Settings!$B$7,"On time","Late"))))</f>
        <v/>
      </c>
      <c r="H1191" s="15"/>
      <c r="I1191" s="16"/>
      <c r="J1191" s="16"/>
      <c r="K1191" s="17" t="str">
        <f>IF(J1191="","",ROUND(J1191*Settings!$B$8,2))</f>
        <v/>
      </c>
      <c r="L1191" s="16"/>
      <c r="M1191" s="8" t="str">
        <f t="shared" si="18"/>
        <v/>
      </c>
      <c r="N1191" s="9"/>
    </row>
    <row r="1192" spans="1:14" ht="15.75">
      <c r="A1192" s="11"/>
      <c r="B1192" s="9"/>
      <c r="C1192" s="12" t="str">
        <f>IF(B1192="","",IFERROR(INDEX('Cashier Roster'!$C$5:$C$64,MATCH(B1192,'Cashier Roster'!$B$5:$B$64,0)),"Not on roster"))</f>
        <v/>
      </c>
      <c r="D1192" s="12" t="str">
        <f>IF(B1192="","",IFERROR(INDEX('Cashier Roster'!$D$5:$D$64,MATCH(B1192,'Cashier Roster'!$B$5:$B$64,0)),""))</f>
        <v/>
      </c>
      <c r="E1192" s="13"/>
      <c r="F1192" s="14"/>
      <c r="G1192" s="8" t="str">
        <f>IF(OR(B1192="",E1192=""),"",IF(E1192="No","Missed",IF(F1192="","",IF(F1192&lt;=Settings!$B$7,"On time","Late"))))</f>
        <v/>
      </c>
      <c r="H1192" s="15"/>
      <c r="I1192" s="16"/>
      <c r="J1192" s="16"/>
      <c r="K1192" s="17" t="str">
        <f>IF(J1192="","",ROUND(J1192*Settings!$B$8,2))</f>
        <v/>
      </c>
      <c r="L1192" s="16"/>
      <c r="M1192" s="8" t="str">
        <f t="shared" si="18"/>
        <v/>
      </c>
      <c r="N1192" s="9"/>
    </row>
    <row r="1193" spans="1:14" ht="15.75">
      <c r="A1193" s="11"/>
      <c r="B1193" s="9"/>
      <c r="C1193" s="12" t="str">
        <f>IF(B1193="","",IFERROR(INDEX('Cashier Roster'!$C$5:$C$64,MATCH(B1193,'Cashier Roster'!$B$5:$B$64,0)),"Not on roster"))</f>
        <v/>
      </c>
      <c r="D1193" s="12" t="str">
        <f>IF(B1193="","",IFERROR(INDEX('Cashier Roster'!$D$5:$D$64,MATCH(B1193,'Cashier Roster'!$B$5:$B$64,0)),""))</f>
        <v/>
      </c>
      <c r="E1193" s="13"/>
      <c r="F1193" s="14"/>
      <c r="G1193" s="8" t="str">
        <f>IF(OR(B1193="",E1193=""),"",IF(E1193="No","Missed",IF(F1193="","",IF(F1193&lt;=Settings!$B$7,"On time","Late"))))</f>
        <v/>
      </c>
      <c r="H1193" s="15"/>
      <c r="I1193" s="16"/>
      <c r="J1193" s="16"/>
      <c r="K1193" s="17" t="str">
        <f>IF(J1193="","",ROUND(J1193*Settings!$B$8,2))</f>
        <v/>
      </c>
      <c r="L1193" s="16"/>
      <c r="M1193" s="8" t="str">
        <f t="shared" si="18"/>
        <v/>
      </c>
      <c r="N1193" s="9"/>
    </row>
    <row r="1194" spans="1:14" ht="15.75">
      <c r="A1194" s="11"/>
      <c r="B1194" s="9"/>
      <c r="C1194" s="12" t="str">
        <f>IF(B1194="","",IFERROR(INDEX('Cashier Roster'!$C$5:$C$64,MATCH(B1194,'Cashier Roster'!$B$5:$B$64,0)),"Not on roster"))</f>
        <v/>
      </c>
      <c r="D1194" s="12" t="str">
        <f>IF(B1194="","",IFERROR(INDEX('Cashier Roster'!$D$5:$D$64,MATCH(B1194,'Cashier Roster'!$B$5:$B$64,0)),""))</f>
        <v/>
      </c>
      <c r="E1194" s="13"/>
      <c r="F1194" s="14"/>
      <c r="G1194" s="8" t="str">
        <f>IF(OR(B1194="",E1194=""),"",IF(E1194="No","Missed",IF(F1194="","",IF(F1194&lt;=Settings!$B$7,"On time","Late"))))</f>
        <v/>
      </c>
      <c r="H1194" s="15"/>
      <c r="I1194" s="16"/>
      <c r="J1194" s="16"/>
      <c r="K1194" s="17" t="str">
        <f>IF(J1194="","",ROUND(J1194*Settings!$B$8,2))</f>
        <v/>
      </c>
      <c r="L1194" s="16"/>
      <c r="M1194" s="8" t="str">
        <f t="shared" si="18"/>
        <v/>
      </c>
      <c r="N1194" s="9"/>
    </row>
    <row r="1195" spans="1:14" ht="15.75">
      <c r="A1195" s="11"/>
      <c r="B1195" s="9"/>
      <c r="C1195" s="12" t="str">
        <f>IF(B1195="","",IFERROR(INDEX('Cashier Roster'!$C$5:$C$64,MATCH(B1195,'Cashier Roster'!$B$5:$B$64,0)),"Not on roster"))</f>
        <v/>
      </c>
      <c r="D1195" s="12" t="str">
        <f>IF(B1195="","",IFERROR(INDEX('Cashier Roster'!$D$5:$D$64,MATCH(B1195,'Cashier Roster'!$B$5:$B$64,0)),""))</f>
        <v/>
      </c>
      <c r="E1195" s="13"/>
      <c r="F1195" s="14"/>
      <c r="G1195" s="8" t="str">
        <f>IF(OR(B1195="",E1195=""),"",IF(E1195="No","Missed",IF(F1195="","",IF(F1195&lt;=Settings!$B$7,"On time","Late"))))</f>
        <v/>
      </c>
      <c r="H1195" s="15"/>
      <c r="I1195" s="16"/>
      <c r="J1195" s="16"/>
      <c r="K1195" s="17" t="str">
        <f>IF(J1195="","",ROUND(J1195*Settings!$B$8,2))</f>
        <v/>
      </c>
      <c r="L1195" s="16"/>
      <c r="M1195" s="8" t="str">
        <f t="shared" si="18"/>
        <v/>
      </c>
      <c r="N1195" s="9"/>
    </row>
    <row r="1196" spans="1:14" ht="15.75">
      <c r="A1196" s="11"/>
      <c r="B1196" s="9"/>
      <c r="C1196" s="12" t="str">
        <f>IF(B1196="","",IFERROR(INDEX('Cashier Roster'!$C$5:$C$64,MATCH(B1196,'Cashier Roster'!$B$5:$B$64,0)),"Not on roster"))</f>
        <v/>
      </c>
      <c r="D1196" s="12" t="str">
        <f>IF(B1196="","",IFERROR(INDEX('Cashier Roster'!$D$5:$D$64,MATCH(B1196,'Cashier Roster'!$B$5:$B$64,0)),""))</f>
        <v/>
      </c>
      <c r="E1196" s="13"/>
      <c r="F1196" s="14"/>
      <c r="G1196" s="8" t="str">
        <f>IF(OR(B1196="",E1196=""),"",IF(E1196="No","Missed",IF(F1196="","",IF(F1196&lt;=Settings!$B$7,"On time","Late"))))</f>
        <v/>
      </c>
      <c r="H1196" s="15"/>
      <c r="I1196" s="16"/>
      <c r="J1196" s="16"/>
      <c r="K1196" s="17" t="str">
        <f>IF(J1196="","",ROUND(J1196*Settings!$B$8,2))</f>
        <v/>
      </c>
      <c r="L1196" s="16"/>
      <c r="M1196" s="8" t="str">
        <f t="shared" si="18"/>
        <v/>
      </c>
      <c r="N1196" s="9"/>
    </row>
    <row r="1197" spans="1:14" ht="15.75">
      <c r="A1197" s="11"/>
      <c r="B1197" s="9"/>
      <c r="C1197" s="12" t="str">
        <f>IF(B1197="","",IFERROR(INDEX('Cashier Roster'!$C$5:$C$64,MATCH(B1197,'Cashier Roster'!$B$5:$B$64,0)),"Not on roster"))</f>
        <v/>
      </c>
      <c r="D1197" s="12" t="str">
        <f>IF(B1197="","",IFERROR(INDEX('Cashier Roster'!$D$5:$D$64,MATCH(B1197,'Cashier Roster'!$B$5:$B$64,0)),""))</f>
        <v/>
      </c>
      <c r="E1197" s="13"/>
      <c r="F1197" s="14"/>
      <c r="G1197" s="8" t="str">
        <f>IF(OR(B1197="",E1197=""),"",IF(E1197="No","Missed",IF(F1197="","",IF(F1197&lt;=Settings!$B$7,"On time","Late"))))</f>
        <v/>
      </c>
      <c r="H1197" s="15"/>
      <c r="I1197" s="16"/>
      <c r="J1197" s="16"/>
      <c r="K1197" s="17" t="str">
        <f>IF(J1197="","",ROUND(J1197*Settings!$B$8,2))</f>
        <v/>
      </c>
      <c r="L1197" s="16"/>
      <c r="M1197" s="8" t="str">
        <f t="shared" si="18"/>
        <v/>
      </c>
      <c r="N1197" s="9"/>
    </row>
    <row r="1198" spans="1:14" ht="15.75">
      <c r="A1198" s="11"/>
      <c r="B1198" s="9"/>
      <c r="C1198" s="12" t="str">
        <f>IF(B1198="","",IFERROR(INDEX('Cashier Roster'!$C$5:$C$64,MATCH(B1198,'Cashier Roster'!$B$5:$B$64,0)),"Not on roster"))</f>
        <v/>
      </c>
      <c r="D1198" s="12" t="str">
        <f>IF(B1198="","",IFERROR(INDEX('Cashier Roster'!$D$5:$D$64,MATCH(B1198,'Cashier Roster'!$B$5:$B$64,0)),""))</f>
        <v/>
      </c>
      <c r="E1198" s="13"/>
      <c r="F1198" s="14"/>
      <c r="G1198" s="8" t="str">
        <f>IF(OR(B1198="",E1198=""),"",IF(E1198="No","Missed",IF(F1198="","",IF(F1198&lt;=Settings!$B$7,"On time","Late"))))</f>
        <v/>
      </c>
      <c r="H1198" s="15"/>
      <c r="I1198" s="16"/>
      <c r="J1198" s="16"/>
      <c r="K1198" s="17" t="str">
        <f>IF(J1198="","",ROUND(J1198*Settings!$B$8,2))</f>
        <v/>
      </c>
      <c r="L1198" s="16"/>
      <c r="M1198" s="8" t="str">
        <f t="shared" si="18"/>
        <v/>
      </c>
      <c r="N1198" s="9"/>
    </row>
    <row r="1199" spans="1:14" ht="15.75">
      <c r="A1199" s="11"/>
      <c r="B1199" s="9"/>
      <c r="C1199" s="12" t="str">
        <f>IF(B1199="","",IFERROR(INDEX('Cashier Roster'!$C$5:$C$64,MATCH(B1199,'Cashier Roster'!$B$5:$B$64,0)),"Not on roster"))</f>
        <v/>
      </c>
      <c r="D1199" s="12" t="str">
        <f>IF(B1199="","",IFERROR(INDEX('Cashier Roster'!$D$5:$D$64,MATCH(B1199,'Cashier Roster'!$B$5:$B$64,0)),""))</f>
        <v/>
      </c>
      <c r="E1199" s="13"/>
      <c r="F1199" s="14"/>
      <c r="G1199" s="8" t="str">
        <f>IF(OR(B1199="",E1199=""),"",IF(E1199="No","Missed",IF(F1199="","",IF(F1199&lt;=Settings!$B$7,"On time","Late"))))</f>
        <v/>
      </c>
      <c r="H1199" s="15"/>
      <c r="I1199" s="16"/>
      <c r="J1199" s="16"/>
      <c r="K1199" s="17" t="str">
        <f>IF(J1199="","",ROUND(J1199*Settings!$B$8,2))</f>
        <v/>
      </c>
      <c r="L1199" s="16"/>
      <c r="M1199" s="8" t="str">
        <f t="shared" si="18"/>
        <v/>
      </c>
      <c r="N1199" s="9"/>
    </row>
    <row r="1200" spans="1:14" ht="15.75">
      <c r="A1200" s="11"/>
      <c r="B1200" s="9"/>
      <c r="C1200" s="12" t="str">
        <f>IF(B1200="","",IFERROR(INDEX('Cashier Roster'!$C$5:$C$64,MATCH(B1200,'Cashier Roster'!$B$5:$B$64,0)),"Not on roster"))</f>
        <v/>
      </c>
      <c r="D1200" s="12" t="str">
        <f>IF(B1200="","",IFERROR(INDEX('Cashier Roster'!$D$5:$D$64,MATCH(B1200,'Cashier Roster'!$B$5:$B$64,0)),""))</f>
        <v/>
      </c>
      <c r="E1200" s="13"/>
      <c r="F1200" s="14"/>
      <c r="G1200" s="8" t="str">
        <f>IF(OR(B1200="",E1200=""),"",IF(E1200="No","Missed",IF(F1200="","",IF(F1200&lt;=Settings!$B$7,"On time","Late"))))</f>
        <v/>
      </c>
      <c r="H1200" s="15"/>
      <c r="I1200" s="16"/>
      <c r="J1200" s="16"/>
      <c r="K1200" s="17" t="str">
        <f>IF(J1200="","",ROUND(J1200*Settings!$B$8,2))</f>
        <v/>
      </c>
      <c r="L1200" s="16"/>
      <c r="M1200" s="8" t="str">
        <f t="shared" si="18"/>
        <v/>
      </c>
      <c r="N1200" s="9"/>
    </row>
    <row r="1201" spans="1:14" ht="15.75">
      <c r="A1201" s="11"/>
      <c r="B1201" s="9"/>
      <c r="C1201" s="12" t="str">
        <f>IF(B1201="","",IFERROR(INDEX('Cashier Roster'!$C$5:$C$64,MATCH(B1201,'Cashier Roster'!$B$5:$B$64,0)),"Not on roster"))</f>
        <v/>
      </c>
      <c r="D1201" s="12" t="str">
        <f>IF(B1201="","",IFERROR(INDEX('Cashier Roster'!$D$5:$D$64,MATCH(B1201,'Cashier Roster'!$B$5:$B$64,0)),""))</f>
        <v/>
      </c>
      <c r="E1201" s="13"/>
      <c r="F1201" s="14"/>
      <c r="G1201" s="8" t="str">
        <f>IF(OR(B1201="",E1201=""),"",IF(E1201="No","Missed",IF(F1201="","",IF(F1201&lt;=Settings!$B$7,"On time","Late"))))</f>
        <v/>
      </c>
      <c r="H1201" s="15"/>
      <c r="I1201" s="16"/>
      <c r="J1201" s="16"/>
      <c r="K1201" s="17" t="str">
        <f>IF(J1201="","",ROUND(J1201*Settings!$B$8,2))</f>
        <v/>
      </c>
      <c r="L1201" s="16"/>
      <c r="M1201" s="8" t="str">
        <f t="shared" si="18"/>
        <v/>
      </c>
      <c r="N1201" s="9"/>
    </row>
    <row r="1202" spans="1:14" ht="15.75">
      <c r="A1202" s="11"/>
      <c r="B1202" s="9"/>
      <c r="C1202" s="12" t="str">
        <f>IF(B1202="","",IFERROR(INDEX('Cashier Roster'!$C$5:$C$64,MATCH(B1202,'Cashier Roster'!$B$5:$B$64,0)),"Not on roster"))</f>
        <v/>
      </c>
      <c r="D1202" s="12" t="str">
        <f>IF(B1202="","",IFERROR(INDEX('Cashier Roster'!$D$5:$D$64,MATCH(B1202,'Cashier Roster'!$B$5:$B$64,0)),""))</f>
        <v/>
      </c>
      <c r="E1202" s="13"/>
      <c r="F1202" s="14"/>
      <c r="G1202" s="8" t="str">
        <f>IF(OR(B1202="",E1202=""),"",IF(E1202="No","Missed",IF(F1202="","",IF(F1202&lt;=Settings!$B$7,"On time","Late"))))</f>
        <v/>
      </c>
      <c r="H1202" s="15"/>
      <c r="I1202" s="16"/>
      <c r="J1202" s="16"/>
      <c r="K1202" s="17" t="str">
        <f>IF(J1202="","",ROUND(J1202*Settings!$B$8,2))</f>
        <v/>
      </c>
      <c r="L1202" s="16"/>
      <c r="M1202" s="8" t="str">
        <f t="shared" si="18"/>
        <v/>
      </c>
      <c r="N1202" s="9"/>
    </row>
    <row r="1203" spans="1:14" ht="15.75">
      <c r="A1203" s="11"/>
      <c r="B1203" s="9"/>
      <c r="C1203" s="12" t="str">
        <f>IF(B1203="","",IFERROR(INDEX('Cashier Roster'!$C$5:$C$64,MATCH(B1203,'Cashier Roster'!$B$5:$B$64,0)),"Not on roster"))</f>
        <v/>
      </c>
      <c r="D1203" s="12" t="str">
        <f>IF(B1203="","",IFERROR(INDEX('Cashier Roster'!$D$5:$D$64,MATCH(B1203,'Cashier Roster'!$B$5:$B$64,0)),""))</f>
        <v/>
      </c>
      <c r="E1203" s="13"/>
      <c r="F1203" s="14"/>
      <c r="G1203" s="8" t="str">
        <f>IF(OR(B1203="",E1203=""),"",IF(E1203="No","Missed",IF(F1203="","",IF(F1203&lt;=Settings!$B$7,"On time","Late"))))</f>
        <v/>
      </c>
      <c r="H1203" s="15"/>
      <c r="I1203" s="16"/>
      <c r="J1203" s="16"/>
      <c r="K1203" s="17" t="str">
        <f>IF(J1203="","",ROUND(J1203*Settings!$B$8,2))</f>
        <v/>
      </c>
      <c r="L1203" s="16"/>
      <c r="M1203" s="8" t="str">
        <f t="shared" si="18"/>
        <v/>
      </c>
      <c r="N1203" s="9"/>
    </row>
    <row r="1204" spans="1:14" ht="15.75">
      <c r="A1204" s="11"/>
      <c r="B1204" s="9"/>
      <c r="C1204" s="12" t="str">
        <f>IF(B1204="","",IFERROR(INDEX('Cashier Roster'!$C$5:$C$64,MATCH(B1204,'Cashier Roster'!$B$5:$B$64,0)),"Not on roster"))</f>
        <v/>
      </c>
      <c r="D1204" s="12" t="str">
        <f>IF(B1204="","",IFERROR(INDEX('Cashier Roster'!$D$5:$D$64,MATCH(B1204,'Cashier Roster'!$B$5:$B$64,0)),""))</f>
        <v/>
      </c>
      <c r="E1204" s="13"/>
      <c r="F1204" s="14"/>
      <c r="G1204" s="8" t="str">
        <f>IF(OR(B1204="",E1204=""),"",IF(E1204="No","Missed",IF(F1204="","",IF(F1204&lt;=Settings!$B$7,"On time","Late"))))</f>
        <v/>
      </c>
      <c r="H1204" s="15"/>
      <c r="I1204" s="16"/>
      <c r="J1204" s="16"/>
      <c r="K1204" s="17" t="str">
        <f>IF(J1204="","",ROUND(J1204*Settings!$B$8,2))</f>
        <v/>
      </c>
      <c r="L1204" s="16"/>
      <c r="M1204" s="8" t="str">
        <f t="shared" si="18"/>
        <v/>
      </c>
      <c r="N1204" s="9"/>
    </row>
    <row r="1205" spans="1:14" ht="15.75">
      <c r="A1205" s="11"/>
      <c r="B1205" s="9"/>
      <c r="C1205" s="12" t="str">
        <f>IF(B1205="","",IFERROR(INDEX('Cashier Roster'!$C$5:$C$64,MATCH(B1205,'Cashier Roster'!$B$5:$B$64,0)),"Not on roster"))</f>
        <v/>
      </c>
      <c r="D1205" s="12" t="str">
        <f>IF(B1205="","",IFERROR(INDEX('Cashier Roster'!$D$5:$D$64,MATCH(B1205,'Cashier Roster'!$B$5:$B$64,0)),""))</f>
        <v/>
      </c>
      <c r="E1205" s="13"/>
      <c r="F1205" s="14"/>
      <c r="G1205" s="8" t="str">
        <f>IF(OR(B1205="",E1205=""),"",IF(E1205="No","Missed",IF(F1205="","",IF(F1205&lt;=Settings!$B$7,"On time","Late"))))</f>
        <v/>
      </c>
      <c r="H1205" s="15"/>
      <c r="I1205" s="16"/>
      <c r="J1205" s="16"/>
      <c r="K1205" s="17" t="str">
        <f>IF(J1205="","",ROUND(J1205*Settings!$B$8,2))</f>
        <v/>
      </c>
      <c r="L1205" s="16"/>
      <c r="M1205" s="8" t="str">
        <f t="shared" si="18"/>
        <v/>
      </c>
      <c r="N1205" s="9"/>
    </row>
    <row r="1206" spans="1:14" ht="15.75">
      <c r="A1206" s="11"/>
      <c r="B1206" s="9"/>
      <c r="C1206" s="12" t="str">
        <f>IF(B1206="","",IFERROR(INDEX('Cashier Roster'!$C$5:$C$64,MATCH(B1206,'Cashier Roster'!$B$5:$B$64,0)),"Not on roster"))</f>
        <v/>
      </c>
      <c r="D1206" s="12" t="str">
        <f>IF(B1206="","",IFERROR(INDEX('Cashier Roster'!$D$5:$D$64,MATCH(B1206,'Cashier Roster'!$B$5:$B$64,0)),""))</f>
        <v/>
      </c>
      <c r="E1206" s="13"/>
      <c r="F1206" s="14"/>
      <c r="G1206" s="8" t="str">
        <f>IF(OR(B1206="",E1206=""),"",IF(E1206="No","Missed",IF(F1206="","",IF(F1206&lt;=Settings!$B$7,"On time","Late"))))</f>
        <v/>
      </c>
      <c r="H1206" s="15"/>
      <c r="I1206" s="16"/>
      <c r="J1206" s="16"/>
      <c r="K1206" s="17" t="str">
        <f>IF(J1206="","",ROUND(J1206*Settings!$B$8,2))</f>
        <v/>
      </c>
      <c r="L1206" s="16"/>
      <c r="M1206" s="8" t="str">
        <f t="shared" si="18"/>
        <v/>
      </c>
      <c r="N1206" s="9"/>
    </row>
    <row r="1207" spans="1:14" ht="15.75">
      <c r="A1207" s="11"/>
      <c r="B1207" s="9"/>
      <c r="C1207" s="12" t="str">
        <f>IF(B1207="","",IFERROR(INDEX('Cashier Roster'!$C$5:$C$64,MATCH(B1207,'Cashier Roster'!$B$5:$B$64,0)),"Not on roster"))</f>
        <v/>
      </c>
      <c r="D1207" s="12" t="str">
        <f>IF(B1207="","",IFERROR(INDEX('Cashier Roster'!$D$5:$D$64,MATCH(B1207,'Cashier Roster'!$B$5:$B$64,0)),""))</f>
        <v/>
      </c>
      <c r="E1207" s="13"/>
      <c r="F1207" s="14"/>
      <c r="G1207" s="8" t="str">
        <f>IF(OR(B1207="",E1207=""),"",IF(E1207="No","Missed",IF(F1207="","",IF(F1207&lt;=Settings!$B$7,"On time","Late"))))</f>
        <v/>
      </c>
      <c r="H1207" s="15"/>
      <c r="I1207" s="16"/>
      <c r="J1207" s="16"/>
      <c r="K1207" s="17" t="str">
        <f>IF(J1207="","",ROUND(J1207*Settings!$B$8,2))</f>
        <v/>
      </c>
      <c r="L1207" s="16"/>
      <c r="M1207" s="8" t="str">
        <f t="shared" si="18"/>
        <v/>
      </c>
      <c r="N1207" s="9"/>
    </row>
    <row r="1208" spans="1:14" ht="15.75">
      <c r="A1208" s="11"/>
      <c r="B1208" s="9"/>
      <c r="C1208" s="12" t="str">
        <f>IF(B1208="","",IFERROR(INDEX('Cashier Roster'!$C$5:$C$64,MATCH(B1208,'Cashier Roster'!$B$5:$B$64,0)),"Not on roster"))</f>
        <v/>
      </c>
      <c r="D1208" s="12" t="str">
        <f>IF(B1208="","",IFERROR(INDEX('Cashier Roster'!$D$5:$D$64,MATCH(B1208,'Cashier Roster'!$B$5:$B$64,0)),""))</f>
        <v/>
      </c>
      <c r="E1208" s="13"/>
      <c r="F1208" s="14"/>
      <c r="G1208" s="8" t="str">
        <f>IF(OR(B1208="",E1208=""),"",IF(E1208="No","Missed",IF(F1208="","",IF(F1208&lt;=Settings!$B$7,"On time","Late"))))</f>
        <v/>
      </c>
      <c r="H1208" s="15"/>
      <c r="I1208" s="16"/>
      <c r="J1208" s="16"/>
      <c r="K1208" s="17" t="str">
        <f>IF(J1208="","",ROUND(J1208*Settings!$B$8,2))</f>
        <v/>
      </c>
      <c r="L1208" s="16"/>
      <c r="M1208" s="8" t="str">
        <f t="shared" si="18"/>
        <v/>
      </c>
      <c r="N1208" s="9"/>
    </row>
    <row r="1209" spans="1:14" ht="15.75">
      <c r="A1209" s="11"/>
      <c r="B1209" s="9"/>
      <c r="C1209" s="12" t="str">
        <f>IF(B1209="","",IFERROR(INDEX('Cashier Roster'!$C$5:$C$64,MATCH(B1209,'Cashier Roster'!$B$5:$B$64,0)),"Not on roster"))</f>
        <v/>
      </c>
      <c r="D1209" s="12" t="str">
        <f>IF(B1209="","",IFERROR(INDEX('Cashier Roster'!$D$5:$D$64,MATCH(B1209,'Cashier Roster'!$B$5:$B$64,0)),""))</f>
        <v/>
      </c>
      <c r="E1209" s="13"/>
      <c r="F1209" s="14"/>
      <c r="G1209" s="8" t="str">
        <f>IF(OR(B1209="",E1209=""),"",IF(E1209="No","Missed",IF(F1209="","",IF(F1209&lt;=Settings!$B$7,"On time","Late"))))</f>
        <v/>
      </c>
      <c r="H1209" s="15"/>
      <c r="I1209" s="16"/>
      <c r="J1209" s="16"/>
      <c r="K1209" s="17" t="str">
        <f>IF(J1209="","",ROUND(J1209*Settings!$B$8,2))</f>
        <v/>
      </c>
      <c r="L1209" s="16"/>
      <c r="M1209" s="8" t="str">
        <f t="shared" si="18"/>
        <v/>
      </c>
      <c r="N1209" s="9"/>
    </row>
    <row r="1210" spans="1:14" ht="15.75">
      <c r="A1210" s="11"/>
      <c r="B1210" s="9"/>
      <c r="C1210" s="12" t="str">
        <f>IF(B1210="","",IFERROR(INDEX('Cashier Roster'!$C$5:$C$64,MATCH(B1210,'Cashier Roster'!$B$5:$B$64,0)),"Not on roster"))</f>
        <v/>
      </c>
      <c r="D1210" s="12" t="str">
        <f>IF(B1210="","",IFERROR(INDEX('Cashier Roster'!$D$5:$D$64,MATCH(B1210,'Cashier Roster'!$B$5:$B$64,0)),""))</f>
        <v/>
      </c>
      <c r="E1210" s="13"/>
      <c r="F1210" s="14"/>
      <c r="G1210" s="8" t="str">
        <f>IF(OR(B1210="",E1210=""),"",IF(E1210="No","Missed",IF(F1210="","",IF(F1210&lt;=Settings!$B$7,"On time","Late"))))</f>
        <v/>
      </c>
      <c r="H1210" s="15"/>
      <c r="I1210" s="16"/>
      <c r="J1210" s="16"/>
      <c r="K1210" s="17" t="str">
        <f>IF(J1210="","",ROUND(J1210*Settings!$B$8,2))</f>
        <v/>
      </c>
      <c r="L1210" s="16"/>
      <c r="M1210" s="8" t="str">
        <f t="shared" si="18"/>
        <v/>
      </c>
      <c r="N1210" s="9"/>
    </row>
    <row r="1211" spans="1:14" ht="15.75">
      <c r="A1211" s="11"/>
      <c r="B1211" s="9"/>
      <c r="C1211" s="12" t="str">
        <f>IF(B1211="","",IFERROR(INDEX('Cashier Roster'!$C$5:$C$64,MATCH(B1211,'Cashier Roster'!$B$5:$B$64,0)),"Not on roster"))</f>
        <v/>
      </c>
      <c r="D1211" s="12" t="str">
        <f>IF(B1211="","",IFERROR(INDEX('Cashier Roster'!$D$5:$D$64,MATCH(B1211,'Cashier Roster'!$B$5:$B$64,0)),""))</f>
        <v/>
      </c>
      <c r="E1211" s="13"/>
      <c r="F1211" s="14"/>
      <c r="G1211" s="8" t="str">
        <f>IF(OR(B1211="",E1211=""),"",IF(E1211="No","Missed",IF(F1211="","",IF(F1211&lt;=Settings!$B$7,"On time","Late"))))</f>
        <v/>
      </c>
      <c r="H1211" s="15"/>
      <c r="I1211" s="16"/>
      <c r="J1211" s="16"/>
      <c r="K1211" s="17" t="str">
        <f>IF(J1211="","",ROUND(J1211*Settings!$B$8,2))</f>
        <v/>
      </c>
      <c r="L1211" s="16"/>
      <c r="M1211" s="8" t="str">
        <f t="shared" si="18"/>
        <v/>
      </c>
      <c r="N1211" s="9"/>
    </row>
    <row r="1212" spans="1:14" ht="15.75">
      <c r="A1212" s="11"/>
      <c r="B1212" s="9"/>
      <c r="C1212" s="12" t="str">
        <f>IF(B1212="","",IFERROR(INDEX('Cashier Roster'!$C$5:$C$64,MATCH(B1212,'Cashier Roster'!$B$5:$B$64,0)),"Not on roster"))</f>
        <v/>
      </c>
      <c r="D1212" s="12" t="str">
        <f>IF(B1212="","",IFERROR(INDEX('Cashier Roster'!$D$5:$D$64,MATCH(B1212,'Cashier Roster'!$B$5:$B$64,0)),""))</f>
        <v/>
      </c>
      <c r="E1212" s="13"/>
      <c r="F1212" s="14"/>
      <c r="G1212" s="8" t="str">
        <f>IF(OR(B1212="",E1212=""),"",IF(E1212="No","Missed",IF(F1212="","",IF(F1212&lt;=Settings!$B$7,"On time","Late"))))</f>
        <v/>
      </c>
      <c r="H1212" s="15"/>
      <c r="I1212" s="16"/>
      <c r="J1212" s="16"/>
      <c r="K1212" s="17" t="str">
        <f>IF(J1212="","",ROUND(J1212*Settings!$B$8,2))</f>
        <v/>
      </c>
      <c r="L1212" s="16"/>
      <c r="M1212" s="8" t="str">
        <f t="shared" si="18"/>
        <v/>
      </c>
      <c r="N1212" s="9"/>
    </row>
    <row r="1213" spans="1:14" ht="15.75">
      <c r="A1213" s="11"/>
      <c r="B1213" s="9"/>
      <c r="C1213" s="12" t="str">
        <f>IF(B1213="","",IFERROR(INDEX('Cashier Roster'!$C$5:$C$64,MATCH(B1213,'Cashier Roster'!$B$5:$B$64,0)),"Not on roster"))</f>
        <v/>
      </c>
      <c r="D1213" s="12" t="str">
        <f>IF(B1213="","",IFERROR(INDEX('Cashier Roster'!$D$5:$D$64,MATCH(B1213,'Cashier Roster'!$B$5:$B$64,0)),""))</f>
        <v/>
      </c>
      <c r="E1213" s="13"/>
      <c r="F1213" s="14"/>
      <c r="G1213" s="8" t="str">
        <f>IF(OR(B1213="",E1213=""),"",IF(E1213="No","Missed",IF(F1213="","",IF(F1213&lt;=Settings!$B$7,"On time","Late"))))</f>
        <v/>
      </c>
      <c r="H1213" s="15"/>
      <c r="I1213" s="16"/>
      <c r="J1213" s="16"/>
      <c r="K1213" s="17" t="str">
        <f>IF(J1213="","",ROUND(J1213*Settings!$B$8,2))</f>
        <v/>
      </c>
      <c r="L1213" s="16"/>
      <c r="M1213" s="8" t="str">
        <f t="shared" si="18"/>
        <v/>
      </c>
      <c r="N1213" s="9"/>
    </row>
    <row r="1214" spans="1:14" ht="15.75">
      <c r="A1214" s="11"/>
      <c r="B1214" s="9"/>
      <c r="C1214" s="12" t="str">
        <f>IF(B1214="","",IFERROR(INDEX('Cashier Roster'!$C$5:$C$64,MATCH(B1214,'Cashier Roster'!$B$5:$B$64,0)),"Not on roster"))</f>
        <v/>
      </c>
      <c r="D1214" s="12" t="str">
        <f>IF(B1214="","",IFERROR(INDEX('Cashier Roster'!$D$5:$D$64,MATCH(B1214,'Cashier Roster'!$B$5:$B$64,0)),""))</f>
        <v/>
      </c>
      <c r="E1214" s="13"/>
      <c r="F1214" s="14"/>
      <c r="G1214" s="8" t="str">
        <f>IF(OR(B1214="",E1214=""),"",IF(E1214="No","Missed",IF(F1214="","",IF(F1214&lt;=Settings!$B$7,"On time","Late"))))</f>
        <v/>
      </c>
      <c r="H1214" s="15"/>
      <c r="I1214" s="16"/>
      <c r="J1214" s="16"/>
      <c r="K1214" s="17" t="str">
        <f>IF(J1214="","",ROUND(J1214*Settings!$B$8,2))</f>
        <v/>
      </c>
      <c r="L1214" s="16"/>
      <c r="M1214" s="8" t="str">
        <f t="shared" si="18"/>
        <v/>
      </c>
      <c r="N1214" s="9"/>
    </row>
    <row r="1215" spans="1:14" ht="15.75">
      <c r="A1215" s="11"/>
      <c r="B1215" s="9"/>
      <c r="C1215" s="12" t="str">
        <f>IF(B1215="","",IFERROR(INDEX('Cashier Roster'!$C$5:$C$64,MATCH(B1215,'Cashier Roster'!$B$5:$B$64,0)),"Not on roster"))</f>
        <v/>
      </c>
      <c r="D1215" s="12" t="str">
        <f>IF(B1215="","",IFERROR(INDEX('Cashier Roster'!$D$5:$D$64,MATCH(B1215,'Cashier Roster'!$B$5:$B$64,0)),""))</f>
        <v/>
      </c>
      <c r="E1215" s="13"/>
      <c r="F1215" s="14"/>
      <c r="G1215" s="8" t="str">
        <f>IF(OR(B1215="",E1215=""),"",IF(E1215="No","Missed",IF(F1215="","",IF(F1215&lt;=Settings!$B$7,"On time","Late"))))</f>
        <v/>
      </c>
      <c r="H1215" s="15"/>
      <c r="I1215" s="16"/>
      <c r="J1215" s="16"/>
      <c r="K1215" s="17" t="str">
        <f>IF(J1215="","",ROUND(J1215*Settings!$B$8,2))</f>
        <v/>
      </c>
      <c r="L1215" s="16"/>
      <c r="M1215" s="8" t="str">
        <f t="shared" si="18"/>
        <v/>
      </c>
      <c r="N1215" s="9"/>
    </row>
    <row r="1216" spans="1:14" ht="15.75">
      <c r="A1216" s="11"/>
      <c r="B1216" s="9"/>
      <c r="C1216" s="12" t="str">
        <f>IF(B1216="","",IFERROR(INDEX('Cashier Roster'!$C$5:$C$64,MATCH(B1216,'Cashier Roster'!$B$5:$B$64,0)),"Not on roster"))</f>
        <v/>
      </c>
      <c r="D1216" s="12" t="str">
        <f>IF(B1216="","",IFERROR(INDEX('Cashier Roster'!$D$5:$D$64,MATCH(B1216,'Cashier Roster'!$B$5:$B$64,0)),""))</f>
        <v/>
      </c>
      <c r="E1216" s="13"/>
      <c r="F1216" s="14"/>
      <c r="G1216" s="8" t="str">
        <f>IF(OR(B1216="",E1216=""),"",IF(E1216="No","Missed",IF(F1216="","",IF(F1216&lt;=Settings!$B$7,"On time","Late"))))</f>
        <v/>
      </c>
      <c r="H1216" s="15"/>
      <c r="I1216" s="16"/>
      <c r="J1216" s="16"/>
      <c r="K1216" s="17" t="str">
        <f>IF(J1216="","",ROUND(J1216*Settings!$B$8,2))</f>
        <v/>
      </c>
      <c r="L1216" s="16"/>
      <c r="M1216" s="8" t="str">
        <f t="shared" si="18"/>
        <v/>
      </c>
      <c r="N1216" s="9"/>
    </row>
    <row r="1217" spans="1:14" ht="15.75">
      <c r="A1217" s="11"/>
      <c r="B1217" s="9"/>
      <c r="C1217" s="12" t="str">
        <f>IF(B1217="","",IFERROR(INDEX('Cashier Roster'!$C$5:$C$64,MATCH(B1217,'Cashier Roster'!$B$5:$B$64,0)),"Not on roster"))</f>
        <v/>
      </c>
      <c r="D1217" s="12" t="str">
        <f>IF(B1217="","",IFERROR(INDEX('Cashier Roster'!$D$5:$D$64,MATCH(B1217,'Cashier Roster'!$B$5:$B$64,0)),""))</f>
        <v/>
      </c>
      <c r="E1217" s="13"/>
      <c r="F1217" s="14"/>
      <c r="G1217" s="8" t="str">
        <f>IF(OR(B1217="",E1217=""),"",IF(E1217="No","Missed",IF(F1217="","",IF(F1217&lt;=Settings!$B$7,"On time","Late"))))</f>
        <v/>
      </c>
      <c r="H1217" s="15"/>
      <c r="I1217" s="16"/>
      <c r="J1217" s="16"/>
      <c r="K1217" s="17" t="str">
        <f>IF(J1217="","",ROUND(J1217*Settings!$B$8,2))</f>
        <v/>
      </c>
      <c r="L1217" s="16"/>
      <c r="M1217" s="8" t="str">
        <f t="shared" si="18"/>
        <v/>
      </c>
      <c r="N1217" s="9"/>
    </row>
    <row r="1218" spans="1:14" ht="15.75">
      <c r="A1218" s="11"/>
      <c r="B1218" s="9"/>
      <c r="C1218" s="12" t="str">
        <f>IF(B1218="","",IFERROR(INDEX('Cashier Roster'!$C$5:$C$64,MATCH(B1218,'Cashier Roster'!$B$5:$B$64,0)),"Not on roster"))</f>
        <v/>
      </c>
      <c r="D1218" s="12" t="str">
        <f>IF(B1218="","",IFERROR(INDEX('Cashier Roster'!$D$5:$D$64,MATCH(B1218,'Cashier Roster'!$B$5:$B$64,0)),""))</f>
        <v/>
      </c>
      <c r="E1218" s="13"/>
      <c r="F1218" s="14"/>
      <c r="G1218" s="8" t="str">
        <f>IF(OR(B1218="",E1218=""),"",IF(E1218="No","Missed",IF(F1218="","",IF(F1218&lt;=Settings!$B$7,"On time","Late"))))</f>
        <v/>
      </c>
      <c r="H1218" s="15"/>
      <c r="I1218" s="16"/>
      <c r="J1218" s="16"/>
      <c r="K1218" s="17" t="str">
        <f>IF(J1218="","",ROUND(J1218*Settings!$B$8,2))</f>
        <v/>
      </c>
      <c r="L1218" s="16"/>
      <c r="M1218" s="8" t="str">
        <f t="shared" si="18"/>
        <v/>
      </c>
      <c r="N1218" s="9"/>
    </row>
    <row r="1219" spans="1:14" ht="15.75">
      <c r="A1219" s="11"/>
      <c r="B1219" s="9"/>
      <c r="C1219" s="12" t="str">
        <f>IF(B1219="","",IFERROR(INDEX('Cashier Roster'!$C$5:$C$64,MATCH(B1219,'Cashier Roster'!$B$5:$B$64,0)),"Not on roster"))</f>
        <v/>
      </c>
      <c r="D1219" s="12" t="str">
        <f>IF(B1219="","",IFERROR(INDEX('Cashier Roster'!$D$5:$D$64,MATCH(B1219,'Cashier Roster'!$B$5:$B$64,0)),""))</f>
        <v/>
      </c>
      <c r="E1219" s="13"/>
      <c r="F1219" s="14"/>
      <c r="G1219" s="8" t="str">
        <f>IF(OR(B1219="",E1219=""),"",IF(E1219="No","Missed",IF(F1219="","",IF(F1219&lt;=Settings!$B$7,"On time","Late"))))</f>
        <v/>
      </c>
      <c r="H1219" s="15"/>
      <c r="I1219" s="16"/>
      <c r="J1219" s="16"/>
      <c r="K1219" s="17" t="str">
        <f>IF(J1219="","",ROUND(J1219*Settings!$B$8,2))</f>
        <v/>
      </c>
      <c r="L1219" s="16"/>
      <c r="M1219" s="8" t="str">
        <f t="shared" si="18"/>
        <v/>
      </c>
      <c r="N1219" s="9"/>
    </row>
    <row r="1220" spans="1:14" ht="15.75">
      <c r="A1220" s="11"/>
      <c r="B1220" s="9"/>
      <c r="C1220" s="12" t="str">
        <f>IF(B1220="","",IFERROR(INDEX('Cashier Roster'!$C$5:$C$64,MATCH(B1220,'Cashier Roster'!$B$5:$B$64,0)),"Not on roster"))</f>
        <v/>
      </c>
      <c r="D1220" s="12" t="str">
        <f>IF(B1220="","",IFERROR(INDEX('Cashier Roster'!$D$5:$D$64,MATCH(B1220,'Cashier Roster'!$B$5:$B$64,0)),""))</f>
        <v/>
      </c>
      <c r="E1220" s="13"/>
      <c r="F1220" s="14"/>
      <c r="G1220" s="8" t="str">
        <f>IF(OR(B1220="",E1220=""),"",IF(E1220="No","Missed",IF(F1220="","",IF(F1220&lt;=Settings!$B$7,"On time","Late"))))</f>
        <v/>
      </c>
      <c r="H1220" s="15"/>
      <c r="I1220" s="16"/>
      <c r="J1220" s="16"/>
      <c r="K1220" s="17" t="str">
        <f>IF(J1220="","",ROUND(J1220*Settings!$B$8,2))</f>
        <v/>
      </c>
      <c r="L1220" s="16"/>
      <c r="M1220" s="8" t="str">
        <f t="shared" si="18"/>
        <v/>
      </c>
      <c r="N1220" s="9"/>
    </row>
    <row r="1221" spans="1:14" ht="15.75">
      <c r="A1221" s="11"/>
      <c r="B1221" s="9"/>
      <c r="C1221" s="12" t="str">
        <f>IF(B1221="","",IFERROR(INDEX('Cashier Roster'!$C$5:$C$64,MATCH(B1221,'Cashier Roster'!$B$5:$B$64,0)),"Not on roster"))</f>
        <v/>
      </c>
      <c r="D1221" s="12" t="str">
        <f>IF(B1221="","",IFERROR(INDEX('Cashier Roster'!$D$5:$D$64,MATCH(B1221,'Cashier Roster'!$B$5:$B$64,0)),""))</f>
        <v/>
      </c>
      <c r="E1221" s="13"/>
      <c r="F1221" s="14"/>
      <c r="G1221" s="8" t="str">
        <f>IF(OR(B1221="",E1221=""),"",IF(E1221="No","Missed",IF(F1221="","",IF(F1221&lt;=Settings!$B$7,"On time","Late"))))</f>
        <v/>
      </c>
      <c r="H1221" s="15"/>
      <c r="I1221" s="16"/>
      <c r="J1221" s="16"/>
      <c r="K1221" s="17" t="str">
        <f>IF(J1221="","",ROUND(J1221*Settings!$B$8,2))</f>
        <v/>
      </c>
      <c r="L1221" s="16"/>
      <c r="M1221" s="8" t="str">
        <f t="shared" ref="M1221:M1284" si="19">IF(L1221="","",IF(L1221&lt;=0,"Yes","No"))</f>
        <v/>
      </c>
      <c r="N1221" s="9"/>
    </row>
    <row r="1222" spans="1:14" ht="15.75">
      <c r="A1222" s="11"/>
      <c r="B1222" s="9"/>
      <c r="C1222" s="12" t="str">
        <f>IF(B1222="","",IFERROR(INDEX('Cashier Roster'!$C$5:$C$64,MATCH(B1222,'Cashier Roster'!$B$5:$B$64,0)),"Not on roster"))</f>
        <v/>
      </c>
      <c r="D1222" s="12" t="str">
        <f>IF(B1222="","",IFERROR(INDEX('Cashier Roster'!$D$5:$D$64,MATCH(B1222,'Cashier Roster'!$B$5:$B$64,0)),""))</f>
        <v/>
      </c>
      <c r="E1222" s="13"/>
      <c r="F1222" s="14"/>
      <c r="G1222" s="8" t="str">
        <f>IF(OR(B1222="",E1222=""),"",IF(E1222="No","Missed",IF(F1222="","",IF(F1222&lt;=Settings!$B$7,"On time","Late"))))</f>
        <v/>
      </c>
      <c r="H1222" s="15"/>
      <c r="I1222" s="16"/>
      <c r="J1222" s="16"/>
      <c r="K1222" s="17" t="str">
        <f>IF(J1222="","",ROUND(J1222*Settings!$B$8,2))</f>
        <v/>
      </c>
      <c r="L1222" s="16"/>
      <c r="M1222" s="8" t="str">
        <f t="shared" si="19"/>
        <v/>
      </c>
      <c r="N1222" s="9"/>
    </row>
    <row r="1223" spans="1:14" ht="15.75">
      <c r="A1223" s="11"/>
      <c r="B1223" s="9"/>
      <c r="C1223" s="12" t="str">
        <f>IF(B1223="","",IFERROR(INDEX('Cashier Roster'!$C$5:$C$64,MATCH(B1223,'Cashier Roster'!$B$5:$B$64,0)),"Not on roster"))</f>
        <v/>
      </c>
      <c r="D1223" s="12" t="str">
        <f>IF(B1223="","",IFERROR(INDEX('Cashier Roster'!$D$5:$D$64,MATCH(B1223,'Cashier Roster'!$B$5:$B$64,0)),""))</f>
        <v/>
      </c>
      <c r="E1223" s="13"/>
      <c r="F1223" s="14"/>
      <c r="G1223" s="8" t="str">
        <f>IF(OR(B1223="",E1223=""),"",IF(E1223="No","Missed",IF(F1223="","",IF(F1223&lt;=Settings!$B$7,"On time","Late"))))</f>
        <v/>
      </c>
      <c r="H1223" s="15"/>
      <c r="I1223" s="16"/>
      <c r="J1223" s="16"/>
      <c r="K1223" s="17" t="str">
        <f>IF(J1223="","",ROUND(J1223*Settings!$B$8,2))</f>
        <v/>
      </c>
      <c r="L1223" s="16"/>
      <c r="M1223" s="8" t="str">
        <f t="shared" si="19"/>
        <v/>
      </c>
      <c r="N1223" s="9"/>
    </row>
    <row r="1224" spans="1:14" ht="15.75">
      <c r="A1224" s="11"/>
      <c r="B1224" s="9"/>
      <c r="C1224" s="12" t="str">
        <f>IF(B1224="","",IFERROR(INDEX('Cashier Roster'!$C$5:$C$64,MATCH(B1224,'Cashier Roster'!$B$5:$B$64,0)),"Not on roster"))</f>
        <v/>
      </c>
      <c r="D1224" s="12" t="str">
        <f>IF(B1224="","",IFERROR(INDEX('Cashier Roster'!$D$5:$D$64,MATCH(B1224,'Cashier Roster'!$B$5:$B$64,0)),""))</f>
        <v/>
      </c>
      <c r="E1224" s="13"/>
      <c r="F1224" s="14"/>
      <c r="G1224" s="8" t="str">
        <f>IF(OR(B1224="",E1224=""),"",IF(E1224="No","Missed",IF(F1224="","",IF(F1224&lt;=Settings!$B$7,"On time","Late"))))</f>
        <v/>
      </c>
      <c r="H1224" s="15"/>
      <c r="I1224" s="16"/>
      <c r="J1224" s="16"/>
      <c r="K1224" s="17" t="str">
        <f>IF(J1224="","",ROUND(J1224*Settings!$B$8,2))</f>
        <v/>
      </c>
      <c r="L1224" s="16"/>
      <c r="M1224" s="8" t="str">
        <f t="shared" si="19"/>
        <v/>
      </c>
      <c r="N1224" s="9"/>
    </row>
    <row r="1225" spans="1:14" ht="15.75">
      <c r="A1225" s="11"/>
      <c r="B1225" s="9"/>
      <c r="C1225" s="12" t="str">
        <f>IF(B1225="","",IFERROR(INDEX('Cashier Roster'!$C$5:$C$64,MATCH(B1225,'Cashier Roster'!$B$5:$B$64,0)),"Not on roster"))</f>
        <v/>
      </c>
      <c r="D1225" s="12" t="str">
        <f>IF(B1225="","",IFERROR(INDEX('Cashier Roster'!$D$5:$D$64,MATCH(B1225,'Cashier Roster'!$B$5:$B$64,0)),""))</f>
        <v/>
      </c>
      <c r="E1225" s="13"/>
      <c r="F1225" s="14"/>
      <c r="G1225" s="8" t="str">
        <f>IF(OR(B1225="",E1225=""),"",IF(E1225="No","Missed",IF(F1225="","",IF(F1225&lt;=Settings!$B$7,"On time","Late"))))</f>
        <v/>
      </c>
      <c r="H1225" s="15"/>
      <c r="I1225" s="16"/>
      <c r="J1225" s="16"/>
      <c r="K1225" s="17" t="str">
        <f>IF(J1225="","",ROUND(J1225*Settings!$B$8,2))</f>
        <v/>
      </c>
      <c r="L1225" s="16"/>
      <c r="M1225" s="8" t="str">
        <f t="shared" si="19"/>
        <v/>
      </c>
      <c r="N1225" s="9"/>
    </row>
    <row r="1226" spans="1:14" ht="15.75">
      <c r="A1226" s="11"/>
      <c r="B1226" s="9"/>
      <c r="C1226" s="12" t="str">
        <f>IF(B1226="","",IFERROR(INDEX('Cashier Roster'!$C$5:$C$64,MATCH(B1226,'Cashier Roster'!$B$5:$B$64,0)),"Not on roster"))</f>
        <v/>
      </c>
      <c r="D1226" s="12" t="str">
        <f>IF(B1226="","",IFERROR(INDEX('Cashier Roster'!$D$5:$D$64,MATCH(B1226,'Cashier Roster'!$B$5:$B$64,0)),""))</f>
        <v/>
      </c>
      <c r="E1226" s="13"/>
      <c r="F1226" s="14"/>
      <c r="G1226" s="8" t="str">
        <f>IF(OR(B1226="",E1226=""),"",IF(E1226="No","Missed",IF(F1226="","",IF(F1226&lt;=Settings!$B$7,"On time","Late"))))</f>
        <v/>
      </c>
      <c r="H1226" s="15"/>
      <c r="I1226" s="16"/>
      <c r="J1226" s="16"/>
      <c r="K1226" s="17" t="str">
        <f>IF(J1226="","",ROUND(J1226*Settings!$B$8,2))</f>
        <v/>
      </c>
      <c r="L1226" s="16"/>
      <c r="M1226" s="8" t="str">
        <f t="shared" si="19"/>
        <v/>
      </c>
      <c r="N1226" s="9"/>
    </row>
    <row r="1227" spans="1:14" ht="15.75">
      <c r="A1227" s="11"/>
      <c r="B1227" s="9"/>
      <c r="C1227" s="12" t="str">
        <f>IF(B1227="","",IFERROR(INDEX('Cashier Roster'!$C$5:$C$64,MATCH(B1227,'Cashier Roster'!$B$5:$B$64,0)),"Not on roster"))</f>
        <v/>
      </c>
      <c r="D1227" s="12" t="str">
        <f>IF(B1227="","",IFERROR(INDEX('Cashier Roster'!$D$5:$D$64,MATCH(B1227,'Cashier Roster'!$B$5:$B$64,0)),""))</f>
        <v/>
      </c>
      <c r="E1227" s="13"/>
      <c r="F1227" s="14"/>
      <c r="G1227" s="8" t="str">
        <f>IF(OR(B1227="",E1227=""),"",IF(E1227="No","Missed",IF(F1227="","",IF(F1227&lt;=Settings!$B$7,"On time","Late"))))</f>
        <v/>
      </c>
      <c r="H1227" s="15"/>
      <c r="I1227" s="16"/>
      <c r="J1227" s="16"/>
      <c r="K1227" s="17" t="str">
        <f>IF(J1227="","",ROUND(J1227*Settings!$B$8,2))</f>
        <v/>
      </c>
      <c r="L1227" s="16"/>
      <c r="M1227" s="8" t="str">
        <f t="shared" si="19"/>
        <v/>
      </c>
      <c r="N1227" s="9"/>
    </row>
    <row r="1228" spans="1:14" ht="15.75">
      <c r="A1228" s="11"/>
      <c r="B1228" s="9"/>
      <c r="C1228" s="12" t="str">
        <f>IF(B1228="","",IFERROR(INDEX('Cashier Roster'!$C$5:$C$64,MATCH(B1228,'Cashier Roster'!$B$5:$B$64,0)),"Not on roster"))</f>
        <v/>
      </c>
      <c r="D1228" s="12" t="str">
        <f>IF(B1228="","",IFERROR(INDEX('Cashier Roster'!$D$5:$D$64,MATCH(B1228,'Cashier Roster'!$B$5:$B$64,0)),""))</f>
        <v/>
      </c>
      <c r="E1228" s="13"/>
      <c r="F1228" s="14"/>
      <c r="G1228" s="8" t="str">
        <f>IF(OR(B1228="",E1228=""),"",IF(E1228="No","Missed",IF(F1228="","",IF(F1228&lt;=Settings!$B$7,"On time","Late"))))</f>
        <v/>
      </c>
      <c r="H1228" s="15"/>
      <c r="I1228" s="16"/>
      <c r="J1228" s="16"/>
      <c r="K1228" s="17" t="str">
        <f>IF(J1228="","",ROUND(J1228*Settings!$B$8,2))</f>
        <v/>
      </c>
      <c r="L1228" s="16"/>
      <c r="M1228" s="8" t="str">
        <f t="shared" si="19"/>
        <v/>
      </c>
      <c r="N1228" s="9"/>
    </row>
    <row r="1229" spans="1:14" ht="15.75">
      <c r="A1229" s="11"/>
      <c r="B1229" s="9"/>
      <c r="C1229" s="12" t="str">
        <f>IF(B1229="","",IFERROR(INDEX('Cashier Roster'!$C$5:$C$64,MATCH(B1229,'Cashier Roster'!$B$5:$B$64,0)),"Not on roster"))</f>
        <v/>
      </c>
      <c r="D1229" s="12" t="str">
        <f>IF(B1229="","",IFERROR(INDEX('Cashier Roster'!$D$5:$D$64,MATCH(B1229,'Cashier Roster'!$B$5:$B$64,0)),""))</f>
        <v/>
      </c>
      <c r="E1229" s="13"/>
      <c r="F1229" s="14"/>
      <c r="G1229" s="8" t="str">
        <f>IF(OR(B1229="",E1229=""),"",IF(E1229="No","Missed",IF(F1229="","",IF(F1229&lt;=Settings!$B$7,"On time","Late"))))</f>
        <v/>
      </c>
      <c r="H1229" s="15"/>
      <c r="I1229" s="16"/>
      <c r="J1229" s="16"/>
      <c r="K1229" s="17" t="str">
        <f>IF(J1229="","",ROUND(J1229*Settings!$B$8,2))</f>
        <v/>
      </c>
      <c r="L1229" s="16"/>
      <c r="M1229" s="8" t="str">
        <f t="shared" si="19"/>
        <v/>
      </c>
      <c r="N1229" s="9"/>
    </row>
    <row r="1230" spans="1:14" ht="15.75">
      <c r="A1230" s="11"/>
      <c r="B1230" s="9"/>
      <c r="C1230" s="12" t="str">
        <f>IF(B1230="","",IFERROR(INDEX('Cashier Roster'!$C$5:$C$64,MATCH(B1230,'Cashier Roster'!$B$5:$B$64,0)),"Not on roster"))</f>
        <v/>
      </c>
      <c r="D1230" s="12" t="str">
        <f>IF(B1230="","",IFERROR(INDEX('Cashier Roster'!$D$5:$D$64,MATCH(B1230,'Cashier Roster'!$B$5:$B$64,0)),""))</f>
        <v/>
      </c>
      <c r="E1230" s="13"/>
      <c r="F1230" s="14"/>
      <c r="G1230" s="8" t="str">
        <f>IF(OR(B1230="",E1230=""),"",IF(E1230="No","Missed",IF(F1230="","",IF(F1230&lt;=Settings!$B$7,"On time","Late"))))</f>
        <v/>
      </c>
      <c r="H1230" s="15"/>
      <c r="I1230" s="16"/>
      <c r="J1230" s="16"/>
      <c r="K1230" s="17" t="str">
        <f>IF(J1230="","",ROUND(J1230*Settings!$B$8,2))</f>
        <v/>
      </c>
      <c r="L1230" s="16"/>
      <c r="M1230" s="8" t="str">
        <f t="shared" si="19"/>
        <v/>
      </c>
      <c r="N1230" s="9"/>
    </row>
    <row r="1231" spans="1:14" ht="15.75">
      <c r="A1231" s="11"/>
      <c r="B1231" s="9"/>
      <c r="C1231" s="12" t="str">
        <f>IF(B1231="","",IFERROR(INDEX('Cashier Roster'!$C$5:$C$64,MATCH(B1231,'Cashier Roster'!$B$5:$B$64,0)),"Not on roster"))</f>
        <v/>
      </c>
      <c r="D1231" s="12" t="str">
        <f>IF(B1231="","",IFERROR(INDEX('Cashier Roster'!$D$5:$D$64,MATCH(B1231,'Cashier Roster'!$B$5:$B$64,0)),""))</f>
        <v/>
      </c>
      <c r="E1231" s="13"/>
      <c r="F1231" s="14"/>
      <c r="G1231" s="8" t="str">
        <f>IF(OR(B1231="",E1231=""),"",IF(E1231="No","Missed",IF(F1231="","",IF(F1231&lt;=Settings!$B$7,"On time","Late"))))</f>
        <v/>
      </c>
      <c r="H1231" s="15"/>
      <c r="I1231" s="16"/>
      <c r="J1231" s="16"/>
      <c r="K1231" s="17" t="str">
        <f>IF(J1231="","",ROUND(J1231*Settings!$B$8,2))</f>
        <v/>
      </c>
      <c r="L1231" s="16"/>
      <c r="M1231" s="8" t="str">
        <f t="shared" si="19"/>
        <v/>
      </c>
      <c r="N1231" s="9"/>
    </row>
    <row r="1232" spans="1:14" ht="15.75">
      <c r="A1232" s="11"/>
      <c r="B1232" s="9"/>
      <c r="C1232" s="12" t="str">
        <f>IF(B1232="","",IFERROR(INDEX('Cashier Roster'!$C$5:$C$64,MATCH(B1232,'Cashier Roster'!$B$5:$B$64,0)),"Not on roster"))</f>
        <v/>
      </c>
      <c r="D1232" s="12" t="str">
        <f>IF(B1232="","",IFERROR(INDEX('Cashier Roster'!$D$5:$D$64,MATCH(B1232,'Cashier Roster'!$B$5:$B$64,0)),""))</f>
        <v/>
      </c>
      <c r="E1232" s="13"/>
      <c r="F1232" s="14"/>
      <c r="G1232" s="8" t="str">
        <f>IF(OR(B1232="",E1232=""),"",IF(E1232="No","Missed",IF(F1232="","",IF(F1232&lt;=Settings!$B$7,"On time","Late"))))</f>
        <v/>
      </c>
      <c r="H1232" s="15"/>
      <c r="I1232" s="16"/>
      <c r="J1232" s="16"/>
      <c r="K1232" s="17" t="str">
        <f>IF(J1232="","",ROUND(J1232*Settings!$B$8,2))</f>
        <v/>
      </c>
      <c r="L1232" s="16"/>
      <c r="M1232" s="8" t="str">
        <f t="shared" si="19"/>
        <v/>
      </c>
      <c r="N1232" s="9"/>
    </row>
    <row r="1233" spans="1:14" ht="15.75">
      <c r="A1233" s="11"/>
      <c r="B1233" s="9"/>
      <c r="C1233" s="12" t="str">
        <f>IF(B1233="","",IFERROR(INDEX('Cashier Roster'!$C$5:$C$64,MATCH(B1233,'Cashier Roster'!$B$5:$B$64,0)),"Not on roster"))</f>
        <v/>
      </c>
      <c r="D1233" s="12" t="str">
        <f>IF(B1233="","",IFERROR(INDEX('Cashier Roster'!$D$5:$D$64,MATCH(B1233,'Cashier Roster'!$B$5:$B$64,0)),""))</f>
        <v/>
      </c>
      <c r="E1233" s="13"/>
      <c r="F1233" s="14"/>
      <c r="G1233" s="8" t="str">
        <f>IF(OR(B1233="",E1233=""),"",IF(E1233="No","Missed",IF(F1233="","",IF(F1233&lt;=Settings!$B$7,"On time","Late"))))</f>
        <v/>
      </c>
      <c r="H1233" s="15"/>
      <c r="I1233" s="16"/>
      <c r="J1233" s="16"/>
      <c r="K1233" s="17" t="str">
        <f>IF(J1233="","",ROUND(J1233*Settings!$B$8,2))</f>
        <v/>
      </c>
      <c r="L1233" s="16"/>
      <c r="M1233" s="8" t="str">
        <f t="shared" si="19"/>
        <v/>
      </c>
      <c r="N1233" s="9"/>
    </row>
    <row r="1234" spans="1:14" ht="15.75">
      <c r="A1234" s="11"/>
      <c r="B1234" s="9"/>
      <c r="C1234" s="12" t="str">
        <f>IF(B1234="","",IFERROR(INDEX('Cashier Roster'!$C$5:$C$64,MATCH(B1234,'Cashier Roster'!$B$5:$B$64,0)),"Not on roster"))</f>
        <v/>
      </c>
      <c r="D1234" s="12" t="str">
        <f>IF(B1234="","",IFERROR(INDEX('Cashier Roster'!$D$5:$D$64,MATCH(B1234,'Cashier Roster'!$B$5:$B$64,0)),""))</f>
        <v/>
      </c>
      <c r="E1234" s="13"/>
      <c r="F1234" s="14"/>
      <c r="G1234" s="8" t="str">
        <f>IF(OR(B1234="",E1234=""),"",IF(E1234="No","Missed",IF(F1234="","",IF(F1234&lt;=Settings!$B$7,"On time","Late"))))</f>
        <v/>
      </c>
      <c r="H1234" s="15"/>
      <c r="I1234" s="16"/>
      <c r="J1234" s="16"/>
      <c r="K1234" s="17" t="str">
        <f>IF(J1234="","",ROUND(J1234*Settings!$B$8,2))</f>
        <v/>
      </c>
      <c r="L1234" s="16"/>
      <c r="M1234" s="8" t="str">
        <f t="shared" si="19"/>
        <v/>
      </c>
      <c r="N1234" s="9"/>
    </row>
    <row r="1235" spans="1:14" ht="15.75">
      <c r="A1235" s="11"/>
      <c r="B1235" s="9"/>
      <c r="C1235" s="12" t="str">
        <f>IF(B1235="","",IFERROR(INDEX('Cashier Roster'!$C$5:$C$64,MATCH(B1235,'Cashier Roster'!$B$5:$B$64,0)),"Not on roster"))</f>
        <v/>
      </c>
      <c r="D1235" s="12" t="str">
        <f>IF(B1235="","",IFERROR(INDEX('Cashier Roster'!$D$5:$D$64,MATCH(B1235,'Cashier Roster'!$B$5:$B$64,0)),""))</f>
        <v/>
      </c>
      <c r="E1235" s="13"/>
      <c r="F1235" s="14"/>
      <c r="G1235" s="8" t="str">
        <f>IF(OR(B1235="",E1235=""),"",IF(E1235="No","Missed",IF(F1235="","",IF(F1235&lt;=Settings!$B$7,"On time","Late"))))</f>
        <v/>
      </c>
      <c r="H1235" s="15"/>
      <c r="I1235" s="16"/>
      <c r="J1235" s="16"/>
      <c r="K1235" s="17" t="str">
        <f>IF(J1235="","",ROUND(J1235*Settings!$B$8,2))</f>
        <v/>
      </c>
      <c r="L1235" s="16"/>
      <c r="M1235" s="8" t="str">
        <f t="shared" si="19"/>
        <v/>
      </c>
      <c r="N1235" s="9"/>
    </row>
    <row r="1236" spans="1:14" ht="15.75">
      <c r="A1236" s="11"/>
      <c r="B1236" s="9"/>
      <c r="C1236" s="12" t="str">
        <f>IF(B1236="","",IFERROR(INDEX('Cashier Roster'!$C$5:$C$64,MATCH(B1236,'Cashier Roster'!$B$5:$B$64,0)),"Not on roster"))</f>
        <v/>
      </c>
      <c r="D1236" s="12" t="str">
        <f>IF(B1236="","",IFERROR(INDEX('Cashier Roster'!$D$5:$D$64,MATCH(B1236,'Cashier Roster'!$B$5:$B$64,0)),""))</f>
        <v/>
      </c>
      <c r="E1236" s="13"/>
      <c r="F1236" s="14"/>
      <c r="G1236" s="8" t="str">
        <f>IF(OR(B1236="",E1236=""),"",IF(E1236="No","Missed",IF(F1236="","",IF(F1236&lt;=Settings!$B$7,"On time","Late"))))</f>
        <v/>
      </c>
      <c r="H1236" s="15"/>
      <c r="I1236" s="16"/>
      <c r="J1236" s="16"/>
      <c r="K1236" s="17" t="str">
        <f>IF(J1236="","",ROUND(J1236*Settings!$B$8,2))</f>
        <v/>
      </c>
      <c r="L1236" s="16"/>
      <c r="M1236" s="8" t="str">
        <f t="shared" si="19"/>
        <v/>
      </c>
      <c r="N1236" s="9"/>
    </row>
    <row r="1237" spans="1:14" ht="15.75">
      <c r="A1237" s="11"/>
      <c r="B1237" s="9"/>
      <c r="C1237" s="12" t="str">
        <f>IF(B1237="","",IFERROR(INDEX('Cashier Roster'!$C$5:$C$64,MATCH(B1237,'Cashier Roster'!$B$5:$B$64,0)),"Not on roster"))</f>
        <v/>
      </c>
      <c r="D1237" s="12" t="str">
        <f>IF(B1237="","",IFERROR(INDEX('Cashier Roster'!$D$5:$D$64,MATCH(B1237,'Cashier Roster'!$B$5:$B$64,0)),""))</f>
        <v/>
      </c>
      <c r="E1237" s="13"/>
      <c r="F1237" s="14"/>
      <c r="G1237" s="8" t="str">
        <f>IF(OR(B1237="",E1237=""),"",IF(E1237="No","Missed",IF(F1237="","",IF(F1237&lt;=Settings!$B$7,"On time","Late"))))</f>
        <v/>
      </c>
      <c r="H1237" s="15"/>
      <c r="I1237" s="16"/>
      <c r="J1237" s="16"/>
      <c r="K1237" s="17" t="str">
        <f>IF(J1237="","",ROUND(J1237*Settings!$B$8,2))</f>
        <v/>
      </c>
      <c r="L1237" s="16"/>
      <c r="M1237" s="8" t="str">
        <f t="shared" si="19"/>
        <v/>
      </c>
      <c r="N1237" s="9"/>
    </row>
    <row r="1238" spans="1:14" ht="15.75">
      <c r="A1238" s="11"/>
      <c r="B1238" s="9"/>
      <c r="C1238" s="12" t="str">
        <f>IF(B1238="","",IFERROR(INDEX('Cashier Roster'!$C$5:$C$64,MATCH(B1238,'Cashier Roster'!$B$5:$B$64,0)),"Not on roster"))</f>
        <v/>
      </c>
      <c r="D1238" s="12" t="str">
        <f>IF(B1238="","",IFERROR(INDEX('Cashier Roster'!$D$5:$D$64,MATCH(B1238,'Cashier Roster'!$B$5:$B$64,0)),""))</f>
        <v/>
      </c>
      <c r="E1238" s="13"/>
      <c r="F1238" s="14"/>
      <c r="G1238" s="8" t="str">
        <f>IF(OR(B1238="",E1238=""),"",IF(E1238="No","Missed",IF(F1238="","",IF(F1238&lt;=Settings!$B$7,"On time","Late"))))</f>
        <v/>
      </c>
      <c r="H1238" s="15"/>
      <c r="I1238" s="16"/>
      <c r="J1238" s="16"/>
      <c r="K1238" s="17" t="str">
        <f>IF(J1238="","",ROUND(J1238*Settings!$B$8,2))</f>
        <v/>
      </c>
      <c r="L1238" s="16"/>
      <c r="M1238" s="8" t="str">
        <f t="shared" si="19"/>
        <v/>
      </c>
      <c r="N1238" s="9"/>
    </row>
    <row r="1239" spans="1:14" ht="15.75">
      <c r="A1239" s="11"/>
      <c r="B1239" s="9"/>
      <c r="C1239" s="12" t="str">
        <f>IF(B1239="","",IFERROR(INDEX('Cashier Roster'!$C$5:$C$64,MATCH(B1239,'Cashier Roster'!$B$5:$B$64,0)),"Not on roster"))</f>
        <v/>
      </c>
      <c r="D1239" s="12" t="str">
        <f>IF(B1239="","",IFERROR(INDEX('Cashier Roster'!$D$5:$D$64,MATCH(B1239,'Cashier Roster'!$B$5:$B$64,0)),""))</f>
        <v/>
      </c>
      <c r="E1239" s="13"/>
      <c r="F1239" s="14"/>
      <c r="G1239" s="8" t="str">
        <f>IF(OR(B1239="",E1239=""),"",IF(E1239="No","Missed",IF(F1239="","",IF(F1239&lt;=Settings!$B$7,"On time","Late"))))</f>
        <v/>
      </c>
      <c r="H1239" s="15"/>
      <c r="I1239" s="16"/>
      <c r="J1239" s="16"/>
      <c r="K1239" s="17" t="str">
        <f>IF(J1239="","",ROUND(J1239*Settings!$B$8,2))</f>
        <v/>
      </c>
      <c r="L1239" s="16"/>
      <c r="M1239" s="8" t="str">
        <f t="shared" si="19"/>
        <v/>
      </c>
      <c r="N1239" s="9"/>
    </row>
    <row r="1240" spans="1:14" ht="15.75">
      <c r="A1240" s="11"/>
      <c r="B1240" s="9"/>
      <c r="C1240" s="12" t="str">
        <f>IF(B1240="","",IFERROR(INDEX('Cashier Roster'!$C$5:$C$64,MATCH(B1240,'Cashier Roster'!$B$5:$B$64,0)),"Not on roster"))</f>
        <v/>
      </c>
      <c r="D1240" s="12" t="str">
        <f>IF(B1240="","",IFERROR(INDEX('Cashier Roster'!$D$5:$D$64,MATCH(B1240,'Cashier Roster'!$B$5:$B$64,0)),""))</f>
        <v/>
      </c>
      <c r="E1240" s="13"/>
      <c r="F1240" s="14"/>
      <c r="G1240" s="8" t="str">
        <f>IF(OR(B1240="",E1240=""),"",IF(E1240="No","Missed",IF(F1240="","",IF(F1240&lt;=Settings!$B$7,"On time","Late"))))</f>
        <v/>
      </c>
      <c r="H1240" s="15"/>
      <c r="I1240" s="16"/>
      <c r="J1240" s="16"/>
      <c r="K1240" s="17" t="str">
        <f>IF(J1240="","",ROUND(J1240*Settings!$B$8,2))</f>
        <v/>
      </c>
      <c r="L1240" s="16"/>
      <c r="M1240" s="8" t="str">
        <f t="shared" si="19"/>
        <v/>
      </c>
      <c r="N1240" s="9"/>
    </row>
    <row r="1241" spans="1:14" ht="15.75">
      <c r="A1241" s="11"/>
      <c r="B1241" s="9"/>
      <c r="C1241" s="12" t="str">
        <f>IF(B1241="","",IFERROR(INDEX('Cashier Roster'!$C$5:$C$64,MATCH(B1241,'Cashier Roster'!$B$5:$B$64,0)),"Not on roster"))</f>
        <v/>
      </c>
      <c r="D1241" s="12" t="str">
        <f>IF(B1241="","",IFERROR(INDEX('Cashier Roster'!$D$5:$D$64,MATCH(B1241,'Cashier Roster'!$B$5:$B$64,0)),""))</f>
        <v/>
      </c>
      <c r="E1241" s="13"/>
      <c r="F1241" s="14"/>
      <c r="G1241" s="8" t="str">
        <f>IF(OR(B1241="",E1241=""),"",IF(E1241="No","Missed",IF(F1241="","",IF(F1241&lt;=Settings!$B$7,"On time","Late"))))</f>
        <v/>
      </c>
      <c r="H1241" s="15"/>
      <c r="I1241" s="16"/>
      <c r="J1241" s="16"/>
      <c r="K1241" s="17" t="str">
        <f>IF(J1241="","",ROUND(J1241*Settings!$B$8,2))</f>
        <v/>
      </c>
      <c r="L1241" s="16"/>
      <c r="M1241" s="8" t="str">
        <f t="shared" si="19"/>
        <v/>
      </c>
      <c r="N1241" s="9"/>
    </row>
    <row r="1242" spans="1:14" ht="15.75">
      <c r="A1242" s="11"/>
      <c r="B1242" s="9"/>
      <c r="C1242" s="12" t="str">
        <f>IF(B1242="","",IFERROR(INDEX('Cashier Roster'!$C$5:$C$64,MATCH(B1242,'Cashier Roster'!$B$5:$B$64,0)),"Not on roster"))</f>
        <v/>
      </c>
      <c r="D1242" s="12" t="str">
        <f>IF(B1242="","",IFERROR(INDEX('Cashier Roster'!$D$5:$D$64,MATCH(B1242,'Cashier Roster'!$B$5:$B$64,0)),""))</f>
        <v/>
      </c>
      <c r="E1242" s="13"/>
      <c r="F1242" s="14"/>
      <c r="G1242" s="8" t="str">
        <f>IF(OR(B1242="",E1242=""),"",IF(E1242="No","Missed",IF(F1242="","",IF(F1242&lt;=Settings!$B$7,"On time","Late"))))</f>
        <v/>
      </c>
      <c r="H1242" s="15"/>
      <c r="I1242" s="16"/>
      <c r="J1242" s="16"/>
      <c r="K1242" s="17" t="str">
        <f>IF(J1242="","",ROUND(J1242*Settings!$B$8,2))</f>
        <v/>
      </c>
      <c r="L1242" s="16"/>
      <c r="M1242" s="8" t="str">
        <f t="shared" si="19"/>
        <v/>
      </c>
      <c r="N1242" s="9"/>
    </row>
    <row r="1243" spans="1:14" ht="15.75">
      <c r="A1243" s="11"/>
      <c r="B1243" s="9"/>
      <c r="C1243" s="12" t="str">
        <f>IF(B1243="","",IFERROR(INDEX('Cashier Roster'!$C$5:$C$64,MATCH(B1243,'Cashier Roster'!$B$5:$B$64,0)),"Not on roster"))</f>
        <v/>
      </c>
      <c r="D1243" s="12" t="str">
        <f>IF(B1243="","",IFERROR(INDEX('Cashier Roster'!$D$5:$D$64,MATCH(B1243,'Cashier Roster'!$B$5:$B$64,0)),""))</f>
        <v/>
      </c>
      <c r="E1243" s="13"/>
      <c r="F1243" s="14"/>
      <c r="G1243" s="8" t="str">
        <f>IF(OR(B1243="",E1243=""),"",IF(E1243="No","Missed",IF(F1243="","",IF(F1243&lt;=Settings!$B$7,"On time","Late"))))</f>
        <v/>
      </c>
      <c r="H1243" s="15"/>
      <c r="I1243" s="16"/>
      <c r="J1243" s="16"/>
      <c r="K1243" s="17" t="str">
        <f>IF(J1243="","",ROUND(J1243*Settings!$B$8,2))</f>
        <v/>
      </c>
      <c r="L1243" s="16"/>
      <c r="M1243" s="8" t="str">
        <f t="shared" si="19"/>
        <v/>
      </c>
      <c r="N1243" s="9"/>
    </row>
    <row r="1244" spans="1:14" ht="15.75">
      <c r="A1244" s="11"/>
      <c r="B1244" s="9"/>
      <c r="C1244" s="12" t="str">
        <f>IF(B1244="","",IFERROR(INDEX('Cashier Roster'!$C$5:$C$64,MATCH(B1244,'Cashier Roster'!$B$5:$B$64,0)),"Not on roster"))</f>
        <v/>
      </c>
      <c r="D1244" s="12" t="str">
        <f>IF(B1244="","",IFERROR(INDEX('Cashier Roster'!$D$5:$D$64,MATCH(B1244,'Cashier Roster'!$B$5:$B$64,0)),""))</f>
        <v/>
      </c>
      <c r="E1244" s="13"/>
      <c r="F1244" s="14"/>
      <c r="G1244" s="8" t="str">
        <f>IF(OR(B1244="",E1244=""),"",IF(E1244="No","Missed",IF(F1244="","",IF(F1244&lt;=Settings!$B$7,"On time","Late"))))</f>
        <v/>
      </c>
      <c r="H1244" s="15"/>
      <c r="I1244" s="16"/>
      <c r="J1244" s="16"/>
      <c r="K1244" s="17" t="str">
        <f>IF(J1244="","",ROUND(J1244*Settings!$B$8,2))</f>
        <v/>
      </c>
      <c r="L1244" s="16"/>
      <c r="M1244" s="8" t="str">
        <f t="shared" si="19"/>
        <v/>
      </c>
      <c r="N1244" s="9"/>
    </row>
    <row r="1245" spans="1:14" ht="15.75">
      <c r="A1245" s="11"/>
      <c r="B1245" s="9"/>
      <c r="C1245" s="12" t="str">
        <f>IF(B1245="","",IFERROR(INDEX('Cashier Roster'!$C$5:$C$64,MATCH(B1245,'Cashier Roster'!$B$5:$B$64,0)),"Not on roster"))</f>
        <v/>
      </c>
      <c r="D1245" s="12" t="str">
        <f>IF(B1245="","",IFERROR(INDEX('Cashier Roster'!$D$5:$D$64,MATCH(B1245,'Cashier Roster'!$B$5:$B$64,0)),""))</f>
        <v/>
      </c>
      <c r="E1245" s="13"/>
      <c r="F1245" s="14"/>
      <c r="G1245" s="8" t="str">
        <f>IF(OR(B1245="",E1245=""),"",IF(E1245="No","Missed",IF(F1245="","",IF(F1245&lt;=Settings!$B$7,"On time","Late"))))</f>
        <v/>
      </c>
      <c r="H1245" s="15"/>
      <c r="I1245" s="16"/>
      <c r="J1245" s="16"/>
      <c r="K1245" s="17" t="str">
        <f>IF(J1245="","",ROUND(J1245*Settings!$B$8,2))</f>
        <v/>
      </c>
      <c r="L1245" s="16"/>
      <c r="M1245" s="8" t="str">
        <f t="shared" si="19"/>
        <v/>
      </c>
      <c r="N1245" s="9"/>
    </row>
    <row r="1246" spans="1:14" ht="15.75">
      <c r="A1246" s="11"/>
      <c r="B1246" s="9"/>
      <c r="C1246" s="12" t="str">
        <f>IF(B1246="","",IFERROR(INDEX('Cashier Roster'!$C$5:$C$64,MATCH(B1246,'Cashier Roster'!$B$5:$B$64,0)),"Not on roster"))</f>
        <v/>
      </c>
      <c r="D1246" s="12" t="str">
        <f>IF(B1246="","",IFERROR(INDEX('Cashier Roster'!$D$5:$D$64,MATCH(B1246,'Cashier Roster'!$B$5:$B$64,0)),""))</f>
        <v/>
      </c>
      <c r="E1246" s="13"/>
      <c r="F1246" s="14"/>
      <c r="G1246" s="8" t="str">
        <f>IF(OR(B1246="",E1246=""),"",IF(E1246="No","Missed",IF(F1246="","",IF(F1246&lt;=Settings!$B$7,"On time","Late"))))</f>
        <v/>
      </c>
      <c r="H1246" s="15"/>
      <c r="I1246" s="16"/>
      <c r="J1246" s="16"/>
      <c r="K1246" s="17" t="str">
        <f>IF(J1246="","",ROUND(J1246*Settings!$B$8,2))</f>
        <v/>
      </c>
      <c r="L1246" s="16"/>
      <c r="M1246" s="8" t="str">
        <f t="shared" si="19"/>
        <v/>
      </c>
      <c r="N1246" s="9"/>
    </row>
    <row r="1247" spans="1:14" ht="15.75">
      <c r="A1247" s="11"/>
      <c r="B1247" s="9"/>
      <c r="C1247" s="12" t="str">
        <f>IF(B1247="","",IFERROR(INDEX('Cashier Roster'!$C$5:$C$64,MATCH(B1247,'Cashier Roster'!$B$5:$B$64,0)),"Not on roster"))</f>
        <v/>
      </c>
      <c r="D1247" s="12" t="str">
        <f>IF(B1247="","",IFERROR(INDEX('Cashier Roster'!$D$5:$D$64,MATCH(B1247,'Cashier Roster'!$B$5:$B$64,0)),""))</f>
        <v/>
      </c>
      <c r="E1247" s="13"/>
      <c r="F1247" s="14"/>
      <c r="G1247" s="8" t="str">
        <f>IF(OR(B1247="",E1247=""),"",IF(E1247="No","Missed",IF(F1247="","",IF(F1247&lt;=Settings!$B$7,"On time","Late"))))</f>
        <v/>
      </c>
      <c r="H1247" s="15"/>
      <c r="I1247" s="16"/>
      <c r="J1247" s="16"/>
      <c r="K1247" s="17" t="str">
        <f>IF(J1247="","",ROUND(J1247*Settings!$B$8,2))</f>
        <v/>
      </c>
      <c r="L1247" s="16"/>
      <c r="M1247" s="8" t="str">
        <f t="shared" si="19"/>
        <v/>
      </c>
      <c r="N1247" s="9"/>
    </row>
    <row r="1248" spans="1:14" ht="15.75">
      <c r="A1248" s="11"/>
      <c r="B1248" s="9"/>
      <c r="C1248" s="12" t="str">
        <f>IF(B1248="","",IFERROR(INDEX('Cashier Roster'!$C$5:$C$64,MATCH(B1248,'Cashier Roster'!$B$5:$B$64,0)),"Not on roster"))</f>
        <v/>
      </c>
      <c r="D1248" s="12" t="str">
        <f>IF(B1248="","",IFERROR(INDEX('Cashier Roster'!$D$5:$D$64,MATCH(B1248,'Cashier Roster'!$B$5:$B$64,0)),""))</f>
        <v/>
      </c>
      <c r="E1248" s="13"/>
      <c r="F1248" s="14"/>
      <c r="G1248" s="8" t="str">
        <f>IF(OR(B1248="",E1248=""),"",IF(E1248="No","Missed",IF(F1248="","",IF(F1248&lt;=Settings!$B$7,"On time","Late"))))</f>
        <v/>
      </c>
      <c r="H1248" s="15"/>
      <c r="I1248" s="16"/>
      <c r="J1248" s="16"/>
      <c r="K1248" s="17" t="str">
        <f>IF(J1248="","",ROUND(J1248*Settings!$B$8,2))</f>
        <v/>
      </c>
      <c r="L1248" s="16"/>
      <c r="M1248" s="8" t="str">
        <f t="shared" si="19"/>
        <v/>
      </c>
      <c r="N1248" s="9"/>
    </row>
    <row r="1249" spans="1:14" ht="15.75">
      <c r="A1249" s="11"/>
      <c r="B1249" s="9"/>
      <c r="C1249" s="12" t="str">
        <f>IF(B1249="","",IFERROR(INDEX('Cashier Roster'!$C$5:$C$64,MATCH(B1249,'Cashier Roster'!$B$5:$B$64,0)),"Not on roster"))</f>
        <v/>
      </c>
      <c r="D1249" s="12" t="str">
        <f>IF(B1249="","",IFERROR(INDEX('Cashier Roster'!$D$5:$D$64,MATCH(B1249,'Cashier Roster'!$B$5:$B$64,0)),""))</f>
        <v/>
      </c>
      <c r="E1249" s="13"/>
      <c r="F1249" s="14"/>
      <c r="G1249" s="8" t="str">
        <f>IF(OR(B1249="",E1249=""),"",IF(E1249="No","Missed",IF(F1249="","",IF(F1249&lt;=Settings!$B$7,"On time","Late"))))</f>
        <v/>
      </c>
      <c r="H1249" s="15"/>
      <c r="I1249" s="16"/>
      <c r="J1249" s="16"/>
      <c r="K1249" s="17" t="str">
        <f>IF(J1249="","",ROUND(J1249*Settings!$B$8,2))</f>
        <v/>
      </c>
      <c r="L1249" s="16"/>
      <c r="M1249" s="8" t="str">
        <f t="shared" si="19"/>
        <v/>
      </c>
      <c r="N1249" s="9"/>
    </row>
    <row r="1250" spans="1:14" ht="15.75">
      <c r="A1250" s="11"/>
      <c r="B1250" s="9"/>
      <c r="C1250" s="12" t="str">
        <f>IF(B1250="","",IFERROR(INDEX('Cashier Roster'!$C$5:$C$64,MATCH(B1250,'Cashier Roster'!$B$5:$B$64,0)),"Not on roster"))</f>
        <v/>
      </c>
      <c r="D1250" s="12" t="str">
        <f>IF(B1250="","",IFERROR(INDEX('Cashier Roster'!$D$5:$D$64,MATCH(B1250,'Cashier Roster'!$B$5:$B$64,0)),""))</f>
        <v/>
      </c>
      <c r="E1250" s="13"/>
      <c r="F1250" s="14"/>
      <c r="G1250" s="8" t="str">
        <f>IF(OR(B1250="",E1250=""),"",IF(E1250="No","Missed",IF(F1250="","",IF(F1250&lt;=Settings!$B$7,"On time","Late"))))</f>
        <v/>
      </c>
      <c r="H1250" s="15"/>
      <c r="I1250" s="16"/>
      <c r="J1250" s="16"/>
      <c r="K1250" s="17" t="str">
        <f>IF(J1250="","",ROUND(J1250*Settings!$B$8,2))</f>
        <v/>
      </c>
      <c r="L1250" s="16"/>
      <c r="M1250" s="8" t="str">
        <f t="shared" si="19"/>
        <v/>
      </c>
      <c r="N1250" s="9"/>
    </row>
    <row r="1251" spans="1:14" ht="15.75">
      <c r="A1251" s="11"/>
      <c r="B1251" s="9"/>
      <c r="C1251" s="12" t="str">
        <f>IF(B1251="","",IFERROR(INDEX('Cashier Roster'!$C$5:$C$64,MATCH(B1251,'Cashier Roster'!$B$5:$B$64,0)),"Not on roster"))</f>
        <v/>
      </c>
      <c r="D1251" s="12" t="str">
        <f>IF(B1251="","",IFERROR(INDEX('Cashier Roster'!$D$5:$D$64,MATCH(B1251,'Cashier Roster'!$B$5:$B$64,0)),""))</f>
        <v/>
      </c>
      <c r="E1251" s="13"/>
      <c r="F1251" s="14"/>
      <c r="G1251" s="8" t="str">
        <f>IF(OR(B1251="",E1251=""),"",IF(E1251="No","Missed",IF(F1251="","",IF(F1251&lt;=Settings!$B$7,"On time","Late"))))</f>
        <v/>
      </c>
      <c r="H1251" s="15"/>
      <c r="I1251" s="16"/>
      <c r="J1251" s="16"/>
      <c r="K1251" s="17" t="str">
        <f>IF(J1251="","",ROUND(J1251*Settings!$B$8,2))</f>
        <v/>
      </c>
      <c r="L1251" s="16"/>
      <c r="M1251" s="8" t="str">
        <f t="shared" si="19"/>
        <v/>
      </c>
      <c r="N1251" s="9"/>
    </row>
    <row r="1252" spans="1:14" ht="15.75">
      <c r="A1252" s="11"/>
      <c r="B1252" s="9"/>
      <c r="C1252" s="12" t="str">
        <f>IF(B1252="","",IFERROR(INDEX('Cashier Roster'!$C$5:$C$64,MATCH(B1252,'Cashier Roster'!$B$5:$B$64,0)),"Not on roster"))</f>
        <v/>
      </c>
      <c r="D1252" s="12" t="str">
        <f>IF(B1252="","",IFERROR(INDEX('Cashier Roster'!$D$5:$D$64,MATCH(B1252,'Cashier Roster'!$B$5:$B$64,0)),""))</f>
        <v/>
      </c>
      <c r="E1252" s="13"/>
      <c r="F1252" s="14"/>
      <c r="G1252" s="8" t="str">
        <f>IF(OR(B1252="",E1252=""),"",IF(E1252="No","Missed",IF(F1252="","",IF(F1252&lt;=Settings!$B$7,"On time","Late"))))</f>
        <v/>
      </c>
      <c r="H1252" s="15"/>
      <c r="I1252" s="16"/>
      <c r="J1252" s="16"/>
      <c r="K1252" s="17" t="str">
        <f>IF(J1252="","",ROUND(J1252*Settings!$B$8,2))</f>
        <v/>
      </c>
      <c r="L1252" s="16"/>
      <c r="M1252" s="8" t="str">
        <f t="shared" si="19"/>
        <v/>
      </c>
      <c r="N1252" s="9"/>
    </row>
    <row r="1253" spans="1:14" ht="15.75">
      <c r="A1253" s="11"/>
      <c r="B1253" s="9"/>
      <c r="C1253" s="12" t="str">
        <f>IF(B1253="","",IFERROR(INDEX('Cashier Roster'!$C$5:$C$64,MATCH(B1253,'Cashier Roster'!$B$5:$B$64,0)),"Not on roster"))</f>
        <v/>
      </c>
      <c r="D1253" s="12" t="str">
        <f>IF(B1253="","",IFERROR(INDEX('Cashier Roster'!$D$5:$D$64,MATCH(B1253,'Cashier Roster'!$B$5:$B$64,0)),""))</f>
        <v/>
      </c>
      <c r="E1253" s="13"/>
      <c r="F1253" s="14"/>
      <c r="G1253" s="8" t="str">
        <f>IF(OR(B1253="",E1253=""),"",IF(E1253="No","Missed",IF(F1253="","",IF(F1253&lt;=Settings!$B$7,"On time","Late"))))</f>
        <v/>
      </c>
      <c r="H1253" s="15"/>
      <c r="I1253" s="16"/>
      <c r="J1253" s="16"/>
      <c r="K1253" s="17" t="str">
        <f>IF(J1253="","",ROUND(J1253*Settings!$B$8,2))</f>
        <v/>
      </c>
      <c r="L1253" s="16"/>
      <c r="M1253" s="8" t="str">
        <f t="shared" si="19"/>
        <v/>
      </c>
      <c r="N1253" s="9"/>
    </row>
    <row r="1254" spans="1:14" ht="15.75">
      <c r="A1254" s="11"/>
      <c r="B1254" s="9"/>
      <c r="C1254" s="12" t="str">
        <f>IF(B1254="","",IFERROR(INDEX('Cashier Roster'!$C$5:$C$64,MATCH(B1254,'Cashier Roster'!$B$5:$B$64,0)),"Not on roster"))</f>
        <v/>
      </c>
      <c r="D1254" s="12" t="str">
        <f>IF(B1254="","",IFERROR(INDEX('Cashier Roster'!$D$5:$D$64,MATCH(B1254,'Cashier Roster'!$B$5:$B$64,0)),""))</f>
        <v/>
      </c>
      <c r="E1254" s="13"/>
      <c r="F1254" s="14"/>
      <c r="G1254" s="8" t="str">
        <f>IF(OR(B1254="",E1254=""),"",IF(E1254="No","Missed",IF(F1254="","",IF(F1254&lt;=Settings!$B$7,"On time","Late"))))</f>
        <v/>
      </c>
      <c r="H1254" s="15"/>
      <c r="I1254" s="16"/>
      <c r="J1254" s="16"/>
      <c r="K1254" s="17" t="str">
        <f>IF(J1254="","",ROUND(J1254*Settings!$B$8,2))</f>
        <v/>
      </c>
      <c r="L1254" s="16"/>
      <c r="M1254" s="8" t="str">
        <f t="shared" si="19"/>
        <v/>
      </c>
      <c r="N1254" s="9"/>
    </row>
    <row r="1255" spans="1:14" ht="15.75">
      <c r="A1255" s="11"/>
      <c r="B1255" s="9"/>
      <c r="C1255" s="12" t="str">
        <f>IF(B1255="","",IFERROR(INDEX('Cashier Roster'!$C$5:$C$64,MATCH(B1255,'Cashier Roster'!$B$5:$B$64,0)),"Not on roster"))</f>
        <v/>
      </c>
      <c r="D1255" s="12" t="str">
        <f>IF(B1255="","",IFERROR(INDEX('Cashier Roster'!$D$5:$D$64,MATCH(B1255,'Cashier Roster'!$B$5:$B$64,0)),""))</f>
        <v/>
      </c>
      <c r="E1255" s="13"/>
      <c r="F1255" s="14"/>
      <c r="G1255" s="8" t="str">
        <f>IF(OR(B1255="",E1255=""),"",IF(E1255="No","Missed",IF(F1255="","",IF(F1255&lt;=Settings!$B$7,"On time","Late"))))</f>
        <v/>
      </c>
      <c r="H1255" s="15"/>
      <c r="I1255" s="16"/>
      <c r="J1255" s="16"/>
      <c r="K1255" s="17" t="str">
        <f>IF(J1255="","",ROUND(J1255*Settings!$B$8,2))</f>
        <v/>
      </c>
      <c r="L1255" s="16"/>
      <c r="M1255" s="8" t="str">
        <f t="shared" si="19"/>
        <v/>
      </c>
      <c r="N1255" s="9"/>
    </row>
    <row r="1256" spans="1:14" ht="15.75">
      <c r="A1256" s="11"/>
      <c r="B1256" s="9"/>
      <c r="C1256" s="12" t="str">
        <f>IF(B1256="","",IFERROR(INDEX('Cashier Roster'!$C$5:$C$64,MATCH(B1256,'Cashier Roster'!$B$5:$B$64,0)),"Not on roster"))</f>
        <v/>
      </c>
      <c r="D1256" s="12" t="str">
        <f>IF(B1256="","",IFERROR(INDEX('Cashier Roster'!$D$5:$D$64,MATCH(B1256,'Cashier Roster'!$B$5:$B$64,0)),""))</f>
        <v/>
      </c>
      <c r="E1256" s="13"/>
      <c r="F1256" s="14"/>
      <c r="G1256" s="8" t="str">
        <f>IF(OR(B1256="",E1256=""),"",IF(E1256="No","Missed",IF(F1256="","",IF(F1256&lt;=Settings!$B$7,"On time","Late"))))</f>
        <v/>
      </c>
      <c r="H1256" s="15"/>
      <c r="I1256" s="16"/>
      <c r="J1256" s="16"/>
      <c r="K1256" s="17" t="str">
        <f>IF(J1256="","",ROUND(J1256*Settings!$B$8,2))</f>
        <v/>
      </c>
      <c r="L1256" s="16"/>
      <c r="M1256" s="8" t="str">
        <f t="shared" si="19"/>
        <v/>
      </c>
      <c r="N1256" s="9"/>
    </row>
    <row r="1257" spans="1:14" ht="15.75">
      <c r="A1257" s="11"/>
      <c r="B1257" s="9"/>
      <c r="C1257" s="12" t="str">
        <f>IF(B1257="","",IFERROR(INDEX('Cashier Roster'!$C$5:$C$64,MATCH(B1257,'Cashier Roster'!$B$5:$B$64,0)),"Not on roster"))</f>
        <v/>
      </c>
      <c r="D1257" s="12" t="str">
        <f>IF(B1257="","",IFERROR(INDEX('Cashier Roster'!$D$5:$D$64,MATCH(B1257,'Cashier Roster'!$B$5:$B$64,0)),""))</f>
        <v/>
      </c>
      <c r="E1257" s="13"/>
      <c r="F1257" s="14"/>
      <c r="G1257" s="8" t="str">
        <f>IF(OR(B1257="",E1257=""),"",IF(E1257="No","Missed",IF(F1257="","",IF(F1257&lt;=Settings!$B$7,"On time","Late"))))</f>
        <v/>
      </c>
      <c r="H1257" s="15"/>
      <c r="I1257" s="16"/>
      <c r="J1257" s="16"/>
      <c r="K1257" s="17" t="str">
        <f>IF(J1257="","",ROUND(J1257*Settings!$B$8,2))</f>
        <v/>
      </c>
      <c r="L1257" s="16"/>
      <c r="M1257" s="8" t="str">
        <f t="shared" si="19"/>
        <v/>
      </c>
      <c r="N1257" s="9"/>
    </row>
    <row r="1258" spans="1:14" ht="15.75">
      <c r="A1258" s="11"/>
      <c r="B1258" s="9"/>
      <c r="C1258" s="12" t="str">
        <f>IF(B1258="","",IFERROR(INDEX('Cashier Roster'!$C$5:$C$64,MATCH(B1258,'Cashier Roster'!$B$5:$B$64,0)),"Not on roster"))</f>
        <v/>
      </c>
      <c r="D1258" s="12" t="str">
        <f>IF(B1258="","",IFERROR(INDEX('Cashier Roster'!$D$5:$D$64,MATCH(B1258,'Cashier Roster'!$B$5:$B$64,0)),""))</f>
        <v/>
      </c>
      <c r="E1258" s="13"/>
      <c r="F1258" s="14"/>
      <c r="G1258" s="8" t="str">
        <f>IF(OR(B1258="",E1258=""),"",IF(E1258="No","Missed",IF(F1258="","",IF(F1258&lt;=Settings!$B$7,"On time","Late"))))</f>
        <v/>
      </c>
      <c r="H1258" s="15"/>
      <c r="I1258" s="16"/>
      <c r="J1258" s="16"/>
      <c r="K1258" s="17" t="str">
        <f>IF(J1258="","",ROUND(J1258*Settings!$B$8,2))</f>
        <v/>
      </c>
      <c r="L1258" s="16"/>
      <c r="M1258" s="8" t="str">
        <f t="shared" si="19"/>
        <v/>
      </c>
      <c r="N1258" s="9"/>
    </row>
    <row r="1259" spans="1:14" ht="15.75">
      <c r="A1259" s="11"/>
      <c r="B1259" s="9"/>
      <c r="C1259" s="12" t="str">
        <f>IF(B1259="","",IFERROR(INDEX('Cashier Roster'!$C$5:$C$64,MATCH(B1259,'Cashier Roster'!$B$5:$B$64,0)),"Not on roster"))</f>
        <v/>
      </c>
      <c r="D1259" s="12" t="str">
        <f>IF(B1259="","",IFERROR(INDEX('Cashier Roster'!$D$5:$D$64,MATCH(B1259,'Cashier Roster'!$B$5:$B$64,0)),""))</f>
        <v/>
      </c>
      <c r="E1259" s="13"/>
      <c r="F1259" s="14"/>
      <c r="G1259" s="8" t="str">
        <f>IF(OR(B1259="",E1259=""),"",IF(E1259="No","Missed",IF(F1259="","",IF(F1259&lt;=Settings!$B$7,"On time","Late"))))</f>
        <v/>
      </c>
      <c r="H1259" s="15"/>
      <c r="I1259" s="16"/>
      <c r="J1259" s="16"/>
      <c r="K1259" s="17" t="str">
        <f>IF(J1259="","",ROUND(J1259*Settings!$B$8,2))</f>
        <v/>
      </c>
      <c r="L1259" s="16"/>
      <c r="M1259" s="8" t="str">
        <f t="shared" si="19"/>
        <v/>
      </c>
      <c r="N1259" s="9"/>
    </row>
    <row r="1260" spans="1:14" ht="15.75">
      <c r="A1260" s="11"/>
      <c r="B1260" s="9"/>
      <c r="C1260" s="12" t="str">
        <f>IF(B1260="","",IFERROR(INDEX('Cashier Roster'!$C$5:$C$64,MATCH(B1260,'Cashier Roster'!$B$5:$B$64,0)),"Not on roster"))</f>
        <v/>
      </c>
      <c r="D1260" s="12" t="str">
        <f>IF(B1260="","",IFERROR(INDEX('Cashier Roster'!$D$5:$D$64,MATCH(B1260,'Cashier Roster'!$B$5:$B$64,0)),""))</f>
        <v/>
      </c>
      <c r="E1260" s="13"/>
      <c r="F1260" s="14"/>
      <c r="G1260" s="8" t="str">
        <f>IF(OR(B1260="",E1260=""),"",IF(E1260="No","Missed",IF(F1260="","",IF(F1260&lt;=Settings!$B$7,"On time","Late"))))</f>
        <v/>
      </c>
      <c r="H1260" s="15"/>
      <c r="I1260" s="16"/>
      <c r="J1260" s="16"/>
      <c r="K1260" s="17" t="str">
        <f>IF(J1260="","",ROUND(J1260*Settings!$B$8,2))</f>
        <v/>
      </c>
      <c r="L1260" s="16"/>
      <c r="M1260" s="8" t="str">
        <f t="shared" si="19"/>
        <v/>
      </c>
      <c r="N1260" s="9"/>
    </row>
    <row r="1261" spans="1:14" ht="15.75">
      <c r="A1261" s="11"/>
      <c r="B1261" s="9"/>
      <c r="C1261" s="12" t="str">
        <f>IF(B1261="","",IFERROR(INDEX('Cashier Roster'!$C$5:$C$64,MATCH(B1261,'Cashier Roster'!$B$5:$B$64,0)),"Not on roster"))</f>
        <v/>
      </c>
      <c r="D1261" s="12" t="str">
        <f>IF(B1261="","",IFERROR(INDEX('Cashier Roster'!$D$5:$D$64,MATCH(B1261,'Cashier Roster'!$B$5:$B$64,0)),""))</f>
        <v/>
      </c>
      <c r="E1261" s="13"/>
      <c r="F1261" s="14"/>
      <c r="G1261" s="8" t="str">
        <f>IF(OR(B1261="",E1261=""),"",IF(E1261="No","Missed",IF(F1261="","",IF(F1261&lt;=Settings!$B$7,"On time","Late"))))</f>
        <v/>
      </c>
      <c r="H1261" s="15"/>
      <c r="I1261" s="16"/>
      <c r="J1261" s="16"/>
      <c r="K1261" s="17" t="str">
        <f>IF(J1261="","",ROUND(J1261*Settings!$B$8,2))</f>
        <v/>
      </c>
      <c r="L1261" s="16"/>
      <c r="M1261" s="8" t="str">
        <f t="shared" si="19"/>
        <v/>
      </c>
      <c r="N1261" s="9"/>
    </row>
    <row r="1262" spans="1:14" ht="15.75">
      <c r="A1262" s="11"/>
      <c r="B1262" s="9"/>
      <c r="C1262" s="12" t="str">
        <f>IF(B1262="","",IFERROR(INDEX('Cashier Roster'!$C$5:$C$64,MATCH(B1262,'Cashier Roster'!$B$5:$B$64,0)),"Not on roster"))</f>
        <v/>
      </c>
      <c r="D1262" s="12" t="str">
        <f>IF(B1262="","",IFERROR(INDEX('Cashier Roster'!$D$5:$D$64,MATCH(B1262,'Cashier Roster'!$B$5:$B$64,0)),""))</f>
        <v/>
      </c>
      <c r="E1262" s="13"/>
      <c r="F1262" s="14"/>
      <c r="G1262" s="8" t="str">
        <f>IF(OR(B1262="",E1262=""),"",IF(E1262="No","Missed",IF(F1262="","",IF(F1262&lt;=Settings!$B$7,"On time","Late"))))</f>
        <v/>
      </c>
      <c r="H1262" s="15"/>
      <c r="I1262" s="16"/>
      <c r="J1262" s="16"/>
      <c r="K1262" s="17" t="str">
        <f>IF(J1262="","",ROUND(J1262*Settings!$B$8,2))</f>
        <v/>
      </c>
      <c r="L1262" s="16"/>
      <c r="M1262" s="8" t="str">
        <f t="shared" si="19"/>
        <v/>
      </c>
      <c r="N1262" s="9"/>
    </row>
    <row r="1263" spans="1:14" ht="15.75">
      <c r="A1263" s="11"/>
      <c r="B1263" s="9"/>
      <c r="C1263" s="12" t="str">
        <f>IF(B1263="","",IFERROR(INDEX('Cashier Roster'!$C$5:$C$64,MATCH(B1263,'Cashier Roster'!$B$5:$B$64,0)),"Not on roster"))</f>
        <v/>
      </c>
      <c r="D1263" s="12" t="str">
        <f>IF(B1263="","",IFERROR(INDEX('Cashier Roster'!$D$5:$D$64,MATCH(B1263,'Cashier Roster'!$B$5:$B$64,0)),""))</f>
        <v/>
      </c>
      <c r="E1263" s="13"/>
      <c r="F1263" s="14"/>
      <c r="G1263" s="8" t="str">
        <f>IF(OR(B1263="",E1263=""),"",IF(E1263="No","Missed",IF(F1263="","",IF(F1263&lt;=Settings!$B$7,"On time","Late"))))</f>
        <v/>
      </c>
      <c r="H1263" s="15"/>
      <c r="I1263" s="16"/>
      <c r="J1263" s="16"/>
      <c r="K1263" s="17" t="str">
        <f>IF(J1263="","",ROUND(J1263*Settings!$B$8,2))</f>
        <v/>
      </c>
      <c r="L1263" s="16"/>
      <c r="M1263" s="8" t="str">
        <f t="shared" si="19"/>
        <v/>
      </c>
      <c r="N1263" s="9"/>
    </row>
    <row r="1264" spans="1:14" ht="15.75">
      <c r="A1264" s="11"/>
      <c r="B1264" s="9"/>
      <c r="C1264" s="12" t="str">
        <f>IF(B1264="","",IFERROR(INDEX('Cashier Roster'!$C$5:$C$64,MATCH(B1264,'Cashier Roster'!$B$5:$B$64,0)),"Not on roster"))</f>
        <v/>
      </c>
      <c r="D1264" s="12" t="str">
        <f>IF(B1264="","",IFERROR(INDEX('Cashier Roster'!$D$5:$D$64,MATCH(B1264,'Cashier Roster'!$B$5:$B$64,0)),""))</f>
        <v/>
      </c>
      <c r="E1264" s="13"/>
      <c r="F1264" s="14"/>
      <c r="G1264" s="8" t="str">
        <f>IF(OR(B1264="",E1264=""),"",IF(E1264="No","Missed",IF(F1264="","",IF(F1264&lt;=Settings!$B$7,"On time","Late"))))</f>
        <v/>
      </c>
      <c r="H1264" s="15"/>
      <c r="I1264" s="16"/>
      <c r="J1264" s="16"/>
      <c r="K1264" s="17" t="str">
        <f>IF(J1264="","",ROUND(J1264*Settings!$B$8,2))</f>
        <v/>
      </c>
      <c r="L1264" s="16"/>
      <c r="M1264" s="8" t="str">
        <f t="shared" si="19"/>
        <v/>
      </c>
      <c r="N1264" s="9"/>
    </row>
    <row r="1265" spans="1:14" ht="15.75">
      <c r="A1265" s="11"/>
      <c r="B1265" s="9"/>
      <c r="C1265" s="12" t="str">
        <f>IF(B1265="","",IFERROR(INDEX('Cashier Roster'!$C$5:$C$64,MATCH(B1265,'Cashier Roster'!$B$5:$B$64,0)),"Not on roster"))</f>
        <v/>
      </c>
      <c r="D1265" s="12" t="str">
        <f>IF(B1265="","",IFERROR(INDEX('Cashier Roster'!$D$5:$D$64,MATCH(B1265,'Cashier Roster'!$B$5:$B$64,0)),""))</f>
        <v/>
      </c>
      <c r="E1265" s="13"/>
      <c r="F1265" s="14"/>
      <c r="G1265" s="8" t="str">
        <f>IF(OR(B1265="",E1265=""),"",IF(E1265="No","Missed",IF(F1265="","",IF(F1265&lt;=Settings!$B$7,"On time","Late"))))</f>
        <v/>
      </c>
      <c r="H1265" s="15"/>
      <c r="I1265" s="16"/>
      <c r="J1265" s="16"/>
      <c r="K1265" s="17" t="str">
        <f>IF(J1265="","",ROUND(J1265*Settings!$B$8,2))</f>
        <v/>
      </c>
      <c r="L1265" s="16"/>
      <c r="M1265" s="8" t="str">
        <f t="shared" si="19"/>
        <v/>
      </c>
      <c r="N1265" s="9"/>
    </row>
    <row r="1266" spans="1:14" ht="15.75">
      <c r="A1266" s="11"/>
      <c r="B1266" s="9"/>
      <c r="C1266" s="12" t="str">
        <f>IF(B1266="","",IFERROR(INDEX('Cashier Roster'!$C$5:$C$64,MATCH(B1266,'Cashier Roster'!$B$5:$B$64,0)),"Not on roster"))</f>
        <v/>
      </c>
      <c r="D1266" s="12" t="str">
        <f>IF(B1266="","",IFERROR(INDEX('Cashier Roster'!$D$5:$D$64,MATCH(B1266,'Cashier Roster'!$B$5:$B$64,0)),""))</f>
        <v/>
      </c>
      <c r="E1266" s="13"/>
      <c r="F1266" s="14"/>
      <c r="G1266" s="8" t="str">
        <f>IF(OR(B1266="",E1266=""),"",IF(E1266="No","Missed",IF(F1266="","",IF(F1266&lt;=Settings!$B$7,"On time","Late"))))</f>
        <v/>
      </c>
      <c r="H1266" s="15"/>
      <c r="I1266" s="16"/>
      <c r="J1266" s="16"/>
      <c r="K1266" s="17" t="str">
        <f>IF(J1266="","",ROUND(J1266*Settings!$B$8,2))</f>
        <v/>
      </c>
      <c r="L1266" s="16"/>
      <c r="M1266" s="8" t="str">
        <f t="shared" si="19"/>
        <v/>
      </c>
      <c r="N1266" s="9"/>
    </row>
    <row r="1267" spans="1:14" ht="15.75">
      <c r="A1267" s="11"/>
      <c r="B1267" s="9"/>
      <c r="C1267" s="12" t="str">
        <f>IF(B1267="","",IFERROR(INDEX('Cashier Roster'!$C$5:$C$64,MATCH(B1267,'Cashier Roster'!$B$5:$B$64,0)),"Not on roster"))</f>
        <v/>
      </c>
      <c r="D1267" s="12" t="str">
        <f>IF(B1267="","",IFERROR(INDEX('Cashier Roster'!$D$5:$D$64,MATCH(B1267,'Cashier Roster'!$B$5:$B$64,0)),""))</f>
        <v/>
      </c>
      <c r="E1267" s="13"/>
      <c r="F1267" s="14"/>
      <c r="G1267" s="8" t="str">
        <f>IF(OR(B1267="",E1267=""),"",IF(E1267="No","Missed",IF(F1267="","",IF(F1267&lt;=Settings!$B$7,"On time","Late"))))</f>
        <v/>
      </c>
      <c r="H1267" s="15"/>
      <c r="I1267" s="16"/>
      <c r="J1267" s="16"/>
      <c r="K1267" s="17" t="str">
        <f>IF(J1267="","",ROUND(J1267*Settings!$B$8,2))</f>
        <v/>
      </c>
      <c r="L1267" s="16"/>
      <c r="M1267" s="8" t="str">
        <f t="shared" si="19"/>
        <v/>
      </c>
      <c r="N1267" s="9"/>
    </row>
    <row r="1268" spans="1:14" ht="15.75">
      <c r="A1268" s="11"/>
      <c r="B1268" s="9"/>
      <c r="C1268" s="12" t="str">
        <f>IF(B1268="","",IFERROR(INDEX('Cashier Roster'!$C$5:$C$64,MATCH(B1268,'Cashier Roster'!$B$5:$B$64,0)),"Not on roster"))</f>
        <v/>
      </c>
      <c r="D1268" s="12" t="str">
        <f>IF(B1268="","",IFERROR(INDEX('Cashier Roster'!$D$5:$D$64,MATCH(B1268,'Cashier Roster'!$B$5:$B$64,0)),""))</f>
        <v/>
      </c>
      <c r="E1268" s="13"/>
      <c r="F1268" s="14"/>
      <c r="G1268" s="8" t="str">
        <f>IF(OR(B1268="",E1268=""),"",IF(E1268="No","Missed",IF(F1268="","",IF(F1268&lt;=Settings!$B$7,"On time","Late"))))</f>
        <v/>
      </c>
      <c r="H1268" s="15"/>
      <c r="I1268" s="16"/>
      <c r="J1268" s="16"/>
      <c r="K1268" s="17" t="str">
        <f>IF(J1268="","",ROUND(J1268*Settings!$B$8,2))</f>
        <v/>
      </c>
      <c r="L1268" s="16"/>
      <c r="M1268" s="8" t="str">
        <f t="shared" si="19"/>
        <v/>
      </c>
      <c r="N1268" s="9"/>
    </row>
    <row r="1269" spans="1:14" ht="15.75">
      <c r="A1269" s="11"/>
      <c r="B1269" s="9"/>
      <c r="C1269" s="12" t="str">
        <f>IF(B1269="","",IFERROR(INDEX('Cashier Roster'!$C$5:$C$64,MATCH(B1269,'Cashier Roster'!$B$5:$B$64,0)),"Not on roster"))</f>
        <v/>
      </c>
      <c r="D1269" s="12" t="str">
        <f>IF(B1269="","",IFERROR(INDEX('Cashier Roster'!$D$5:$D$64,MATCH(B1269,'Cashier Roster'!$B$5:$B$64,0)),""))</f>
        <v/>
      </c>
      <c r="E1269" s="13"/>
      <c r="F1269" s="14"/>
      <c r="G1269" s="8" t="str">
        <f>IF(OR(B1269="",E1269=""),"",IF(E1269="No","Missed",IF(F1269="","",IF(F1269&lt;=Settings!$B$7,"On time","Late"))))</f>
        <v/>
      </c>
      <c r="H1269" s="15"/>
      <c r="I1269" s="16"/>
      <c r="J1269" s="16"/>
      <c r="K1269" s="17" t="str">
        <f>IF(J1269="","",ROUND(J1269*Settings!$B$8,2))</f>
        <v/>
      </c>
      <c r="L1269" s="16"/>
      <c r="M1269" s="8" t="str">
        <f t="shared" si="19"/>
        <v/>
      </c>
      <c r="N1269" s="9"/>
    </row>
    <row r="1270" spans="1:14" ht="15.75">
      <c r="A1270" s="11"/>
      <c r="B1270" s="9"/>
      <c r="C1270" s="12" t="str">
        <f>IF(B1270="","",IFERROR(INDEX('Cashier Roster'!$C$5:$C$64,MATCH(B1270,'Cashier Roster'!$B$5:$B$64,0)),"Not on roster"))</f>
        <v/>
      </c>
      <c r="D1270" s="12" t="str">
        <f>IF(B1270="","",IFERROR(INDEX('Cashier Roster'!$D$5:$D$64,MATCH(B1270,'Cashier Roster'!$B$5:$B$64,0)),""))</f>
        <v/>
      </c>
      <c r="E1270" s="13"/>
      <c r="F1270" s="14"/>
      <c r="G1270" s="8" t="str">
        <f>IF(OR(B1270="",E1270=""),"",IF(E1270="No","Missed",IF(F1270="","",IF(F1270&lt;=Settings!$B$7,"On time","Late"))))</f>
        <v/>
      </c>
      <c r="H1270" s="15"/>
      <c r="I1270" s="16"/>
      <c r="J1270" s="16"/>
      <c r="K1270" s="17" t="str">
        <f>IF(J1270="","",ROUND(J1270*Settings!$B$8,2))</f>
        <v/>
      </c>
      <c r="L1270" s="16"/>
      <c r="M1270" s="8" t="str">
        <f t="shared" si="19"/>
        <v/>
      </c>
      <c r="N1270" s="9"/>
    </row>
    <row r="1271" spans="1:14" ht="15.75">
      <c r="A1271" s="11"/>
      <c r="B1271" s="9"/>
      <c r="C1271" s="12" t="str">
        <f>IF(B1271="","",IFERROR(INDEX('Cashier Roster'!$C$5:$C$64,MATCH(B1271,'Cashier Roster'!$B$5:$B$64,0)),"Not on roster"))</f>
        <v/>
      </c>
      <c r="D1271" s="12" t="str">
        <f>IF(B1271="","",IFERROR(INDEX('Cashier Roster'!$D$5:$D$64,MATCH(B1271,'Cashier Roster'!$B$5:$B$64,0)),""))</f>
        <v/>
      </c>
      <c r="E1271" s="13"/>
      <c r="F1271" s="14"/>
      <c r="G1271" s="8" t="str">
        <f>IF(OR(B1271="",E1271=""),"",IF(E1271="No","Missed",IF(F1271="","",IF(F1271&lt;=Settings!$B$7,"On time","Late"))))</f>
        <v/>
      </c>
      <c r="H1271" s="15"/>
      <c r="I1271" s="16"/>
      <c r="J1271" s="16"/>
      <c r="K1271" s="17" t="str">
        <f>IF(J1271="","",ROUND(J1271*Settings!$B$8,2))</f>
        <v/>
      </c>
      <c r="L1271" s="16"/>
      <c r="M1271" s="8" t="str">
        <f t="shared" si="19"/>
        <v/>
      </c>
      <c r="N1271" s="9"/>
    </row>
    <row r="1272" spans="1:14" ht="15.75">
      <c r="A1272" s="11"/>
      <c r="B1272" s="9"/>
      <c r="C1272" s="12" t="str">
        <f>IF(B1272="","",IFERROR(INDEX('Cashier Roster'!$C$5:$C$64,MATCH(B1272,'Cashier Roster'!$B$5:$B$64,0)),"Not on roster"))</f>
        <v/>
      </c>
      <c r="D1272" s="12" t="str">
        <f>IF(B1272="","",IFERROR(INDEX('Cashier Roster'!$D$5:$D$64,MATCH(B1272,'Cashier Roster'!$B$5:$B$64,0)),""))</f>
        <v/>
      </c>
      <c r="E1272" s="13"/>
      <c r="F1272" s="14"/>
      <c r="G1272" s="8" t="str">
        <f>IF(OR(B1272="",E1272=""),"",IF(E1272="No","Missed",IF(F1272="","",IF(F1272&lt;=Settings!$B$7,"On time","Late"))))</f>
        <v/>
      </c>
      <c r="H1272" s="15"/>
      <c r="I1272" s="16"/>
      <c r="J1272" s="16"/>
      <c r="K1272" s="17" t="str">
        <f>IF(J1272="","",ROUND(J1272*Settings!$B$8,2))</f>
        <v/>
      </c>
      <c r="L1272" s="16"/>
      <c r="M1272" s="8" t="str">
        <f t="shared" si="19"/>
        <v/>
      </c>
      <c r="N1272" s="9"/>
    </row>
    <row r="1273" spans="1:14" ht="15.75">
      <c r="A1273" s="11"/>
      <c r="B1273" s="9"/>
      <c r="C1273" s="12" t="str">
        <f>IF(B1273="","",IFERROR(INDEX('Cashier Roster'!$C$5:$C$64,MATCH(B1273,'Cashier Roster'!$B$5:$B$64,0)),"Not on roster"))</f>
        <v/>
      </c>
      <c r="D1273" s="12" t="str">
        <f>IF(B1273="","",IFERROR(INDEX('Cashier Roster'!$D$5:$D$64,MATCH(B1273,'Cashier Roster'!$B$5:$B$64,0)),""))</f>
        <v/>
      </c>
      <c r="E1273" s="13"/>
      <c r="F1273" s="14"/>
      <c r="G1273" s="8" t="str">
        <f>IF(OR(B1273="",E1273=""),"",IF(E1273="No","Missed",IF(F1273="","",IF(F1273&lt;=Settings!$B$7,"On time","Late"))))</f>
        <v/>
      </c>
      <c r="H1273" s="15"/>
      <c r="I1273" s="16"/>
      <c r="J1273" s="16"/>
      <c r="K1273" s="17" t="str">
        <f>IF(J1273="","",ROUND(J1273*Settings!$B$8,2))</f>
        <v/>
      </c>
      <c r="L1273" s="16"/>
      <c r="M1273" s="8" t="str">
        <f t="shared" si="19"/>
        <v/>
      </c>
      <c r="N1273" s="9"/>
    </row>
    <row r="1274" spans="1:14" ht="15.75">
      <c r="A1274" s="11"/>
      <c r="B1274" s="9"/>
      <c r="C1274" s="12" t="str">
        <f>IF(B1274="","",IFERROR(INDEX('Cashier Roster'!$C$5:$C$64,MATCH(B1274,'Cashier Roster'!$B$5:$B$64,0)),"Not on roster"))</f>
        <v/>
      </c>
      <c r="D1274" s="12" t="str">
        <f>IF(B1274="","",IFERROR(INDEX('Cashier Roster'!$D$5:$D$64,MATCH(B1274,'Cashier Roster'!$B$5:$B$64,0)),""))</f>
        <v/>
      </c>
      <c r="E1274" s="13"/>
      <c r="F1274" s="14"/>
      <c r="G1274" s="8" t="str">
        <f>IF(OR(B1274="",E1274=""),"",IF(E1274="No","Missed",IF(F1274="","",IF(F1274&lt;=Settings!$B$7,"On time","Late"))))</f>
        <v/>
      </c>
      <c r="H1274" s="15"/>
      <c r="I1274" s="16"/>
      <c r="J1274" s="16"/>
      <c r="K1274" s="17" t="str">
        <f>IF(J1274="","",ROUND(J1274*Settings!$B$8,2))</f>
        <v/>
      </c>
      <c r="L1274" s="16"/>
      <c r="M1274" s="8" t="str">
        <f t="shared" si="19"/>
        <v/>
      </c>
      <c r="N1274" s="9"/>
    </row>
    <row r="1275" spans="1:14" ht="15.75">
      <c r="A1275" s="11"/>
      <c r="B1275" s="9"/>
      <c r="C1275" s="12" t="str">
        <f>IF(B1275="","",IFERROR(INDEX('Cashier Roster'!$C$5:$C$64,MATCH(B1275,'Cashier Roster'!$B$5:$B$64,0)),"Not on roster"))</f>
        <v/>
      </c>
      <c r="D1275" s="12" t="str">
        <f>IF(B1275="","",IFERROR(INDEX('Cashier Roster'!$D$5:$D$64,MATCH(B1275,'Cashier Roster'!$B$5:$B$64,0)),""))</f>
        <v/>
      </c>
      <c r="E1275" s="13"/>
      <c r="F1275" s="14"/>
      <c r="G1275" s="8" t="str">
        <f>IF(OR(B1275="",E1275=""),"",IF(E1275="No","Missed",IF(F1275="","",IF(F1275&lt;=Settings!$B$7,"On time","Late"))))</f>
        <v/>
      </c>
      <c r="H1275" s="15"/>
      <c r="I1275" s="16"/>
      <c r="J1275" s="16"/>
      <c r="K1275" s="17" t="str">
        <f>IF(J1275="","",ROUND(J1275*Settings!$B$8,2))</f>
        <v/>
      </c>
      <c r="L1275" s="16"/>
      <c r="M1275" s="8" t="str">
        <f t="shared" si="19"/>
        <v/>
      </c>
      <c r="N1275" s="9"/>
    </row>
    <row r="1276" spans="1:14" ht="15.75">
      <c r="A1276" s="11"/>
      <c r="B1276" s="9"/>
      <c r="C1276" s="12" t="str">
        <f>IF(B1276="","",IFERROR(INDEX('Cashier Roster'!$C$5:$C$64,MATCH(B1276,'Cashier Roster'!$B$5:$B$64,0)),"Not on roster"))</f>
        <v/>
      </c>
      <c r="D1276" s="12" t="str">
        <f>IF(B1276="","",IFERROR(INDEX('Cashier Roster'!$D$5:$D$64,MATCH(B1276,'Cashier Roster'!$B$5:$B$64,0)),""))</f>
        <v/>
      </c>
      <c r="E1276" s="13"/>
      <c r="F1276" s="14"/>
      <c r="G1276" s="8" t="str">
        <f>IF(OR(B1276="",E1276=""),"",IF(E1276="No","Missed",IF(F1276="","",IF(F1276&lt;=Settings!$B$7,"On time","Late"))))</f>
        <v/>
      </c>
      <c r="H1276" s="15"/>
      <c r="I1276" s="16"/>
      <c r="J1276" s="16"/>
      <c r="K1276" s="17" t="str">
        <f>IF(J1276="","",ROUND(J1276*Settings!$B$8,2))</f>
        <v/>
      </c>
      <c r="L1276" s="16"/>
      <c r="M1276" s="8" t="str">
        <f t="shared" si="19"/>
        <v/>
      </c>
      <c r="N1276" s="9"/>
    </row>
    <row r="1277" spans="1:14" ht="15.75">
      <c r="A1277" s="11"/>
      <c r="B1277" s="9"/>
      <c r="C1277" s="12" t="str">
        <f>IF(B1277="","",IFERROR(INDEX('Cashier Roster'!$C$5:$C$64,MATCH(B1277,'Cashier Roster'!$B$5:$B$64,0)),"Not on roster"))</f>
        <v/>
      </c>
      <c r="D1277" s="12" t="str">
        <f>IF(B1277="","",IFERROR(INDEX('Cashier Roster'!$D$5:$D$64,MATCH(B1277,'Cashier Roster'!$B$5:$B$64,0)),""))</f>
        <v/>
      </c>
      <c r="E1277" s="13"/>
      <c r="F1277" s="14"/>
      <c r="G1277" s="8" t="str">
        <f>IF(OR(B1277="",E1277=""),"",IF(E1277="No","Missed",IF(F1277="","",IF(F1277&lt;=Settings!$B$7,"On time","Late"))))</f>
        <v/>
      </c>
      <c r="H1277" s="15"/>
      <c r="I1277" s="16"/>
      <c r="J1277" s="16"/>
      <c r="K1277" s="17" t="str">
        <f>IF(J1277="","",ROUND(J1277*Settings!$B$8,2))</f>
        <v/>
      </c>
      <c r="L1277" s="16"/>
      <c r="M1277" s="8" t="str">
        <f t="shared" si="19"/>
        <v/>
      </c>
      <c r="N1277" s="9"/>
    </row>
    <row r="1278" spans="1:14" ht="15.75">
      <c r="A1278" s="11"/>
      <c r="B1278" s="9"/>
      <c r="C1278" s="12" t="str">
        <f>IF(B1278="","",IFERROR(INDEX('Cashier Roster'!$C$5:$C$64,MATCH(B1278,'Cashier Roster'!$B$5:$B$64,0)),"Not on roster"))</f>
        <v/>
      </c>
      <c r="D1278" s="12" t="str">
        <f>IF(B1278="","",IFERROR(INDEX('Cashier Roster'!$D$5:$D$64,MATCH(B1278,'Cashier Roster'!$B$5:$B$64,0)),""))</f>
        <v/>
      </c>
      <c r="E1278" s="13"/>
      <c r="F1278" s="14"/>
      <c r="G1278" s="8" t="str">
        <f>IF(OR(B1278="",E1278=""),"",IF(E1278="No","Missed",IF(F1278="","",IF(F1278&lt;=Settings!$B$7,"On time","Late"))))</f>
        <v/>
      </c>
      <c r="H1278" s="15"/>
      <c r="I1278" s="16"/>
      <c r="J1278" s="16"/>
      <c r="K1278" s="17" t="str">
        <f>IF(J1278="","",ROUND(J1278*Settings!$B$8,2))</f>
        <v/>
      </c>
      <c r="L1278" s="16"/>
      <c r="M1278" s="8" t="str">
        <f t="shared" si="19"/>
        <v/>
      </c>
      <c r="N1278" s="9"/>
    </row>
    <row r="1279" spans="1:14" ht="15.75">
      <c r="A1279" s="11"/>
      <c r="B1279" s="9"/>
      <c r="C1279" s="12" t="str">
        <f>IF(B1279="","",IFERROR(INDEX('Cashier Roster'!$C$5:$C$64,MATCH(B1279,'Cashier Roster'!$B$5:$B$64,0)),"Not on roster"))</f>
        <v/>
      </c>
      <c r="D1279" s="12" t="str">
        <f>IF(B1279="","",IFERROR(INDEX('Cashier Roster'!$D$5:$D$64,MATCH(B1279,'Cashier Roster'!$B$5:$B$64,0)),""))</f>
        <v/>
      </c>
      <c r="E1279" s="13"/>
      <c r="F1279" s="14"/>
      <c r="G1279" s="8" t="str">
        <f>IF(OR(B1279="",E1279=""),"",IF(E1279="No","Missed",IF(F1279="","",IF(F1279&lt;=Settings!$B$7,"On time","Late"))))</f>
        <v/>
      </c>
      <c r="H1279" s="15"/>
      <c r="I1279" s="16"/>
      <c r="J1279" s="16"/>
      <c r="K1279" s="17" t="str">
        <f>IF(J1279="","",ROUND(J1279*Settings!$B$8,2))</f>
        <v/>
      </c>
      <c r="L1279" s="16"/>
      <c r="M1279" s="8" t="str">
        <f t="shared" si="19"/>
        <v/>
      </c>
      <c r="N1279" s="9"/>
    </row>
    <row r="1280" spans="1:14" ht="15.75">
      <c r="A1280" s="11"/>
      <c r="B1280" s="9"/>
      <c r="C1280" s="12" t="str">
        <f>IF(B1280="","",IFERROR(INDEX('Cashier Roster'!$C$5:$C$64,MATCH(B1280,'Cashier Roster'!$B$5:$B$64,0)),"Not on roster"))</f>
        <v/>
      </c>
      <c r="D1280" s="12" t="str">
        <f>IF(B1280="","",IFERROR(INDEX('Cashier Roster'!$D$5:$D$64,MATCH(B1280,'Cashier Roster'!$B$5:$B$64,0)),""))</f>
        <v/>
      </c>
      <c r="E1280" s="13"/>
      <c r="F1280" s="14"/>
      <c r="G1280" s="8" t="str">
        <f>IF(OR(B1280="",E1280=""),"",IF(E1280="No","Missed",IF(F1280="","",IF(F1280&lt;=Settings!$B$7,"On time","Late"))))</f>
        <v/>
      </c>
      <c r="H1280" s="15"/>
      <c r="I1280" s="16"/>
      <c r="J1280" s="16"/>
      <c r="K1280" s="17" t="str">
        <f>IF(J1280="","",ROUND(J1280*Settings!$B$8,2))</f>
        <v/>
      </c>
      <c r="L1280" s="16"/>
      <c r="M1280" s="8" t="str">
        <f t="shared" si="19"/>
        <v/>
      </c>
      <c r="N1280" s="9"/>
    </row>
    <row r="1281" spans="1:14" ht="15.75">
      <c r="A1281" s="11"/>
      <c r="B1281" s="9"/>
      <c r="C1281" s="12" t="str">
        <f>IF(B1281="","",IFERROR(INDEX('Cashier Roster'!$C$5:$C$64,MATCH(B1281,'Cashier Roster'!$B$5:$B$64,0)),"Not on roster"))</f>
        <v/>
      </c>
      <c r="D1281" s="12" t="str">
        <f>IF(B1281="","",IFERROR(INDEX('Cashier Roster'!$D$5:$D$64,MATCH(B1281,'Cashier Roster'!$B$5:$B$64,0)),""))</f>
        <v/>
      </c>
      <c r="E1281" s="13"/>
      <c r="F1281" s="14"/>
      <c r="G1281" s="8" t="str">
        <f>IF(OR(B1281="",E1281=""),"",IF(E1281="No","Missed",IF(F1281="","",IF(F1281&lt;=Settings!$B$7,"On time","Late"))))</f>
        <v/>
      </c>
      <c r="H1281" s="15"/>
      <c r="I1281" s="16"/>
      <c r="J1281" s="16"/>
      <c r="K1281" s="17" t="str">
        <f>IF(J1281="","",ROUND(J1281*Settings!$B$8,2))</f>
        <v/>
      </c>
      <c r="L1281" s="16"/>
      <c r="M1281" s="8" t="str">
        <f t="shared" si="19"/>
        <v/>
      </c>
      <c r="N1281" s="9"/>
    </row>
    <row r="1282" spans="1:14" ht="15.75">
      <c r="A1282" s="11"/>
      <c r="B1282" s="9"/>
      <c r="C1282" s="12" t="str">
        <f>IF(B1282="","",IFERROR(INDEX('Cashier Roster'!$C$5:$C$64,MATCH(B1282,'Cashier Roster'!$B$5:$B$64,0)),"Not on roster"))</f>
        <v/>
      </c>
      <c r="D1282" s="12" t="str">
        <f>IF(B1282="","",IFERROR(INDEX('Cashier Roster'!$D$5:$D$64,MATCH(B1282,'Cashier Roster'!$B$5:$B$64,0)),""))</f>
        <v/>
      </c>
      <c r="E1282" s="13"/>
      <c r="F1282" s="14"/>
      <c r="G1282" s="8" t="str">
        <f>IF(OR(B1282="",E1282=""),"",IF(E1282="No","Missed",IF(F1282="","",IF(F1282&lt;=Settings!$B$7,"On time","Late"))))</f>
        <v/>
      </c>
      <c r="H1282" s="15"/>
      <c r="I1282" s="16"/>
      <c r="J1282" s="16"/>
      <c r="K1282" s="17" t="str">
        <f>IF(J1282="","",ROUND(J1282*Settings!$B$8,2))</f>
        <v/>
      </c>
      <c r="L1282" s="16"/>
      <c r="M1282" s="8" t="str">
        <f t="shared" si="19"/>
        <v/>
      </c>
      <c r="N1282" s="9"/>
    </row>
    <row r="1283" spans="1:14" ht="15.75">
      <c r="A1283" s="11"/>
      <c r="B1283" s="9"/>
      <c r="C1283" s="12" t="str">
        <f>IF(B1283="","",IFERROR(INDEX('Cashier Roster'!$C$5:$C$64,MATCH(B1283,'Cashier Roster'!$B$5:$B$64,0)),"Not on roster"))</f>
        <v/>
      </c>
      <c r="D1283" s="12" t="str">
        <f>IF(B1283="","",IFERROR(INDEX('Cashier Roster'!$D$5:$D$64,MATCH(B1283,'Cashier Roster'!$B$5:$B$64,0)),""))</f>
        <v/>
      </c>
      <c r="E1283" s="13"/>
      <c r="F1283" s="14"/>
      <c r="G1283" s="8" t="str">
        <f>IF(OR(B1283="",E1283=""),"",IF(E1283="No","Missed",IF(F1283="","",IF(F1283&lt;=Settings!$B$7,"On time","Late"))))</f>
        <v/>
      </c>
      <c r="H1283" s="15"/>
      <c r="I1283" s="16"/>
      <c r="J1283" s="16"/>
      <c r="K1283" s="17" t="str">
        <f>IF(J1283="","",ROUND(J1283*Settings!$B$8,2))</f>
        <v/>
      </c>
      <c r="L1283" s="16"/>
      <c r="M1283" s="8" t="str">
        <f t="shared" si="19"/>
        <v/>
      </c>
      <c r="N1283" s="9"/>
    </row>
    <row r="1284" spans="1:14" ht="15.75">
      <c r="A1284" s="11"/>
      <c r="B1284" s="9"/>
      <c r="C1284" s="12" t="str">
        <f>IF(B1284="","",IFERROR(INDEX('Cashier Roster'!$C$5:$C$64,MATCH(B1284,'Cashier Roster'!$B$5:$B$64,0)),"Not on roster"))</f>
        <v/>
      </c>
      <c r="D1284" s="12" t="str">
        <f>IF(B1284="","",IFERROR(INDEX('Cashier Roster'!$D$5:$D$64,MATCH(B1284,'Cashier Roster'!$B$5:$B$64,0)),""))</f>
        <v/>
      </c>
      <c r="E1284" s="13"/>
      <c r="F1284" s="14"/>
      <c r="G1284" s="8" t="str">
        <f>IF(OR(B1284="",E1284=""),"",IF(E1284="No","Missed",IF(F1284="","",IF(F1284&lt;=Settings!$B$7,"On time","Late"))))</f>
        <v/>
      </c>
      <c r="H1284" s="15"/>
      <c r="I1284" s="16"/>
      <c r="J1284" s="16"/>
      <c r="K1284" s="17" t="str">
        <f>IF(J1284="","",ROUND(J1284*Settings!$B$8,2))</f>
        <v/>
      </c>
      <c r="L1284" s="16"/>
      <c r="M1284" s="8" t="str">
        <f t="shared" si="19"/>
        <v/>
      </c>
      <c r="N1284" s="9"/>
    </row>
    <row r="1285" spans="1:14" ht="15.75">
      <c r="A1285" s="11"/>
      <c r="B1285" s="9"/>
      <c r="C1285" s="12" t="str">
        <f>IF(B1285="","",IFERROR(INDEX('Cashier Roster'!$C$5:$C$64,MATCH(B1285,'Cashier Roster'!$B$5:$B$64,0)),"Not on roster"))</f>
        <v/>
      </c>
      <c r="D1285" s="12" t="str">
        <f>IF(B1285="","",IFERROR(INDEX('Cashier Roster'!$D$5:$D$64,MATCH(B1285,'Cashier Roster'!$B$5:$B$64,0)),""))</f>
        <v/>
      </c>
      <c r="E1285" s="13"/>
      <c r="F1285" s="14"/>
      <c r="G1285" s="8" t="str">
        <f>IF(OR(B1285="",E1285=""),"",IF(E1285="No","Missed",IF(F1285="","",IF(F1285&lt;=Settings!$B$7,"On time","Late"))))</f>
        <v/>
      </c>
      <c r="H1285" s="15"/>
      <c r="I1285" s="16"/>
      <c r="J1285" s="16"/>
      <c r="K1285" s="17" t="str">
        <f>IF(J1285="","",ROUND(J1285*Settings!$B$8,2))</f>
        <v/>
      </c>
      <c r="L1285" s="16"/>
      <c r="M1285" s="8" t="str">
        <f t="shared" ref="M1285:M1348" si="20">IF(L1285="","",IF(L1285&lt;=0,"Yes","No"))</f>
        <v/>
      </c>
      <c r="N1285" s="9"/>
    </row>
    <row r="1286" spans="1:14" ht="15.75">
      <c r="A1286" s="11"/>
      <c r="B1286" s="9"/>
      <c r="C1286" s="12" t="str">
        <f>IF(B1286="","",IFERROR(INDEX('Cashier Roster'!$C$5:$C$64,MATCH(B1286,'Cashier Roster'!$B$5:$B$64,0)),"Not on roster"))</f>
        <v/>
      </c>
      <c r="D1286" s="12" t="str">
        <f>IF(B1286="","",IFERROR(INDEX('Cashier Roster'!$D$5:$D$64,MATCH(B1286,'Cashier Roster'!$B$5:$B$64,0)),""))</f>
        <v/>
      </c>
      <c r="E1286" s="13"/>
      <c r="F1286" s="14"/>
      <c r="G1286" s="8" t="str">
        <f>IF(OR(B1286="",E1286=""),"",IF(E1286="No","Missed",IF(F1286="","",IF(F1286&lt;=Settings!$B$7,"On time","Late"))))</f>
        <v/>
      </c>
      <c r="H1286" s="15"/>
      <c r="I1286" s="16"/>
      <c r="J1286" s="16"/>
      <c r="K1286" s="17" t="str">
        <f>IF(J1286="","",ROUND(J1286*Settings!$B$8,2))</f>
        <v/>
      </c>
      <c r="L1286" s="16"/>
      <c r="M1286" s="8" t="str">
        <f t="shared" si="20"/>
        <v/>
      </c>
      <c r="N1286" s="9"/>
    </row>
    <row r="1287" spans="1:14" ht="15.75">
      <c r="A1287" s="11"/>
      <c r="B1287" s="9"/>
      <c r="C1287" s="12" t="str">
        <f>IF(B1287="","",IFERROR(INDEX('Cashier Roster'!$C$5:$C$64,MATCH(B1287,'Cashier Roster'!$B$5:$B$64,0)),"Not on roster"))</f>
        <v/>
      </c>
      <c r="D1287" s="12" t="str">
        <f>IF(B1287="","",IFERROR(INDEX('Cashier Roster'!$D$5:$D$64,MATCH(B1287,'Cashier Roster'!$B$5:$B$64,0)),""))</f>
        <v/>
      </c>
      <c r="E1287" s="13"/>
      <c r="F1287" s="14"/>
      <c r="G1287" s="8" t="str">
        <f>IF(OR(B1287="",E1287=""),"",IF(E1287="No","Missed",IF(F1287="","",IF(F1287&lt;=Settings!$B$7,"On time","Late"))))</f>
        <v/>
      </c>
      <c r="H1287" s="15"/>
      <c r="I1287" s="16"/>
      <c r="J1287" s="16"/>
      <c r="K1287" s="17" t="str">
        <f>IF(J1287="","",ROUND(J1287*Settings!$B$8,2))</f>
        <v/>
      </c>
      <c r="L1287" s="16"/>
      <c r="M1287" s="8" t="str">
        <f t="shared" si="20"/>
        <v/>
      </c>
      <c r="N1287" s="9"/>
    </row>
    <row r="1288" spans="1:14" ht="15.75">
      <c r="A1288" s="11"/>
      <c r="B1288" s="9"/>
      <c r="C1288" s="12" t="str">
        <f>IF(B1288="","",IFERROR(INDEX('Cashier Roster'!$C$5:$C$64,MATCH(B1288,'Cashier Roster'!$B$5:$B$64,0)),"Not on roster"))</f>
        <v/>
      </c>
      <c r="D1288" s="12" t="str">
        <f>IF(B1288="","",IFERROR(INDEX('Cashier Roster'!$D$5:$D$64,MATCH(B1288,'Cashier Roster'!$B$5:$B$64,0)),""))</f>
        <v/>
      </c>
      <c r="E1288" s="13"/>
      <c r="F1288" s="14"/>
      <c r="G1288" s="8" t="str">
        <f>IF(OR(B1288="",E1288=""),"",IF(E1288="No","Missed",IF(F1288="","",IF(F1288&lt;=Settings!$B$7,"On time","Late"))))</f>
        <v/>
      </c>
      <c r="H1288" s="15"/>
      <c r="I1288" s="16"/>
      <c r="J1288" s="16"/>
      <c r="K1288" s="17" t="str">
        <f>IF(J1288="","",ROUND(J1288*Settings!$B$8,2))</f>
        <v/>
      </c>
      <c r="L1288" s="16"/>
      <c r="M1288" s="8" t="str">
        <f t="shared" si="20"/>
        <v/>
      </c>
      <c r="N1288" s="9"/>
    </row>
    <row r="1289" spans="1:14" ht="15.75">
      <c r="A1289" s="11"/>
      <c r="B1289" s="9"/>
      <c r="C1289" s="12" t="str">
        <f>IF(B1289="","",IFERROR(INDEX('Cashier Roster'!$C$5:$C$64,MATCH(B1289,'Cashier Roster'!$B$5:$B$64,0)),"Not on roster"))</f>
        <v/>
      </c>
      <c r="D1289" s="12" t="str">
        <f>IF(B1289="","",IFERROR(INDEX('Cashier Roster'!$D$5:$D$64,MATCH(B1289,'Cashier Roster'!$B$5:$B$64,0)),""))</f>
        <v/>
      </c>
      <c r="E1289" s="13"/>
      <c r="F1289" s="14"/>
      <c r="G1289" s="8" t="str">
        <f>IF(OR(B1289="",E1289=""),"",IF(E1289="No","Missed",IF(F1289="","",IF(F1289&lt;=Settings!$B$7,"On time","Late"))))</f>
        <v/>
      </c>
      <c r="H1289" s="15"/>
      <c r="I1289" s="16"/>
      <c r="J1289" s="16"/>
      <c r="K1289" s="17" t="str">
        <f>IF(J1289="","",ROUND(J1289*Settings!$B$8,2))</f>
        <v/>
      </c>
      <c r="L1289" s="16"/>
      <c r="M1289" s="8" t="str">
        <f t="shared" si="20"/>
        <v/>
      </c>
      <c r="N1289" s="9"/>
    </row>
    <row r="1290" spans="1:14" ht="15.75">
      <c r="A1290" s="11"/>
      <c r="B1290" s="9"/>
      <c r="C1290" s="12" t="str">
        <f>IF(B1290="","",IFERROR(INDEX('Cashier Roster'!$C$5:$C$64,MATCH(B1290,'Cashier Roster'!$B$5:$B$64,0)),"Not on roster"))</f>
        <v/>
      </c>
      <c r="D1290" s="12" t="str">
        <f>IF(B1290="","",IFERROR(INDEX('Cashier Roster'!$D$5:$D$64,MATCH(B1290,'Cashier Roster'!$B$5:$B$64,0)),""))</f>
        <v/>
      </c>
      <c r="E1290" s="13"/>
      <c r="F1290" s="14"/>
      <c r="G1290" s="8" t="str">
        <f>IF(OR(B1290="",E1290=""),"",IF(E1290="No","Missed",IF(F1290="","",IF(F1290&lt;=Settings!$B$7,"On time","Late"))))</f>
        <v/>
      </c>
      <c r="H1290" s="15"/>
      <c r="I1290" s="16"/>
      <c r="J1290" s="16"/>
      <c r="K1290" s="17" t="str">
        <f>IF(J1290="","",ROUND(J1290*Settings!$B$8,2))</f>
        <v/>
      </c>
      <c r="L1290" s="16"/>
      <c r="M1290" s="8" t="str">
        <f t="shared" si="20"/>
        <v/>
      </c>
      <c r="N1290" s="9"/>
    </row>
    <row r="1291" spans="1:14" ht="15.75">
      <c r="A1291" s="11"/>
      <c r="B1291" s="9"/>
      <c r="C1291" s="12" t="str">
        <f>IF(B1291="","",IFERROR(INDEX('Cashier Roster'!$C$5:$C$64,MATCH(B1291,'Cashier Roster'!$B$5:$B$64,0)),"Not on roster"))</f>
        <v/>
      </c>
      <c r="D1291" s="12" t="str">
        <f>IF(B1291="","",IFERROR(INDEX('Cashier Roster'!$D$5:$D$64,MATCH(B1291,'Cashier Roster'!$B$5:$B$64,0)),""))</f>
        <v/>
      </c>
      <c r="E1291" s="13"/>
      <c r="F1291" s="14"/>
      <c r="G1291" s="8" t="str">
        <f>IF(OR(B1291="",E1291=""),"",IF(E1291="No","Missed",IF(F1291="","",IF(F1291&lt;=Settings!$B$7,"On time","Late"))))</f>
        <v/>
      </c>
      <c r="H1291" s="15"/>
      <c r="I1291" s="16"/>
      <c r="J1291" s="16"/>
      <c r="K1291" s="17" t="str">
        <f>IF(J1291="","",ROUND(J1291*Settings!$B$8,2))</f>
        <v/>
      </c>
      <c r="L1291" s="16"/>
      <c r="M1291" s="8" t="str">
        <f t="shared" si="20"/>
        <v/>
      </c>
      <c r="N1291" s="9"/>
    </row>
    <row r="1292" spans="1:14" ht="15.75">
      <c r="A1292" s="11"/>
      <c r="B1292" s="9"/>
      <c r="C1292" s="12" t="str">
        <f>IF(B1292="","",IFERROR(INDEX('Cashier Roster'!$C$5:$C$64,MATCH(B1292,'Cashier Roster'!$B$5:$B$64,0)),"Not on roster"))</f>
        <v/>
      </c>
      <c r="D1292" s="12" t="str">
        <f>IF(B1292="","",IFERROR(INDEX('Cashier Roster'!$D$5:$D$64,MATCH(B1292,'Cashier Roster'!$B$5:$B$64,0)),""))</f>
        <v/>
      </c>
      <c r="E1292" s="13"/>
      <c r="F1292" s="14"/>
      <c r="G1292" s="8" t="str">
        <f>IF(OR(B1292="",E1292=""),"",IF(E1292="No","Missed",IF(F1292="","",IF(F1292&lt;=Settings!$B$7,"On time","Late"))))</f>
        <v/>
      </c>
      <c r="H1292" s="15"/>
      <c r="I1292" s="16"/>
      <c r="J1292" s="16"/>
      <c r="K1292" s="17" t="str">
        <f>IF(J1292="","",ROUND(J1292*Settings!$B$8,2))</f>
        <v/>
      </c>
      <c r="L1292" s="16"/>
      <c r="M1292" s="8" t="str">
        <f t="shared" si="20"/>
        <v/>
      </c>
      <c r="N1292" s="9"/>
    </row>
    <row r="1293" spans="1:14" ht="15.75">
      <c r="A1293" s="11"/>
      <c r="B1293" s="9"/>
      <c r="C1293" s="12" t="str">
        <f>IF(B1293="","",IFERROR(INDEX('Cashier Roster'!$C$5:$C$64,MATCH(B1293,'Cashier Roster'!$B$5:$B$64,0)),"Not on roster"))</f>
        <v/>
      </c>
      <c r="D1293" s="12" t="str">
        <f>IF(B1293="","",IFERROR(INDEX('Cashier Roster'!$D$5:$D$64,MATCH(B1293,'Cashier Roster'!$B$5:$B$64,0)),""))</f>
        <v/>
      </c>
      <c r="E1293" s="13"/>
      <c r="F1293" s="14"/>
      <c r="G1293" s="8" t="str">
        <f>IF(OR(B1293="",E1293=""),"",IF(E1293="No","Missed",IF(F1293="","",IF(F1293&lt;=Settings!$B$7,"On time","Late"))))</f>
        <v/>
      </c>
      <c r="H1293" s="15"/>
      <c r="I1293" s="16"/>
      <c r="J1293" s="16"/>
      <c r="K1293" s="17" t="str">
        <f>IF(J1293="","",ROUND(J1293*Settings!$B$8,2))</f>
        <v/>
      </c>
      <c r="L1293" s="16"/>
      <c r="M1293" s="8" t="str">
        <f t="shared" si="20"/>
        <v/>
      </c>
      <c r="N1293" s="9"/>
    </row>
    <row r="1294" spans="1:14" ht="15.75">
      <c r="A1294" s="11"/>
      <c r="B1294" s="9"/>
      <c r="C1294" s="12" t="str">
        <f>IF(B1294="","",IFERROR(INDEX('Cashier Roster'!$C$5:$C$64,MATCH(B1294,'Cashier Roster'!$B$5:$B$64,0)),"Not on roster"))</f>
        <v/>
      </c>
      <c r="D1294" s="12" t="str">
        <f>IF(B1294="","",IFERROR(INDEX('Cashier Roster'!$D$5:$D$64,MATCH(B1294,'Cashier Roster'!$B$5:$B$64,0)),""))</f>
        <v/>
      </c>
      <c r="E1294" s="13"/>
      <c r="F1294" s="14"/>
      <c r="G1294" s="8" t="str">
        <f>IF(OR(B1294="",E1294=""),"",IF(E1294="No","Missed",IF(F1294="","",IF(F1294&lt;=Settings!$B$7,"On time","Late"))))</f>
        <v/>
      </c>
      <c r="H1294" s="15"/>
      <c r="I1294" s="16"/>
      <c r="J1294" s="16"/>
      <c r="K1294" s="17" t="str">
        <f>IF(J1294="","",ROUND(J1294*Settings!$B$8,2))</f>
        <v/>
      </c>
      <c r="L1294" s="16"/>
      <c r="M1294" s="8" t="str">
        <f t="shared" si="20"/>
        <v/>
      </c>
      <c r="N1294" s="9"/>
    </row>
    <row r="1295" spans="1:14" ht="15.75">
      <c r="A1295" s="11"/>
      <c r="B1295" s="9"/>
      <c r="C1295" s="12" t="str">
        <f>IF(B1295="","",IFERROR(INDEX('Cashier Roster'!$C$5:$C$64,MATCH(B1295,'Cashier Roster'!$B$5:$B$64,0)),"Not on roster"))</f>
        <v/>
      </c>
      <c r="D1295" s="12" t="str">
        <f>IF(B1295="","",IFERROR(INDEX('Cashier Roster'!$D$5:$D$64,MATCH(B1295,'Cashier Roster'!$B$5:$B$64,0)),""))</f>
        <v/>
      </c>
      <c r="E1295" s="13"/>
      <c r="F1295" s="14"/>
      <c r="G1295" s="8" t="str">
        <f>IF(OR(B1295="",E1295=""),"",IF(E1295="No","Missed",IF(F1295="","",IF(F1295&lt;=Settings!$B$7,"On time","Late"))))</f>
        <v/>
      </c>
      <c r="H1295" s="15"/>
      <c r="I1295" s="16"/>
      <c r="J1295" s="16"/>
      <c r="K1295" s="17" t="str">
        <f>IF(J1295="","",ROUND(J1295*Settings!$B$8,2))</f>
        <v/>
      </c>
      <c r="L1295" s="16"/>
      <c r="M1295" s="8" t="str">
        <f t="shared" si="20"/>
        <v/>
      </c>
      <c r="N1295" s="9"/>
    </row>
    <row r="1296" spans="1:14" ht="15.75">
      <c r="A1296" s="11"/>
      <c r="B1296" s="9"/>
      <c r="C1296" s="12" t="str">
        <f>IF(B1296="","",IFERROR(INDEX('Cashier Roster'!$C$5:$C$64,MATCH(B1296,'Cashier Roster'!$B$5:$B$64,0)),"Not on roster"))</f>
        <v/>
      </c>
      <c r="D1296" s="12" t="str">
        <f>IF(B1296="","",IFERROR(INDEX('Cashier Roster'!$D$5:$D$64,MATCH(B1296,'Cashier Roster'!$B$5:$B$64,0)),""))</f>
        <v/>
      </c>
      <c r="E1296" s="13"/>
      <c r="F1296" s="14"/>
      <c r="G1296" s="8" t="str">
        <f>IF(OR(B1296="",E1296=""),"",IF(E1296="No","Missed",IF(F1296="","",IF(F1296&lt;=Settings!$B$7,"On time","Late"))))</f>
        <v/>
      </c>
      <c r="H1296" s="15"/>
      <c r="I1296" s="16"/>
      <c r="J1296" s="16"/>
      <c r="K1296" s="17" t="str">
        <f>IF(J1296="","",ROUND(J1296*Settings!$B$8,2))</f>
        <v/>
      </c>
      <c r="L1296" s="16"/>
      <c r="M1296" s="8" t="str">
        <f t="shared" si="20"/>
        <v/>
      </c>
      <c r="N1296" s="9"/>
    </row>
    <row r="1297" spans="1:14" ht="15.75">
      <c r="A1297" s="11"/>
      <c r="B1297" s="9"/>
      <c r="C1297" s="12" t="str">
        <f>IF(B1297="","",IFERROR(INDEX('Cashier Roster'!$C$5:$C$64,MATCH(B1297,'Cashier Roster'!$B$5:$B$64,0)),"Not on roster"))</f>
        <v/>
      </c>
      <c r="D1297" s="12" t="str">
        <f>IF(B1297="","",IFERROR(INDEX('Cashier Roster'!$D$5:$D$64,MATCH(B1297,'Cashier Roster'!$B$5:$B$64,0)),""))</f>
        <v/>
      </c>
      <c r="E1297" s="13"/>
      <c r="F1297" s="14"/>
      <c r="G1297" s="8" t="str">
        <f>IF(OR(B1297="",E1297=""),"",IF(E1297="No","Missed",IF(F1297="","",IF(F1297&lt;=Settings!$B$7,"On time","Late"))))</f>
        <v/>
      </c>
      <c r="H1297" s="15"/>
      <c r="I1297" s="16"/>
      <c r="J1297" s="16"/>
      <c r="K1297" s="17" t="str">
        <f>IF(J1297="","",ROUND(J1297*Settings!$B$8,2))</f>
        <v/>
      </c>
      <c r="L1297" s="16"/>
      <c r="M1297" s="8" t="str">
        <f t="shared" si="20"/>
        <v/>
      </c>
      <c r="N1297" s="9"/>
    </row>
    <row r="1298" spans="1:14" ht="15.75">
      <c r="A1298" s="11"/>
      <c r="B1298" s="9"/>
      <c r="C1298" s="12" t="str">
        <f>IF(B1298="","",IFERROR(INDEX('Cashier Roster'!$C$5:$C$64,MATCH(B1298,'Cashier Roster'!$B$5:$B$64,0)),"Not on roster"))</f>
        <v/>
      </c>
      <c r="D1298" s="12" t="str">
        <f>IF(B1298="","",IFERROR(INDEX('Cashier Roster'!$D$5:$D$64,MATCH(B1298,'Cashier Roster'!$B$5:$B$64,0)),""))</f>
        <v/>
      </c>
      <c r="E1298" s="13"/>
      <c r="F1298" s="14"/>
      <c r="G1298" s="8" t="str">
        <f>IF(OR(B1298="",E1298=""),"",IF(E1298="No","Missed",IF(F1298="","",IF(F1298&lt;=Settings!$B$7,"On time","Late"))))</f>
        <v/>
      </c>
      <c r="H1298" s="15"/>
      <c r="I1298" s="16"/>
      <c r="J1298" s="16"/>
      <c r="K1298" s="17" t="str">
        <f>IF(J1298="","",ROUND(J1298*Settings!$B$8,2))</f>
        <v/>
      </c>
      <c r="L1298" s="16"/>
      <c r="M1298" s="8" t="str">
        <f t="shared" si="20"/>
        <v/>
      </c>
      <c r="N1298" s="9"/>
    </row>
    <row r="1299" spans="1:14" ht="15.75">
      <c r="A1299" s="11"/>
      <c r="B1299" s="9"/>
      <c r="C1299" s="12" t="str">
        <f>IF(B1299="","",IFERROR(INDEX('Cashier Roster'!$C$5:$C$64,MATCH(B1299,'Cashier Roster'!$B$5:$B$64,0)),"Not on roster"))</f>
        <v/>
      </c>
      <c r="D1299" s="12" t="str">
        <f>IF(B1299="","",IFERROR(INDEX('Cashier Roster'!$D$5:$D$64,MATCH(B1299,'Cashier Roster'!$B$5:$B$64,0)),""))</f>
        <v/>
      </c>
      <c r="E1299" s="13"/>
      <c r="F1299" s="14"/>
      <c r="G1299" s="8" t="str">
        <f>IF(OR(B1299="",E1299=""),"",IF(E1299="No","Missed",IF(F1299="","",IF(F1299&lt;=Settings!$B$7,"On time","Late"))))</f>
        <v/>
      </c>
      <c r="H1299" s="15"/>
      <c r="I1299" s="16"/>
      <c r="J1299" s="16"/>
      <c r="K1299" s="17" t="str">
        <f>IF(J1299="","",ROUND(J1299*Settings!$B$8,2))</f>
        <v/>
      </c>
      <c r="L1299" s="16"/>
      <c r="M1299" s="8" t="str">
        <f t="shared" si="20"/>
        <v/>
      </c>
      <c r="N1299" s="9"/>
    </row>
    <row r="1300" spans="1:14" ht="15.75">
      <c r="A1300" s="11"/>
      <c r="B1300" s="9"/>
      <c r="C1300" s="12" t="str">
        <f>IF(B1300="","",IFERROR(INDEX('Cashier Roster'!$C$5:$C$64,MATCH(B1300,'Cashier Roster'!$B$5:$B$64,0)),"Not on roster"))</f>
        <v/>
      </c>
      <c r="D1300" s="12" t="str">
        <f>IF(B1300="","",IFERROR(INDEX('Cashier Roster'!$D$5:$D$64,MATCH(B1300,'Cashier Roster'!$B$5:$B$64,0)),""))</f>
        <v/>
      </c>
      <c r="E1300" s="13"/>
      <c r="F1300" s="14"/>
      <c r="G1300" s="8" t="str">
        <f>IF(OR(B1300="",E1300=""),"",IF(E1300="No","Missed",IF(F1300="","",IF(F1300&lt;=Settings!$B$7,"On time","Late"))))</f>
        <v/>
      </c>
      <c r="H1300" s="15"/>
      <c r="I1300" s="16"/>
      <c r="J1300" s="16"/>
      <c r="K1300" s="17" t="str">
        <f>IF(J1300="","",ROUND(J1300*Settings!$B$8,2))</f>
        <v/>
      </c>
      <c r="L1300" s="16"/>
      <c r="M1300" s="8" t="str">
        <f t="shared" si="20"/>
        <v/>
      </c>
      <c r="N1300" s="9"/>
    </row>
    <row r="1301" spans="1:14" ht="15.75">
      <c r="A1301" s="11"/>
      <c r="B1301" s="9"/>
      <c r="C1301" s="12" t="str">
        <f>IF(B1301="","",IFERROR(INDEX('Cashier Roster'!$C$5:$C$64,MATCH(B1301,'Cashier Roster'!$B$5:$B$64,0)),"Not on roster"))</f>
        <v/>
      </c>
      <c r="D1301" s="12" t="str">
        <f>IF(B1301="","",IFERROR(INDEX('Cashier Roster'!$D$5:$D$64,MATCH(B1301,'Cashier Roster'!$B$5:$B$64,0)),""))</f>
        <v/>
      </c>
      <c r="E1301" s="13"/>
      <c r="F1301" s="14"/>
      <c r="G1301" s="8" t="str">
        <f>IF(OR(B1301="",E1301=""),"",IF(E1301="No","Missed",IF(F1301="","",IF(F1301&lt;=Settings!$B$7,"On time","Late"))))</f>
        <v/>
      </c>
      <c r="H1301" s="15"/>
      <c r="I1301" s="16"/>
      <c r="J1301" s="16"/>
      <c r="K1301" s="17" t="str">
        <f>IF(J1301="","",ROUND(J1301*Settings!$B$8,2))</f>
        <v/>
      </c>
      <c r="L1301" s="16"/>
      <c r="M1301" s="8" t="str">
        <f t="shared" si="20"/>
        <v/>
      </c>
      <c r="N1301" s="9"/>
    </row>
    <row r="1302" spans="1:14" ht="15.75">
      <c r="A1302" s="11"/>
      <c r="B1302" s="9"/>
      <c r="C1302" s="12" t="str">
        <f>IF(B1302="","",IFERROR(INDEX('Cashier Roster'!$C$5:$C$64,MATCH(B1302,'Cashier Roster'!$B$5:$B$64,0)),"Not on roster"))</f>
        <v/>
      </c>
      <c r="D1302" s="12" t="str">
        <f>IF(B1302="","",IFERROR(INDEX('Cashier Roster'!$D$5:$D$64,MATCH(B1302,'Cashier Roster'!$B$5:$B$64,0)),""))</f>
        <v/>
      </c>
      <c r="E1302" s="13"/>
      <c r="F1302" s="14"/>
      <c r="G1302" s="8" t="str">
        <f>IF(OR(B1302="",E1302=""),"",IF(E1302="No","Missed",IF(F1302="","",IF(F1302&lt;=Settings!$B$7,"On time","Late"))))</f>
        <v/>
      </c>
      <c r="H1302" s="15"/>
      <c r="I1302" s="16"/>
      <c r="J1302" s="16"/>
      <c r="K1302" s="17" t="str">
        <f>IF(J1302="","",ROUND(J1302*Settings!$B$8,2))</f>
        <v/>
      </c>
      <c r="L1302" s="16"/>
      <c r="M1302" s="8" t="str">
        <f t="shared" si="20"/>
        <v/>
      </c>
      <c r="N1302" s="9"/>
    </row>
    <row r="1303" spans="1:14" ht="15.75">
      <c r="A1303" s="11"/>
      <c r="B1303" s="9"/>
      <c r="C1303" s="12" t="str">
        <f>IF(B1303="","",IFERROR(INDEX('Cashier Roster'!$C$5:$C$64,MATCH(B1303,'Cashier Roster'!$B$5:$B$64,0)),"Not on roster"))</f>
        <v/>
      </c>
      <c r="D1303" s="12" t="str">
        <f>IF(B1303="","",IFERROR(INDEX('Cashier Roster'!$D$5:$D$64,MATCH(B1303,'Cashier Roster'!$B$5:$B$64,0)),""))</f>
        <v/>
      </c>
      <c r="E1303" s="13"/>
      <c r="F1303" s="14"/>
      <c r="G1303" s="8" t="str">
        <f>IF(OR(B1303="",E1303=""),"",IF(E1303="No","Missed",IF(F1303="","",IF(F1303&lt;=Settings!$B$7,"On time","Late"))))</f>
        <v/>
      </c>
      <c r="H1303" s="15"/>
      <c r="I1303" s="16"/>
      <c r="J1303" s="16"/>
      <c r="K1303" s="17" t="str">
        <f>IF(J1303="","",ROUND(J1303*Settings!$B$8,2))</f>
        <v/>
      </c>
      <c r="L1303" s="16"/>
      <c r="M1303" s="8" t="str">
        <f t="shared" si="20"/>
        <v/>
      </c>
      <c r="N1303" s="9"/>
    </row>
    <row r="1304" spans="1:14" ht="15.75">
      <c r="A1304" s="11"/>
      <c r="B1304" s="9"/>
      <c r="C1304" s="12" t="str">
        <f>IF(B1304="","",IFERROR(INDEX('Cashier Roster'!$C$5:$C$64,MATCH(B1304,'Cashier Roster'!$B$5:$B$64,0)),"Not on roster"))</f>
        <v/>
      </c>
      <c r="D1304" s="12" t="str">
        <f>IF(B1304="","",IFERROR(INDEX('Cashier Roster'!$D$5:$D$64,MATCH(B1304,'Cashier Roster'!$B$5:$B$64,0)),""))</f>
        <v/>
      </c>
      <c r="E1304" s="13"/>
      <c r="F1304" s="14"/>
      <c r="G1304" s="8" t="str">
        <f>IF(OR(B1304="",E1304=""),"",IF(E1304="No","Missed",IF(F1304="","",IF(F1304&lt;=Settings!$B$7,"On time","Late"))))</f>
        <v/>
      </c>
      <c r="H1304" s="15"/>
      <c r="I1304" s="16"/>
      <c r="J1304" s="16"/>
      <c r="K1304" s="17" t="str">
        <f>IF(J1304="","",ROUND(J1304*Settings!$B$8,2))</f>
        <v/>
      </c>
      <c r="L1304" s="16"/>
      <c r="M1304" s="8" t="str">
        <f t="shared" si="20"/>
        <v/>
      </c>
      <c r="N1304" s="9"/>
    </row>
    <row r="1305" spans="1:14" ht="15.75">
      <c r="A1305" s="11"/>
      <c r="B1305" s="9"/>
      <c r="C1305" s="12" t="str">
        <f>IF(B1305="","",IFERROR(INDEX('Cashier Roster'!$C$5:$C$64,MATCH(B1305,'Cashier Roster'!$B$5:$B$64,0)),"Not on roster"))</f>
        <v/>
      </c>
      <c r="D1305" s="12" t="str">
        <f>IF(B1305="","",IFERROR(INDEX('Cashier Roster'!$D$5:$D$64,MATCH(B1305,'Cashier Roster'!$B$5:$B$64,0)),""))</f>
        <v/>
      </c>
      <c r="E1305" s="13"/>
      <c r="F1305" s="14"/>
      <c r="G1305" s="8" t="str">
        <f>IF(OR(B1305="",E1305=""),"",IF(E1305="No","Missed",IF(F1305="","",IF(F1305&lt;=Settings!$B$7,"On time","Late"))))</f>
        <v/>
      </c>
      <c r="H1305" s="15"/>
      <c r="I1305" s="16"/>
      <c r="J1305" s="16"/>
      <c r="K1305" s="17" t="str">
        <f>IF(J1305="","",ROUND(J1305*Settings!$B$8,2))</f>
        <v/>
      </c>
      <c r="L1305" s="16"/>
      <c r="M1305" s="8" t="str">
        <f t="shared" si="20"/>
        <v/>
      </c>
      <c r="N1305" s="9"/>
    </row>
    <row r="1306" spans="1:14" ht="15.75">
      <c r="A1306" s="11"/>
      <c r="B1306" s="9"/>
      <c r="C1306" s="12" t="str">
        <f>IF(B1306="","",IFERROR(INDEX('Cashier Roster'!$C$5:$C$64,MATCH(B1306,'Cashier Roster'!$B$5:$B$64,0)),"Not on roster"))</f>
        <v/>
      </c>
      <c r="D1306" s="12" t="str">
        <f>IF(B1306="","",IFERROR(INDEX('Cashier Roster'!$D$5:$D$64,MATCH(B1306,'Cashier Roster'!$B$5:$B$64,0)),""))</f>
        <v/>
      </c>
      <c r="E1306" s="13"/>
      <c r="F1306" s="14"/>
      <c r="G1306" s="8" t="str">
        <f>IF(OR(B1306="",E1306=""),"",IF(E1306="No","Missed",IF(F1306="","",IF(F1306&lt;=Settings!$B$7,"On time","Late"))))</f>
        <v/>
      </c>
      <c r="H1306" s="15"/>
      <c r="I1306" s="16"/>
      <c r="J1306" s="16"/>
      <c r="K1306" s="17" t="str">
        <f>IF(J1306="","",ROUND(J1306*Settings!$B$8,2))</f>
        <v/>
      </c>
      <c r="L1306" s="16"/>
      <c r="M1306" s="8" t="str">
        <f t="shared" si="20"/>
        <v/>
      </c>
      <c r="N1306" s="9"/>
    </row>
    <row r="1307" spans="1:14" ht="15.75">
      <c r="A1307" s="11"/>
      <c r="B1307" s="9"/>
      <c r="C1307" s="12" t="str">
        <f>IF(B1307="","",IFERROR(INDEX('Cashier Roster'!$C$5:$C$64,MATCH(B1307,'Cashier Roster'!$B$5:$B$64,0)),"Not on roster"))</f>
        <v/>
      </c>
      <c r="D1307" s="12" t="str">
        <f>IF(B1307="","",IFERROR(INDEX('Cashier Roster'!$D$5:$D$64,MATCH(B1307,'Cashier Roster'!$B$5:$B$64,0)),""))</f>
        <v/>
      </c>
      <c r="E1307" s="13"/>
      <c r="F1307" s="14"/>
      <c r="G1307" s="8" t="str">
        <f>IF(OR(B1307="",E1307=""),"",IF(E1307="No","Missed",IF(F1307="","",IF(F1307&lt;=Settings!$B$7,"On time","Late"))))</f>
        <v/>
      </c>
      <c r="H1307" s="15"/>
      <c r="I1307" s="16"/>
      <c r="J1307" s="16"/>
      <c r="K1307" s="17" t="str">
        <f>IF(J1307="","",ROUND(J1307*Settings!$B$8,2))</f>
        <v/>
      </c>
      <c r="L1307" s="16"/>
      <c r="M1307" s="8" t="str">
        <f t="shared" si="20"/>
        <v/>
      </c>
      <c r="N1307" s="9"/>
    </row>
    <row r="1308" spans="1:14" ht="15.75">
      <c r="A1308" s="11"/>
      <c r="B1308" s="9"/>
      <c r="C1308" s="12" t="str">
        <f>IF(B1308="","",IFERROR(INDEX('Cashier Roster'!$C$5:$C$64,MATCH(B1308,'Cashier Roster'!$B$5:$B$64,0)),"Not on roster"))</f>
        <v/>
      </c>
      <c r="D1308" s="12" t="str">
        <f>IF(B1308="","",IFERROR(INDEX('Cashier Roster'!$D$5:$D$64,MATCH(B1308,'Cashier Roster'!$B$5:$B$64,0)),""))</f>
        <v/>
      </c>
      <c r="E1308" s="13"/>
      <c r="F1308" s="14"/>
      <c r="G1308" s="8" t="str">
        <f>IF(OR(B1308="",E1308=""),"",IF(E1308="No","Missed",IF(F1308="","",IF(F1308&lt;=Settings!$B$7,"On time","Late"))))</f>
        <v/>
      </c>
      <c r="H1308" s="15"/>
      <c r="I1308" s="16"/>
      <c r="J1308" s="16"/>
      <c r="K1308" s="17" t="str">
        <f>IF(J1308="","",ROUND(J1308*Settings!$B$8,2))</f>
        <v/>
      </c>
      <c r="L1308" s="16"/>
      <c r="M1308" s="8" t="str">
        <f t="shared" si="20"/>
        <v/>
      </c>
      <c r="N1308" s="9"/>
    </row>
    <row r="1309" spans="1:14" ht="15.75">
      <c r="A1309" s="11"/>
      <c r="B1309" s="9"/>
      <c r="C1309" s="12" t="str">
        <f>IF(B1309="","",IFERROR(INDEX('Cashier Roster'!$C$5:$C$64,MATCH(B1309,'Cashier Roster'!$B$5:$B$64,0)),"Not on roster"))</f>
        <v/>
      </c>
      <c r="D1309" s="12" t="str">
        <f>IF(B1309="","",IFERROR(INDEX('Cashier Roster'!$D$5:$D$64,MATCH(B1309,'Cashier Roster'!$B$5:$B$64,0)),""))</f>
        <v/>
      </c>
      <c r="E1309" s="13"/>
      <c r="F1309" s="14"/>
      <c r="G1309" s="8" t="str">
        <f>IF(OR(B1309="",E1309=""),"",IF(E1309="No","Missed",IF(F1309="","",IF(F1309&lt;=Settings!$B$7,"On time","Late"))))</f>
        <v/>
      </c>
      <c r="H1309" s="15"/>
      <c r="I1309" s="16"/>
      <c r="J1309" s="16"/>
      <c r="K1309" s="17" t="str">
        <f>IF(J1309="","",ROUND(J1309*Settings!$B$8,2))</f>
        <v/>
      </c>
      <c r="L1309" s="16"/>
      <c r="M1309" s="8" t="str">
        <f t="shared" si="20"/>
        <v/>
      </c>
      <c r="N1309" s="9"/>
    </row>
    <row r="1310" spans="1:14" ht="15.75">
      <c r="A1310" s="11"/>
      <c r="B1310" s="9"/>
      <c r="C1310" s="12" t="str">
        <f>IF(B1310="","",IFERROR(INDEX('Cashier Roster'!$C$5:$C$64,MATCH(B1310,'Cashier Roster'!$B$5:$B$64,0)),"Not on roster"))</f>
        <v/>
      </c>
      <c r="D1310" s="12" t="str">
        <f>IF(B1310="","",IFERROR(INDEX('Cashier Roster'!$D$5:$D$64,MATCH(B1310,'Cashier Roster'!$B$5:$B$64,0)),""))</f>
        <v/>
      </c>
      <c r="E1310" s="13"/>
      <c r="F1310" s="14"/>
      <c r="G1310" s="8" t="str">
        <f>IF(OR(B1310="",E1310=""),"",IF(E1310="No","Missed",IF(F1310="","",IF(F1310&lt;=Settings!$B$7,"On time","Late"))))</f>
        <v/>
      </c>
      <c r="H1310" s="15"/>
      <c r="I1310" s="16"/>
      <c r="J1310" s="16"/>
      <c r="K1310" s="17" t="str">
        <f>IF(J1310="","",ROUND(J1310*Settings!$B$8,2))</f>
        <v/>
      </c>
      <c r="L1310" s="16"/>
      <c r="M1310" s="8" t="str">
        <f t="shared" si="20"/>
        <v/>
      </c>
      <c r="N1310" s="9"/>
    </row>
    <row r="1311" spans="1:14" ht="15.75">
      <c r="A1311" s="11"/>
      <c r="B1311" s="9"/>
      <c r="C1311" s="12" t="str">
        <f>IF(B1311="","",IFERROR(INDEX('Cashier Roster'!$C$5:$C$64,MATCH(B1311,'Cashier Roster'!$B$5:$B$64,0)),"Not on roster"))</f>
        <v/>
      </c>
      <c r="D1311" s="12" t="str">
        <f>IF(B1311="","",IFERROR(INDEX('Cashier Roster'!$D$5:$D$64,MATCH(B1311,'Cashier Roster'!$B$5:$B$64,0)),""))</f>
        <v/>
      </c>
      <c r="E1311" s="13"/>
      <c r="F1311" s="14"/>
      <c r="G1311" s="8" t="str">
        <f>IF(OR(B1311="",E1311=""),"",IF(E1311="No","Missed",IF(F1311="","",IF(F1311&lt;=Settings!$B$7,"On time","Late"))))</f>
        <v/>
      </c>
      <c r="H1311" s="15"/>
      <c r="I1311" s="16"/>
      <c r="J1311" s="16"/>
      <c r="K1311" s="17" t="str">
        <f>IF(J1311="","",ROUND(J1311*Settings!$B$8,2))</f>
        <v/>
      </c>
      <c r="L1311" s="16"/>
      <c r="M1311" s="8" t="str">
        <f t="shared" si="20"/>
        <v/>
      </c>
      <c r="N1311" s="9"/>
    </row>
    <row r="1312" spans="1:14" ht="15.75">
      <c r="A1312" s="11"/>
      <c r="B1312" s="9"/>
      <c r="C1312" s="12" t="str">
        <f>IF(B1312="","",IFERROR(INDEX('Cashier Roster'!$C$5:$C$64,MATCH(B1312,'Cashier Roster'!$B$5:$B$64,0)),"Not on roster"))</f>
        <v/>
      </c>
      <c r="D1312" s="12" t="str">
        <f>IF(B1312="","",IFERROR(INDEX('Cashier Roster'!$D$5:$D$64,MATCH(B1312,'Cashier Roster'!$B$5:$B$64,0)),""))</f>
        <v/>
      </c>
      <c r="E1312" s="13"/>
      <c r="F1312" s="14"/>
      <c r="G1312" s="8" t="str">
        <f>IF(OR(B1312="",E1312=""),"",IF(E1312="No","Missed",IF(F1312="","",IF(F1312&lt;=Settings!$B$7,"On time","Late"))))</f>
        <v/>
      </c>
      <c r="H1312" s="15"/>
      <c r="I1312" s="16"/>
      <c r="J1312" s="16"/>
      <c r="K1312" s="17" t="str">
        <f>IF(J1312="","",ROUND(J1312*Settings!$B$8,2))</f>
        <v/>
      </c>
      <c r="L1312" s="16"/>
      <c r="M1312" s="8" t="str">
        <f t="shared" si="20"/>
        <v/>
      </c>
      <c r="N1312" s="9"/>
    </row>
    <row r="1313" spans="1:14" ht="15.75">
      <c r="A1313" s="11"/>
      <c r="B1313" s="9"/>
      <c r="C1313" s="12" t="str">
        <f>IF(B1313="","",IFERROR(INDEX('Cashier Roster'!$C$5:$C$64,MATCH(B1313,'Cashier Roster'!$B$5:$B$64,0)),"Not on roster"))</f>
        <v/>
      </c>
      <c r="D1313" s="12" t="str">
        <f>IF(B1313="","",IFERROR(INDEX('Cashier Roster'!$D$5:$D$64,MATCH(B1313,'Cashier Roster'!$B$5:$B$64,0)),""))</f>
        <v/>
      </c>
      <c r="E1313" s="13"/>
      <c r="F1313" s="14"/>
      <c r="G1313" s="8" t="str">
        <f>IF(OR(B1313="",E1313=""),"",IF(E1313="No","Missed",IF(F1313="","",IF(F1313&lt;=Settings!$B$7,"On time","Late"))))</f>
        <v/>
      </c>
      <c r="H1313" s="15"/>
      <c r="I1313" s="16"/>
      <c r="J1313" s="16"/>
      <c r="K1313" s="17" t="str">
        <f>IF(J1313="","",ROUND(J1313*Settings!$B$8,2))</f>
        <v/>
      </c>
      <c r="L1313" s="16"/>
      <c r="M1313" s="8" t="str">
        <f t="shared" si="20"/>
        <v/>
      </c>
      <c r="N1313" s="9"/>
    </row>
    <row r="1314" spans="1:14" ht="15.75">
      <c r="A1314" s="11"/>
      <c r="B1314" s="9"/>
      <c r="C1314" s="12" t="str">
        <f>IF(B1314="","",IFERROR(INDEX('Cashier Roster'!$C$5:$C$64,MATCH(B1314,'Cashier Roster'!$B$5:$B$64,0)),"Not on roster"))</f>
        <v/>
      </c>
      <c r="D1314" s="12" t="str">
        <f>IF(B1314="","",IFERROR(INDEX('Cashier Roster'!$D$5:$D$64,MATCH(B1314,'Cashier Roster'!$B$5:$B$64,0)),""))</f>
        <v/>
      </c>
      <c r="E1314" s="13"/>
      <c r="F1314" s="14"/>
      <c r="G1314" s="8" t="str">
        <f>IF(OR(B1314="",E1314=""),"",IF(E1314="No","Missed",IF(F1314="","",IF(F1314&lt;=Settings!$B$7,"On time","Late"))))</f>
        <v/>
      </c>
      <c r="H1314" s="15"/>
      <c r="I1314" s="16"/>
      <c r="J1314" s="16"/>
      <c r="K1314" s="17" t="str">
        <f>IF(J1314="","",ROUND(J1314*Settings!$B$8,2))</f>
        <v/>
      </c>
      <c r="L1314" s="16"/>
      <c r="M1314" s="8" t="str">
        <f t="shared" si="20"/>
        <v/>
      </c>
      <c r="N1314" s="9"/>
    </row>
    <row r="1315" spans="1:14" ht="15.75">
      <c r="A1315" s="11"/>
      <c r="B1315" s="9"/>
      <c r="C1315" s="12" t="str">
        <f>IF(B1315="","",IFERROR(INDEX('Cashier Roster'!$C$5:$C$64,MATCH(B1315,'Cashier Roster'!$B$5:$B$64,0)),"Not on roster"))</f>
        <v/>
      </c>
      <c r="D1315" s="12" t="str">
        <f>IF(B1315="","",IFERROR(INDEX('Cashier Roster'!$D$5:$D$64,MATCH(B1315,'Cashier Roster'!$B$5:$B$64,0)),""))</f>
        <v/>
      </c>
      <c r="E1315" s="13"/>
      <c r="F1315" s="14"/>
      <c r="G1315" s="8" t="str">
        <f>IF(OR(B1315="",E1315=""),"",IF(E1315="No","Missed",IF(F1315="","",IF(F1315&lt;=Settings!$B$7,"On time","Late"))))</f>
        <v/>
      </c>
      <c r="H1315" s="15"/>
      <c r="I1315" s="16"/>
      <c r="J1315" s="16"/>
      <c r="K1315" s="17" t="str">
        <f>IF(J1315="","",ROUND(J1315*Settings!$B$8,2))</f>
        <v/>
      </c>
      <c r="L1315" s="16"/>
      <c r="M1315" s="8" t="str">
        <f t="shared" si="20"/>
        <v/>
      </c>
      <c r="N1315" s="9"/>
    </row>
    <row r="1316" spans="1:14" ht="15.75">
      <c r="A1316" s="11"/>
      <c r="B1316" s="9"/>
      <c r="C1316" s="12" t="str">
        <f>IF(B1316="","",IFERROR(INDEX('Cashier Roster'!$C$5:$C$64,MATCH(B1316,'Cashier Roster'!$B$5:$B$64,0)),"Not on roster"))</f>
        <v/>
      </c>
      <c r="D1316" s="12" t="str">
        <f>IF(B1316="","",IFERROR(INDEX('Cashier Roster'!$D$5:$D$64,MATCH(B1316,'Cashier Roster'!$B$5:$B$64,0)),""))</f>
        <v/>
      </c>
      <c r="E1316" s="13"/>
      <c r="F1316" s="14"/>
      <c r="G1316" s="8" t="str">
        <f>IF(OR(B1316="",E1316=""),"",IF(E1316="No","Missed",IF(F1316="","",IF(F1316&lt;=Settings!$B$7,"On time","Late"))))</f>
        <v/>
      </c>
      <c r="H1316" s="15"/>
      <c r="I1316" s="16"/>
      <c r="J1316" s="16"/>
      <c r="K1316" s="17" t="str">
        <f>IF(J1316="","",ROUND(J1316*Settings!$B$8,2))</f>
        <v/>
      </c>
      <c r="L1316" s="16"/>
      <c r="M1316" s="8" t="str">
        <f t="shared" si="20"/>
        <v/>
      </c>
      <c r="N1316" s="9"/>
    </row>
    <row r="1317" spans="1:14" ht="15.75">
      <c r="A1317" s="11"/>
      <c r="B1317" s="9"/>
      <c r="C1317" s="12" t="str">
        <f>IF(B1317="","",IFERROR(INDEX('Cashier Roster'!$C$5:$C$64,MATCH(B1317,'Cashier Roster'!$B$5:$B$64,0)),"Not on roster"))</f>
        <v/>
      </c>
      <c r="D1317" s="12" t="str">
        <f>IF(B1317="","",IFERROR(INDEX('Cashier Roster'!$D$5:$D$64,MATCH(B1317,'Cashier Roster'!$B$5:$B$64,0)),""))</f>
        <v/>
      </c>
      <c r="E1317" s="13"/>
      <c r="F1317" s="14"/>
      <c r="G1317" s="8" t="str">
        <f>IF(OR(B1317="",E1317=""),"",IF(E1317="No","Missed",IF(F1317="","",IF(F1317&lt;=Settings!$B$7,"On time","Late"))))</f>
        <v/>
      </c>
      <c r="H1317" s="15"/>
      <c r="I1317" s="16"/>
      <c r="J1317" s="16"/>
      <c r="K1317" s="17" t="str">
        <f>IF(J1317="","",ROUND(J1317*Settings!$B$8,2))</f>
        <v/>
      </c>
      <c r="L1317" s="16"/>
      <c r="M1317" s="8" t="str">
        <f t="shared" si="20"/>
        <v/>
      </c>
      <c r="N1317" s="9"/>
    </row>
    <row r="1318" spans="1:14" ht="15.75">
      <c r="A1318" s="11"/>
      <c r="B1318" s="9"/>
      <c r="C1318" s="12" t="str">
        <f>IF(B1318="","",IFERROR(INDEX('Cashier Roster'!$C$5:$C$64,MATCH(B1318,'Cashier Roster'!$B$5:$B$64,0)),"Not on roster"))</f>
        <v/>
      </c>
      <c r="D1318" s="12" t="str">
        <f>IF(B1318="","",IFERROR(INDEX('Cashier Roster'!$D$5:$D$64,MATCH(B1318,'Cashier Roster'!$B$5:$B$64,0)),""))</f>
        <v/>
      </c>
      <c r="E1318" s="13"/>
      <c r="F1318" s="14"/>
      <c r="G1318" s="8" t="str">
        <f>IF(OR(B1318="",E1318=""),"",IF(E1318="No","Missed",IF(F1318="","",IF(F1318&lt;=Settings!$B$7,"On time","Late"))))</f>
        <v/>
      </c>
      <c r="H1318" s="15"/>
      <c r="I1318" s="16"/>
      <c r="J1318" s="16"/>
      <c r="K1318" s="17" t="str">
        <f>IF(J1318="","",ROUND(J1318*Settings!$B$8,2))</f>
        <v/>
      </c>
      <c r="L1318" s="16"/>
      <c r="M1318" s="8" t="str">
        <f t="shared" si="20"/>
        <v/>
      </c>
      <c r="N1318" s="9"/>
    </row>
    <row r="1319" spans="1:14" ht="15.75">
      <c r="A1319" s="11"/>
      <c r="B1319" s="9"/>
      <c r="C1319" s="12" t="str">
        <f>IF(B1319="","",IFERROR(INDEX('Cashier Roster'!$C$5:$C$64,MATCH(B1319,'Cashier Roster'!$B$5:$B$64,0)),"Not on roster"))</f>
        <v/>
      </c>
      <c r="D1319" s="12" t="str">
        <f>IF(B1319="","",IFERROR(INDEX('Cashier Roster'!$D$5:$D$64,MATCH(B1319,'Cashier Roster'!$B$5:$B$64,0)),""))</f>
        <v/>
      </c>
      <c r="E1319" s="13"/>
      <c r="F1319" s="14"/>
      <c r="G1319" s="8" t="str">
        <f>IF(OR(B1319="",E1319=""),"",IF(E1319="No","Missed",IF(F1319="","",IF(F1319&lt;=Settings!$B$7,"On time","Late"))))</f>
        <v/>
      </c>
      <c r="H1319" s="15"/>
      <c r="I1319" s="16"/>
      <c r="J1319" s="16"/>
      <c r="K1319" s="17" t="str">
        <f>IF(J1319="","",ROUND(J1319*Settings!$B$8,2))</f>
        <v/>
      </c>
      <c r="L1319" s="16"/>
      <c r="M1319" s="8" t="str">
        <f t="shared" si="20"/>
        <v/>
      </c>
      <c r="N1319" s="9"/>
    </row>
    <row r="1320" spans="1:14" ht="15.75">
      <c r="A1320" s="11"/>
      <c r="B1320" s="9"/>
      <c r="C1320" s="12" t="str">
        <f>IF(B1320="","",IFERROR(INDEX('Cashier Roster'!$C$5:$C$64,MATCH(B1320,'Cashier Roster'!$B$5:$B$64,0)),"Not on roster"))</f>
        <v/>
      </c>
      <c r="D1320" s="12" t="str">
        <f>IF(B1320="","",IFERROR(INDEX('Cashier Roster'!$D$5:$D$64,MATCH(B1320,'Cashier Roster'!$B$5:$B$64,0)),""))</f>
        <v/>
      </c>
      <c r="E1320" s="13"/>
      <c r="F1320" s="14"/>
      <c r="G1320" s="8" t="str">
        <f>IF(OR(B1320="",E1320=""),"",IF(E1320="No","Missed",IF(F1320="","",IF(F1320&lt;=Settings!$B$7,"On time","Late"))))</f>
        <v/>
      </c>
      <c r="H1320" s="15"/>
      <c r="I1320" s="16"/>
      <c r="J1320" s="16"/>
      <c r="K1320" s="17" t="str">
        <f>IF(J1320="","",ROUND(J1320*Settings!$B$8,2))</f>
        <v/>
      </c>
      <c r="L1320" s="16"/>
      <c r="M1320" s="8" t="str">
        <f t="shared" si="20"/>
        <v/>
      </c>
      <c r="N1320" s="9"/>
    </row>
    <row r="1321" spans="1:14" ht="15.75">
      <c r="A1321" s="11"/>
      <c r="B1321" s="9"/>
      <c r="C1321" s="12" t="str">
        <f>IF(B1321="","",IFERROR(INDEX('Cashier Roster'!$C$5:$C$64,MATCH(B1321,'Cashier Roster'!$B$5:$B$64,0)),"Not on roster"))</f>
        <v/>
      </c>
      <c r="D1321" s="12" t="str">
        <f>IF(B1321="","",IFERROR(INDEX('Cashier Roster'!$D$5:$D$64,MATCH(B1321,'Cashier Roster'!$B$5:$B$64,0)),""))</f>
        <v/>
      </c>
      <c r="E1321" s="13"/>
      <c r="F1321" s="14"/>
      <c r="G1321" s="8" t="str">
        <f>IF(OR(B1321="",E1321=""),"",IF(E1321="No","Missed",IF(F1321="","",IF(F1321&lt;=Settings!$B$7,"On time","Late"))))</f>
        <v/>
      </c>
      <c r="H1321" s="15"/>
      <c r="I1321" s="16"/>
      <c r="J1321" s="16"/>
      <c r="K1321" s="17" t="str">
        <f>IF(J1321="","",ROUND(J1321*Settings!$B$8,2))</f>
        <v/>
      </c>
      <c r="L1321" s="16"/>
      <c r="M1321" s="8" t="str">
        <f t="shared" si="20"/>
        <v/>
      </c>
      <c r="N1321" s="9"/>
    </row>
    <row r="1322" spans="1:14" ht="15.75">
      <c r="A1322" s="11"/>
      <c r="B1322" s="9"/>
      <c r="C1322" s="12" t="str">
        <f>IF(B1322="","",IFERROR(INDEX('Cashier Roster'!$C$5:$C$64,MATCH(B1322,'Cashier Roster'!$B$5:$B$64,0)),"Not on roster"))</f>
        <v/>
      </c>
      <c r="D1322" s="12" t="str">
        <f>IF(B1322="","",IFERROR(INDEX('Cashier Roster'!$D$5:$D$64,MATCH(B1322,'Cashier Roster'!$B$5:$B$64,0)),""))</f>
        <v/>
      </c>
      <c r="E1322" s="13"/>
      <c r="F1322" s="14"/>
      <c r="G1322" s="8" t="str">
        <f>IF(OR(B1322="",E1322=""),"",IF(E1322="No","Missed",IF(F1322="","",IF(F1322&lt;=Settings!$B$7,"On time","Late"))))</f>
        <v/>
      </c>
      <c r="H1322" s="15"/>
      <c r="I1322" s="16"/>
      <c r="J1322" s="16"/>
      <c r="K1322" s="17" t="str">
        <f>IF(J1322="","",ROUND(J1322*Settings!$B$8,2))</f>
        <v/>
      </c>
      <c r="L1322" s="16"/>
      <c r="M1322" s="8" t="str">
        <f t="shared" si="20"/>
        <v/>
      </c>
      <c r="N1322" s="9"/>
    </row>
    <row r="1323" spans="1:14" ht="15.75">
      <c r="A1323" s="11"/>
      <c r="B1323" s="9"/>
      <c r="C1323" s="12" t="str">
        <f>IF(B1323="","",IFERROR(INDEX('Cashier Roster'!$C$5:$C$64,MATCH(B1323,'Cashier Roster'!$B$5:$B$64,0)),"Not on roster"))</f>
        <v/>
      </c>
      <c r="D1323" s="12" t="str">
        <f>IF(B1323="","",IFERROR(INDEX('Cashier Roster'!$D$5:$D$64,MATCH(B1323,'Cashier Roster'!$B$5:$B$64,0)),""))</f>
        <v/>
      </c>
      <c r="E1323" s="13"/>
      <c r="F1323" s="14"/>
      <c r="G1323" s="8" t="str">
        <f>IF(OR(B1323="",E1323=""),"",IF(E1323="No","Missed",IF(F1323="","",IF(F1323&lt;=Settings!$B$7,"On time","Late"))))</f>
        <v/>
      </c>
      <c r="H1323" s="15"/>
      <c r="I1323" s="16"/>
      <c r="J1323" s="16"/>
      <c r="K1323" s="17" t="str">
        <f>IF(J1323="","",ROUND(J1323*Settings!$B$8,2))</f>
        <v/>
      </c>
      <c r="L1323" s="16"/>
      <c r="M1323" s="8" t="str">
        <f t="shared" si="20"/>
        <v/>
      </c>
      <c r="N1323" s="9"/>
    </row>
    <row r="1324" spans="1:14" ht="15.75">
      <c r="A1324" s="11"/>
      <c r="B1324" s="9"/>
      <c r="C1324" s="12" t="str">
        <f>IF(B1324="","",IFERROR(INDEX('Cashier Roster'!$C$5:$C$64,MATCH(B1324,'Cashier Roster'!$B$5:$B$64,0)),"Not on roster"))</f>
        <v/>
      </c>
      <c r="D1324" s="12" t="str">
        <f>IF(B1324="","",IFERROR(INDEX('Cashier Roster'!$D$5:$D$64,MATCH(B1324,'Cashier Roster'!$B$5:$B$64,0)),""))</f>
        <v/>
      </c>
      <c r="E1324" s="13"/>
      <c r="F1324" s="14"/>
      <c r="G1324" s="8" t="str">
        <f>IF(OR(B1324="",E1324=""),"",IF(E1324="No","Missed",IF(F1324="","",IF(F1324&lt;=Settings!$B$7,"On time","Late"))))</f>
        <v/>
      </c>
      <c r="H1324" s="15"/>
      <c r="I1324" s="16"/>
      <c r="J1324" s="16"/>
      <c r="K1324" s="17" t="str">
        <f>IF(J1324="","",ROUND(J1324*Settings!$B$8,2))</f>
        <v/>
      </c>
      <c r="L1324" s="16"/>
      <c r="M1324" s="8" t="str">
        <f t="shared" si="20"/>
        <v/>
      </c>
      <c r="N1324" s="9"/>
    </row>
    <row r="1325" spans="1:14" ht="15.75">
      <c r="A1325" s="11"/>
      <c r="B1325" s="9"/>
      <c r="C1325" s="12" t="str">
        <f>IF(B1325="","",IFERROR(INDEX('Cashier Roster'!$C$5:$C$64,MATCH(B1325,'Cashier Roster'!$B$5:$B$64,0)),"Not on roster"))</f>
        <v/>
      </c>
      <c r="D1325" s="12" t="str">
        <f>IF(B1325="","",IFERROR(INDEX('Cashier Roster'!$D$5:$D$64,MATCH(B1325,'Cashier Roster'!$B$5:$B$64,0)),""))</f>
        <v/>
      </c>
      <c r="E1325" s="13"/>
      <c r="F1325" s="14"/>
      <c r="G1325" s="8" t="str">
        <f>IF(OR(B1325="",E1325=""),"",IF(E1325="No","Missed",IF(F1325="","",IF(F1325&lt;=Settings!$B$7,"On time","Late"))))</f>
        <v/>
      </c>
      <c r="H1325" s="15"/>
      <c r="I1325" s="16"/>
      <c r="J1325" s="16"/>
      <c r="K1325" s="17" t="str">
        <f>IF(J1325="","",ROUND(J1325*Settings!$B$8,2))</f>
        <v/>
      </c>
      <c r="L1325" s="16"/>
      <c r="M1325" s="8" t="str">
        <f t="shared" si="20"/>
        <v/>
      </c>
      <c r="N1325" s="9"/>
    </row>
    <row r="1326" spans="1:14" ht="15.75">
      <c r="A1326" s="11"/>
      <c r="B1326" s="9"/>
      <c r="C1326" s="12" t="str">
        <f>IF(B1326="","",IFERROR(INDEX('Cashier Roster'!$C$5:$C$64,MATCH(B1326,'Cashier Roster'!$B$5:$B$64,0)),"Not on roster"))</f>
        <v/>
      </c>
      <c r="D1326" s="12" t="str">
        <f>IF(B1326="","",IFERROR(INDEX('Cashier Roster'!$D$5:$D$64,MATCH(B1326,'Cashier Roster'!$B$5:$B$64,0)),""))</f>
        <v/>
      </c>
      <c r="E1326" s="13"/>
      <c r="F1326" s="14"/>
      <c r="G1326" s="8" t="str">
        <f>IF(OR(B1326="",E1326=""),"",IF(E1326="No","Missed",IF(F1326="","",IF(F1326&lt;=Settings!$B$7,"On time","Late"))))</f>
        <v/>
      </c>
      <c r="H1326" s="15"/>
      <c r="I1326" s="16"/>
      <c r="J1326" s="16"/>
      <c r="K1326" s="17" t="str">
        <f>IF(J1326="","",ROUND(J1326*Settings!$B$8,2))</f>
        <v/>
      </c>
      <c r="L1326" s="16"/>
      <c r="M1326" s="8" t="str">
        <f t="shared" si="20"/>
        <v/>
      </c>
      <c r="N1326" s="9"/>
    </row>
    <row r="1327" spans="1:14" ht="15.75">
      <c r="A1327" s="11"/>
      <c r="B1327" s="9"/>
      <c r="C1327" s="12" t="str">
        <f>IF(B1327="","",IFERROR(INDEX('Cashier Roster'!$C$5:$C$64,MATCH(B1327,'Cashier Roster'!$B$5:$B$64,0)),"Not on roster"))</f>
        <v/>
      </c>
      <c r="D1327" s="12" t="str">
        <f>IF(B1327="","",IFERROR(INDEX('Cashier Roster'!$D$5:$D$64,MATCH(B1327,'Cashier Roster'!$B$5:$B$64,0)),""))</f>
        <v/>
      </c>
      <c r="E1327" s="13"/>
      <c r="F1327" s="14"/>
      <c r="G1327" s="8" t="str">
        <f>IF(OR(B1327="",E1327=""),"",IF(E1327="No","Missed",IF(F1327="","",IF(F1327&lt;=Settings!$B$7,"On time","Late"))))</f>
        <v/>
      </c>
      <c r="H1327" s="15"/>
      <c r="I1327" s="16"/>
      <c r="J1327" s="16"/>
      <c r="K1327" s="17" t="str">
        <f>IF(J1327="","",ROUND(J1327*Settings!$B$8,2))</f>
        <v/>
      </c>
      <c r="L1327" s="16"/>
      <c r="M1327" s="8" t="str">
        <f t="shared" si="20"/>
        <v/>
      </c>
      <c r="N1327" s="9"/>
    </row>
    <row r="1328" spans="1:14" ht="15.75">
      <c r="A1328" s="11"/>
      <c r="B1328" s="9"/>
      <c r="C1328" s="12" t="str">
        <f>IF(B1328="","",IFERROR(INDEX('Cashier Roster'!$C$5:$C$64,MATCH(B1328,'Cashier Roster'!$B$5:$B$64,0)),"Not on roster"))</f>
        <v/>
      </c>
      <c r="D1328" s="12" t="str">
        <f>IF(B1328="","",IFERROR(INDEX('Cashier Roster'!$D$5:$D$64,MATCH(B1328,'Cashier Roster'!$B$5:$B$64,0)),""))</f>
        <v/>
      </c>
      <c r="E1328" s="13"/>
      <c r="F1328" s="14"/>
      <c r="G1328" s="8" t="str">
        <f>IF(OR(B1328="",E1328=""),"",IF(E1328="No","Missed",IF(F1328="","",IF(F1328&lt;=Settings!$B$7,"On time","Late"))))</f>
        <v/>
      </c>
      <c r="H1328" s="15"/>
      <c r="I1328" s="16"/>
      <c r="J1328" s="16"/>
      <c r="K1328" s="17" t="str">
        <f>IF(J1328="","",ROUND(J1328*Settings!$B$8,2))</f>
        <v/>
      </c>
      <c r="L1328" s="16"/>
      <c r="M1328" s="8" t="str">
        <f t="shared" si="20"/>
        <v/>
      </c>
      <c r="N1328" s="9"/>
    </row>
    <row r="1329" spans="1:14" ht="15.75">
      <c r="A1329" s="11"/>
      <c r="B1329" s="9"/>
      <c r="C1329" s="12" t="str">
        <f>IF(B1329="","",IFERROR(INDEX('Cashier Roster'!$C$5:$C$64,MATCH(B1329,'Cashier Roster'!$B$5:$B$64,0)),"Not on roster"))</f>
        <v/>
      </c>
      <c r="D1329" s="12" t="str">
        <f>IF(B1329="","",IFERROR(INDEX('Cashier Roster'!$D$5:$D$64,MATCH(B1329,'Cashier Roster'!$B$5:$B$64,0)),""))</f>
        <v/>
      </c>
      <c r="E1329" s="13"/>
      <c r="F1329" s="14"/>
      <c r="G1329" s="8" t="str">
        <f>IF(OR(B1329="",E1329=""),"",IF(E1329="No","Missed",IF(F1329="","",IF(F1329&lt;=Settings!$B$7,"On time","Late"))))</f>
        <v/>
      </c>
      <c r="H1329" s="15"/>
      <c r="I1329" s="16"/>
      <c r="J1329" s="16"/>
      <c r="K1329" s="17" t="str">
        <f>IF(J1329="","",ROUND(J1329*Settings!$B$8,2))</f>
        <v/>
      </c>
      <c r="L1329" s="16"/>
      <c r="M1329" s="8" t="str">
        <f t="shared" si="20"/>
        <v/>
      </c>
      <c r="N1329" s="9"/>
    </row>
    <row r="1330" spans="1:14" ht="15.75">
      <c r="A1330" s="11"/>
      <c r="B1330" s="9"/>
      <c r="C1330" s="12" t="str">
        <f>IF(B1330="","",IFERROR(INDEX('Cashier Roster'!$C$5:$C$64,MATCH(B1330,'Cashier Roster'!$B$5:$B$64,0)),"Not on roster"))</f>
        <v/>
      </c>
      <c r="D1330" s="12" t="str">
        <f>IF(B1330="","",IFERROR(INDEX('Cashier Roster'!$D$5:$D$64,MATCH(B1330,'Cashier Roster'!$B$5:$B$64,0)),""))</f>
        <v/>
      </c>
      <c r="E1330" s="13"/>
      <c r="F1330" s="14"/>
      <c r="G1330" s="8" t="str">
        <f>IF(OR(B1330="",E1330=""),"",IF(E1330="No","Missed",IF(F1330="","",IF(F1330&lt;=Settings!$B$7,"On time","Late"))))</f>
        <v/>
      </c>
      <c r="H1330" s="15"/>
      <c r="I1330" s="16"/>
      <c r="J1330" s="16"/>
      <c r="K1330" s="17" t="str">
        <f>IF(J1330="","",ROUND(J1330*Settings!$B$8,2))</f>
        <v/>
      </c>
      <c r="L1330" s="16"/>
      <c r="M1330" s="8" t="str">
        <f t="shared" si="20"/>
        <v/>
      </c>
      <c r="N1330" s="9"/>
    </row>
    <row r="1331" spans="1:14" ht="15.75">
      <c r="A1331" s="11"/>
      <c r="B1331" s="9"/>
      <c r="C1331" s="12" t="str">
        <f>IF(B1331="","",IFERROR(INDEX('Cashier Roster'!$C$5:$C$64,MATCH(B1331,'Cashier Roster'!$B$5:$B$64,0)),"Not on roster"))</f>
        <v/>
      </c>
      <c r="D1331" s="12" t="str">
        <f>IF(B1331="","",IFERROR(INDEX('Cashier Roster'!$D$5:$D$64,MATCH(B1331,'Cashier Roster'!$B$5:$B$64,0)),""))</f>
        <v/>
      </c>
      <c r="E1331" s="13"/>
      <c r="F1331" s="14"/>
      <c r="G1331" s="8" t="str">
        <f>IF(OR(B1331="",E1331=""),"",IF(E1331="No","Missed",IF(F1331="","",IF(F1331&lt;=Settings!$B$7,"On time","Late"))))</f>
        <v/>
      </c>
      <c r="H1331" s="15"/>
      <c r="I1331" s="16"/>
      <c r="J1331" s="16"/>
      <c r="K1331" s="17" t="str">
        <f>IF(J1331="","",ROUND(J1331*Settings!$B$8,2))</f>
        <v/>
      </c>
      <c r="L1331" s="16"/>
      <c r="M1331" s="8" t="str">
        <f t="shared" si="20"/>
        <v/>
      </c>
      <c r="N1331" s="9"/>
    </row>
    <row r="1332" spans="1:14" ht="15.75">
      <c r="A1332" s="11"/>
      <c r="B1332" s="9"/>
      <c r="C1332" s="12" t="str">
        <f>IF(B1332="","",IFERROR(INDEX('Cashier Roster'!$C$5:$C$64,MATCH(B1332,'Cashier Roster'!$B$5:$B$64,0)),"Not on roster"))</f>
        <v/>
      </c>
      <c r="D1332" s="12" t="str">
        <f>IF(B1332="","",IFERROR(INDEX('Cashier Roster'!$D$5:$D$64,MATCH(B1332,'Cashier Roster'!$B$5:$B$64,0)),""))</f>
        <v/>
      </c>
      <c r="E1332" s="13"/>
      <c r="F1332" s="14"/>
      <c r="G1332" s="8" t="str">
        <f>IF(OR(B1332="",E1332=""),"",IF(E1332="No","Missed",IF(F1332="","",IF(F1332&lt;=Settings!$B$7,"On time","Late"))))</f>
        <v/>
      </c>
      <c r="H1332" s="15"/>
      <c r="I1332" s="16"/>
      <c r="J1332" s="16"/>
      <c r="K1332" s="17" t="str">
        <f>IF(J1332="","",ROUND(J1332*Settings!$B$8,2))</f>
        <v/>
      </c>
      <c r="L1332" s="16"/>
      <c r="M1332" s="8" t="str">
        <f t="shared" si="20"/>
        <v/>
      </c>
      <c r="N1332" s="9"/>
    </row>
    <row r="1333" spans="1:14" ht="15.75">
      <c r="A1333" s="11"/>
      <c r="B1333" s="9"/>
      <c r="C1333" s="12" t="str">
        <f>IF(B1333="","",IFERROR(INDEX('Cashier Roster'!$C$5:$C$64,MATCH(B1333,'Cashier Roster'!$B$5:$B$64,0)),"Not on roster"))</f>
        <v/>
      </c>
      <c r="D1333" s="12" t="str">
        <f>IF(B1333="","",IFERROR(INDEX('Cashier Roster'!$D$5:$D$64,MATCH(B1333,'Cashier Roster'!$B$5:$B$64,0)),""))</f>
        <v/>
      </c>
      <c r="E1333" s="13"/>
      <c r="F1333" s="14"/>
      <c r="G1333" s="8" t="str">
        <f>IF(OR(B1333="",E1333=""),"",IF(E1333="No","Missed",IF(F1333="","",IF(F1333&lt;=Settings!$B$7,"On time","Late"))))</f>
        <v/>
      </c>
      <c r="H1333" s="15"/>
      <c r="I1333" s="16"/>
      <c r="J1333" s="16"/>
      <c r="K1333" s="17" t="str">
        <f>IF(J1333="","",ROUND(J1333*Settings!$B$8,2))</f>
        <v/>
      </c>
      <c r="L1333" s="16"/>
      <c r="M1333" s="8" t="str">
        <f t="shared" si="20"/>
        <v/>
      </c>
      <c r="N1333" s="9"/>
    </row>
    <row r="1334" spans="1:14" ht="15.75">
      <c r="A1334" s="11"/>
      <c r="B1334" s="9"/>
      <c r="C1334" s="12" t="str">
        <f>IF(B1334="","",IFERROR(INDEX('Cashier Roster'!$C$5:$C$64,MATCH(B1334,'Cashier Roster'!$B$5:$B$64,0)),"Not on roster"))</f>
        <v/>
      </c>
      <c r="D1334" s="12" t="str">
        <f>IF(B1334="","",IFERROR(INDEX('Cashier Roster'!$D$5:$D$64,MATCH(B1334,'Cashier Roster'!$B$5:$B$64,0)),""))</f>
        <v/>
      </c>
      <c r="E1334" s="13"/>
      <c r="F1334" s="14"/>
      <c r="G1334" s="8" t="str">
        <f>IF(OR(B1334="",E1334=""),"",IF(E1334="No","Missed",IF(F1334="","",IF(F1334&lt;=Settings!$B$7,"On time","Late"))))</f>
        <v/>
      </c>
      <c r="H1334" s="15"/>
      <c r="I1334" s="16"/>
      <c r="J1334" s="16"/>
      <c r="K1334" s="17" t="str">
        <f>IF(J1334="","",ROUND(J1334*Settings!$B$8,2))</f>
        <v/>
      </c>
      <c r="L1334" s="16"/>
      <c r="M1334" s="8" t="str">
        <f t="shared" si="20"/>
        <v/>
      </c>
      <c r="N1334" s="9"/>
    </row>
    <row r="1335" spans="1:14" ht="15.75">
      <c r="A1335" s="11"/>
      <c r="B1335" s="9"/>
      <c r="C1335" s="12" t="str">
        <f>IF(B1335="","",IFERROR(INDEX('Cashier Roster'!$C$5:$C$64,MATCH(B1335,'Cashier Roster'!$B$5:$B$64,0)),"Not on roster"))</f>
        <v/>
      </c>
      <c r="D1335" s="12" t="str">
        <f>IF(B1335="","",IFERROR(INDEX('Cashier Roster'!$D$5:$D$64,MATCH(B1335,'Cashier Roster'!$B$5:$B$64,0)),""))</f>
        <v/>
      </c>
      <c r="E1335" s="13"/>
      <c r="F1335" s="14"/>
      <c r="G1335" s="8" t="str">
        <f>IF(OR(B1335="",E1335=""),"",IF(E1335="No","Missed",IF(F1335="","",IF(F1335&lt;=Settings!$B$7,"On time","Late"))))</f>
        <v/>
      </c>
      <c r="H1335" s="15"/>
      <c r="I1335" s="16"/>
      <c r="J1335" s="16"/>
      <c r="K1335" s="17" t="str">
        <f>IF(J1335="","",ROUND(J1335*Settings!$B$8,2))</f>
        <v/>
      </c>
      <c r="L1335" s="16"/>
      <c r="M1335" s="8" t="str">
        <f t="shared" si="20"/>
        <v/>
      </c>
      <c r="N1335" s="9"/>
    </row>
    <row r="1336" spans="1:14" ht="15.75">
      <c r="A1336" s="11"/>
      <c r="B1336" s="9"/>
      <c r="C1336" s="12" t="str">
        <f>IF(B1336="","",IFERROR(INDEX('Cashier Roster'!$C$5:$C$64,MATCH(B1336,'Cashier Roster'!$B$5:$B$64,0)),"Not on roster"))</f>
        <v/>
      </c>
      <c r="D1336" s="12" t="str">
        <f>IF(B1336="","",IFERROR(INDEX('Cashier Roster'!$D$5:$D$64,MATCH(B1336,'Cashier Roster'!$B$5:$B$64,0)),""))</f>
        <v/>
      </c>
      <c r="E1336" s="13"/>
      <c r="F1336" s="14"/>
      <c r="G1336" s="8" t="str">
        <f>IF(OR(B1336="",E1336=""),"",IF(E1336="No","Missed",IF(F1336="","",IF(F1336&lt;=Settings!$B$7,"On time","Late"))))</f>
        <v/>
      </c>
      <c r="H1336" s="15"/>
      <c r="I1336" s="16"/>
      <c r="J1336" s="16"/>
      <c r="K1336" s="17" t="str">
        <f>IF(J1336="","",ROUND(J1336*Settings!$B$8,2))</f>
        <v/>
      </c>
      <c r="L1336" s="16"/>
      <c r="M1336" s="8" t="str">
        <f t="shared" si="20"/>
        <v/>
      </c>
      <c r="N1336" s="9"/>
    </row>
    <row r="1337" spans="1:14" ht="15.75">
      <c r="A1337" s="11"/>
      <c r="B1337" s="9"/>
      <c r="C1337" s="12" t="str">
        <f>IF(B1337="","",IFERROR(INDEX('Cashier Roster'!$C$5:$C$64,MATCH(B1337,'Cashier Roster'!$B$5:$B$64,0)),"Not on roster"))</f>
        <v/>
      </c>
      <c r="D1337" s="12" t="str">
        <f>IF(B1337="","",IFERROR(INDEX('Cashier Roster'!$D$5:$D$64,MATCH(B1337,'Cashier Roster'!$B$5:$B$64,0)),""))</f>
        <v/>
      </c>
      <c r="E1337" s="13"/>
      <c r="F1337" s="14"/>
      <c r="G1337" s="8" t="str">
        <f>IF(OR(B1337="",E1337=""),"",IF(E1337="No","Missed",IF(F1337="","",IF(F1337&lt;=Settings!$B$7,"On time","Late"))))</f>
        <v/>
      </c>
      <c r="H1337" s="15"/>
      <c r="I1337" s="16"/>
      <c r="J1337" s="16"/>
      <c r="K1337" s="17" t="str">
        <f>IF(J1337="","",ROUND(J1337*Settings!$B$8,2))</f>
        <v/>
      </c>
      <c r="L1337" s="16"/>
      <c r="M1337" s="8" t="str">
        <f t="shared" si="20"/>
        <v/>
      </c>
      <c r="N1337" s="9"/>
    </row>
    <row r="1338" spans="1:14" ht="15.75">
      <c r="A1338" s="11"/>
      <c r="B1338" s="9"/>
      <c r="C1338" s="12" t="str">
        <f>IF(B1338="","",IFERROR(INDEX('Cashier Roster'!$C$5:$C$64,MATCH(B1338,'Cashier Roster'!$B$5:$B$64,0)),"Not on roster"))</f>
        <v/>
      </c>
      <c r="D1338" s="12" t="str">
        <f>IF(B1338="","",IFERROR(INDEX('Cashier Roster'!$D$5:$D$64,MATCH(B1338,'Cashier Roster'!$B$5:$B$64,0)),""))</f>
        <v/>
      </c>
      <c r="E1338" s="13"/>
      <c r="F1338" s="14"/>
      <c r="G1338" s="8" t="str">
        <f>IF(OR(B1338="",E1338=""),"",IF(E1338="No","Missed",IF(F1338="","",IF(F1338&lt;=Settings!$B$7,"On time","Late"))))</f>
        <v/>
      </c>
      <c r="H1338" s="15"/>
      <c r="I1338" s="16"/>
      <c r="J1338" s="16"/>
      <c r="K1338" s="17" t="str">
        <f>IF(J1338="","",ROUND(J1338*Settings!$B$8,2))</f>
        <v/>
      </c>
      <c r="L1338" s="16"/>
      <c r="M1338" s="8" t="str">
        <f t="shared" si="20"/>
        <v/>
      </c>
      <c r="N1338" s="9"/>
    </row>
    <row r="1339" spans="1:14" ht="15.75">
      <c r="A1339" s="11"/>
      <c r="B1339" s="9"/>
      <c r="C1339" s="12" t="str">
        <f>IF(B1339="","",IFERROR(INDEX('Cashier Roster'!$C$5:$C$64,MATCH(B1339,'Cashier Roster'!$B$5:$B$64,0)),"Not on roster"))</f>
        <v/>
      </c>
      <c r="D1339" s="12" t="str">
        <f>IF(B1339="","",IFERROR(INDEX('Cashier Roster'!$D$5:$D$64,MATCH(B1339,'Cashier Roster'!$B$5:$B$64,0)),""))</f>
        <v/>
      </c>
      <c r="E1339" s="13"/>
      <c r="F1339" s="14"/>
      <c r="G1339" s="8" t="str">
        <f>IF(OR(B1339="",E1339=""),"",IF(E1339="No","Missed",IF(F1339="","",IF(F1339&lt;=Settings!$B$7,"On time","Late"))))</f>
        <v/>
      </c>
      <c r="H1339" s="15"/>
      <c r="I1339" s="16"/>
      <c r="J1339" s="16"/>
      <c r="K1339" s="17" t="str">
        <f>IF(J1339="","",ROUND(J1339*Settings!$B$8,2))</f>
        <v/>
      </c>
      <c r="L1339" s="16"/>
      <c r="M1339" s="8" t="str">
        <f t="shared" si="20"/>
        <v/>
      </c>
      <c r="N1339" s="9"/>
    </row>
    <row r="1340" spans="1:14" ht="15.75">
      <c r="A1340" s="11"/>
      <c r="B1340" s="9"/>
      <c r="C1340" s="12" t="str">
        <f>IF(B1340="","",IFERROR(INDEX('Cashier Roster'!$C$5:$C$64,MATCH(B1340,'Cashier Roster'!$B$5:$B$64,0)),"Not on roster"))</f>
        <v/>
      </c>
      <c r="D1340" s="12" t="str">
        <f>IF(B1340="","",IFERROR(INDEX('Cashier Roster'!$D$5:$D$64,MATCH(B1340,'Cashier Roster'!$B$5:$B$64,0)),""))</f>
        <v/>
      </c>
      <c r="E1340" s="13"/>
      <c r="F1340" s="14"/>
      <c r="G1340" s="8" t="str">
        <f>IF(OR(B1340="",E1340=""),"",IF(E1340="No","Missed",IF(F1340="","",IF(F1340&lt;=Settings!$B$7,"On time","Late"))))</f>
        <v/>
      </c>
      <c r="H1340" s="15"/>
      <c r="I1340" s="16"/>
      <c r="J1340" s="16"/>
      <c r="K1340" s="17" t="str">
        <f>IF(J1340="","",ROUND(J1340*Settings!$B$8,2))</f>
        <v/>
      </c>
      <c r="L1340" s="16"/>
      <c r="M1340" s="8" t="str">
        <f t="shared" si="20"/>
        <v/>
      </c>
      <c r="N1340" s="9"/>
    </row>
    <row r="1341" spans="1:14" ht="15.75">
      <c r="A1341" s="11"/>
      <c r="B1341" s="9"/>
      <c r="C1341" s="12" t="str">
        <f>IF(B1341="","",IFERROR(INDEX('Cashier Roster'!$C$5:$C$64,MATCH(B1341,'Cashier Roster'!$B$5:$B$64,0)),"Not on roster"))</f>
        <v/>
      </c>
      <c r="D1341" s="12" t="str">
        <f>IF(B1341="","",IFERROR(INDEX('Cashier Roster'!$D$5:$D$64,MATCH(B1341,'Cashier Roster'!$B$5:$B$64,0)),""))</f>
        <v/>
      </c>
      <c r="E1341" s="13"/>
      <c r="F1341" s="14"/>
      <c r="G1341" s="8" t="str">
        <f>IF(OR(B1341="",E1341=""),"",IF(E1341="No","Missed",IF(F1341="","",IF(F1341&lt;=Settings!$B$7,"On time","Late"))))</f>
        <v/>
      </c>
      <c r="H1341" s="15"/>
      <c r="I1341" s="16"/>
      <c r="J1341" s="16"/>
      <c r="K1341" s="17" t="str">
        <f>IF(J1341="","",ROUND(J1341*Settings!$B$8,2))</f>
        <v/>
      </c>
      <c r="L1341" s="16"/>
      <c r="M1341" s="8" t="str">
        <f t="shared" si="20"/>
        <v/>
      </c>
      <c r="N1341" s="9"/>
    </row>
    <row r="1342" spans="1:14" ht="15.75">
      <c r="A1342" s="11"/>
      <c r="B1342" s="9"/>
      <c r="C1342" s="12" t="str">
        <f>IF(B1342="","",IFERROR(INDEX('Cashier Roster'!$C$5:$C$64,MATCH(B1342,'Cashier Roster'!$B$5:$B$64,0)),"Not on roster"))</f>
        <v/>
      </c>
      <c r="D1342" s="12" t="str">
        <f>IF(B1342="","",IFERROR(INDEX('Cashier Roster'!$D$5:$D$64,MATCH(B1342,'Cashier Roster'!$B$5:$B$64,0)),""))</f>
        <v/>
      </c>
      <c r="E1342" s="13"/>
      <c r="F1342" s="14"/>
      <c r="G1342" s="8" t="str">
        <f>IF(OR(B1342="",E1342=""),"",IF(E1342="No","Missed",IF(F1342="","",IF(F1342&lt;=Settings!$B$7,"On time","Late"))))</f>
        <v/>
      </c>
      <c r="H1342" s="15"/>
      <c r="I1342" s="16"/>
      <c r="J1342" s="16"/>
      <c r="K1342" s="17" t="str">
        <f>IF(J1342="","",ROUND(J1342*Settings!$B$8,2))</f>
        <v/>
      </c>
      <c r="L1342" s="16"/>
      <c r="M1342" s="8" t="str">
        <f t="shared" si="20"/>
        <v/>
      </c>
      <c r="N1342" s="9"/>
    </row>
    <row r="1343" spans="1:14" ht="15.75">
      <c r="A1343" s="11"/>
      <c r="B1343" s="9"/>
      <c r="C1343" s="12" t="str">
        <f>IF(B1343="","",IFERROR(INDEX('Cashier Roster'!$C$5:$C$64,MATCH(B1343,'Cashier Roster'!$B$5:$B$64,0)),"Not on roster"))</f>
        <v/>
      </c>
      <c r="D1343" s="12" t="str">
        <f>IF(B1343="","",IFERROR(INDEX('Cashier Roster'!$D$5:$D$64,MATCH(B1343,'Cashier Roster'!$B$5:$B$64,0)),""))</f>
        <v/>
      </c>
      <c r="E1343" s="13"/>
      <c r="F1343" s="14"/>
      <c r="G1343" s="8" t="str">
        <f>IF(OR(B1343="",E1343=""),"",IF(E1343="No","Missed",IF(F1343="","",IF(F1343&lt;=Settings!$B$7,"On time","Late"))))</f>
        <v/>
      </c>
      <c r="H1343" s="15"/>
      <c r="I1343" s="16"/>
      <c r="J1343" s="16"/>
      <c r="K1343" s="17" t="str">
        <f>IF(J1343="","",ROUND(J1343*Settings!$B$8,2))</f>
        <v/>
      </c>
      <c r="L1343" s="16"/>
      <c r="M1343" s="8" t="str">
        <f t="shared" si="20"/>
        <v/>
      </c>
      <c r="N1343" s="9"/>
    </row>
    <row r="1344" spans="1:14" ht="15.75">
      <c r="A1344" s="11"/>
      <c r="B1344" s="9"/>
      <c r="C1344" s="12" t="str">
        <f>IF(B1344="","",IFERROR(INDEX('Cashier Roster'!$C$5:$C$64,MATCH(B1344,'Cashier Roster'!$B$5:$B$64,0)),"Not on roster"))</f>
        <v/>
      </c>
      <c r="D1344" s="12" t="str">
        <f>IF(B1344="","",IFERROR(INDEX('Cashier Roster'!$D$5:$D$64,MATCH(B1344,'Cashier Roster'!$B$5:$B$64,0)),""))</f>
        <v/>
      </c>
      <c r="E1344" s="13"/>
      <c r="F1344" s="14"/>
      <c r="G1344" s="8" t="str">
        <f>IF(OR(B1344="",E1344=""),"",IF(E1344="No","Missed",IF(F1344="","",IF(F1344&lt;=Settings!$B$7,"On time","Late"))))</f>
        <v/>
      </c>
      <c r="H1344" s="15"/>
      <c r="I1344" s="16"/>
      <c r="J1344" s="16"/>
      <c r="K1344" s="17" t="str">
        <f>IF(J1344="","",ROUND(J1344*Settings!$B$8,2))</f>
        <v/>
      </c>
      <c r="L1344" s="16"/>
      <c r="M1344" s="8" t="str">
        <f t="shared" si="20"/>
        <v/>
      </c>
      <c r="N1344" s="9"/>
    </row>
    <row r="1345" spans="1:14" ht="15.75">
      <c r="A1345" s="11"/>
      <c r="B1345" s="9"/>
      <c r="C1345" s="12" t="str">
        <f>IF(B1345="","",IFERROR(INDEX('Cashier Roster'!$C$5:$C$64,MATCH(B1345,'Cashier Roster'!$B$5:$B$64,0)),"Not on roster"))</f>
        <v/>
      </c>
      <c r="D1345" s="12" t="str">
        <f>IF(B1345="","",IFERROR(INDEX('Cashier Roster'!$D$5:$D$64,MATCH(B1345,'Cashier Roster'!$B$5:$B$64,0)),""))</f>
        <v/>
      </c>
      <c r="E1345" s="13"/>
      <c r="F1345" s="14"/>
      <c r="G1345" s="8" t="str">
        <f>IF(OR(B1345="",E1345=""),"",IF(E1345="No","Missed",IF(F1345="","",IF(F1345&lt;=Settings!$B$7,"On time","Late"))))</f>
        <v/>
      </c>
      <c r="H1345" s="15"/>
      <c r="I1345" s="16"/>
      <c r="J1345" s="16"/>
      <c r="K1345" s="17" t="str">
        <f>IF(J1345="","",ROUND(J1345*Settings!$B$8,2))</f>
        <v/>
      </c>
      <c r="L1345" s="16"/>
      <c r="M1345" s="8" t="str">
        <f t="shared" si="20"/>
        <v/>
      </c>
      <c r="N1345" s="9"/>
    </row>
    <row r="1346" spans="1:14" ht="15.75">
      <c r="A1346" s="11"/>
      <c r="B1346" s="9"/>
      <c r="C1346" s="12" t="str">
        <f>IF(B1346="","",IFERROR(INDEX('Cashier Roster'!$C$5:$C$64,MATCH(B1346,'Cashier Roster'!$B$5:$B$64,0)),"Not on roster"))</f>
        <v/>
      </c>
      <c r="D1346" s="12" t="str">
        <f>IF(B1346="","",IFERROR(INDEX('Cashier Roster'!$D$5:$D$64,MATCH(B1346,'Cashier Roster'!$B$5:$B$64,0)),""))</f>
        <v/>
      </c>
      <c r="E1346" s="13"/>
      <c r="F1346" s="14"/>
      <c r="G1346" s="8" t="str">
        <f>IF(OR(B1346="",E1346=""),"",IF(E1346="No","Missed",IF(F1346="","",IF(F1346&lt;=Settings!$B$7,"On time","Late"))))</f>
        <v/>
      </c>
      <c r="H1346" s="15"/>
      <c r="I1346" s="16"/>
      <c r="J1346" s="16"/>
      <c r="K1346" s="17" t="str">
        <f>IF(J1346="","",ROUND(J1346*Settings!$B$8,2))</f>
        <v/>
      </c>
      <c r="L1346" s="16"/>
      <c r="M1346" s="8" t="str">
        <f t="shared" si="20"/>
        <v/>
      </c>
      <c r="N1346" s="9"/>
    </row>
    <row r="1347" spans="1:14" ht="15.75">
      <c r="A1347" s="11"/>
      <c r="B1347" s="9"/>
      <c r="C1347" s="12" t="str">
        <f>IF(B1347="","",IFERROR(INDEX('Cashier Roster'!$C$5:$C$64,MATCH(B1347,'Cashier Roster'!$B$5:$B$64,0)),"Not on roster"))</f>
        <v/>
      </c>
      <c r="D1347" s="12" t="str">
        <f>IF(B1347="","",IFERROR(INDEX('Cashier Roster'!$D$5:$D$64,MATCH(B1347,'Cashier Roster'!$B$5:$B$64,0)),""))</f>
        <v/>
      </c>
      <c r="E1347" s="13"/>
      <c r="F1347" s="14"/>
      <c r="G1347" s="8" t="str">
        <f>IF(OR(B1347="",E1347=""),"",IF(E1347="No","Missed",IF(F1347="","",IF(F1347&lt;=Settings!$B$7,"On time","Late"))))</f>
        <v/>
      </c>
      <c r="H1347" s="15"/>
      <c r="I1347" s="16"/>
      <c r="J1347" s="16"/>
      <c r="K1347" s="17" t="str">
        <f>IF(J1347="","",ROUND(J1347*Settings!$B$8,2))</f>
        <v/>
      </c>
      <c r="L1347" s="16"/>
      <c r="M1347" s="8" t="str">
        <f t="shared" si="20"/>
        <v/>
      </c>
      <c r="N1347" s="9"/>
    </row>
    <row r="1348" spans="1:14" ht="15.75">
      <c r="A1348" s="11"/>
      <c r="B1348" s="9"/>
      <c r="C1348" s="12" t="str">
        <f>IF(B1348="","",IFERROR(INDEX('Cashier Roster'!$C$5:$C$64,MATCH(B1348,'Cashier Roster'!$B$5:$B$64,0)),"Not on roster"))</f>
        <v/>
      </c>
      <c r="D1348" s="12" t="str">
        <f>IF(B1348="","",IFERROR(INDEX('Cashier Roster'!$D$5:$D$64,MATCH(B1348,'Cashier Roster'!$B$5:$B$64,0)),""))</f>
        <v/>
      </c>
      <c r="E1348" s="13"/>
      <c r="F1348" s="14"/>
      <c r="G1348" s="8" t="str">
        <f>IF(OR(B1348="",E1348=""),"",IF(E1348="No","Missed",IF(F1348="","",IF(F1348&lt;=Settings!$B$7,"On time","Late"))))</f>
        <v/>
      </c>
      <c r="H1348" s="15"/>
      <c r="I1348" s="16"/>
      <c r="J1348" s="16"/>
      <c r="K1348" s="17" t="str">
        <f>IF(J1348="","",ROUND(J1348*Settings!$B$8,2))</f>
        <v/>
      </c>
      <c r="L1348" s="16"/>
      <c r="M1348" s="8" t="str">
        <f t="shared" si="20"/>
        <v/>
      </c>
      <c r="N1348" s="9"/>
    </row>
    <row r="1349" spans="1:14" ht="15.75">
      <c r="A1349" s="11"/>
      <c r="B1349" s="9"/>
      <c r="C1349" s="12" t="str">
        <f>IF(B1349="","",IFERROR(INDEX('Cashier Roster'!$C$5:$C$64,MATCH(B1349,'Cashier Roster'!$B$5:$B$64,0)),"Not on roster"))</f>
        <v/>
      </c>
      <c r="D1349" s="12" t="str">
        <f>IF(B1349="","",IFERROR(INDEX('Cashier Roster'!$D$5:$D$64,MATCH(B1349,'Cashier Roster'!$B$5:$B$64,0)),""))</f>
        <v/>
      </c>
      <c r="E1349" s="13"/>
      <c r="F1349" s="14"/>
      <c r="G1349" s="8" t="str">
        <f>IF(OR(B1349="",E1349=""),"",IF(E1349="No","Missed",IF(F1349="","",IF(F1349&lt;=Settings!$B$7,"On time","Late"))))</f>
        <v/>
      </c>
      <c r="H1349" s="15"/>
      <c r="I1349" s="16"/>
      <c r="J1349" s="16"/>
      <c r="K1349" s="17" t="str">
        <f>IF(J1349="","",ROUND(J1349*Settings!$B$8,2))</f>
        <v/>
      </c>
      <c r="L1349" s="16"/>
      <c r="M1349" s="8" t="str">
        <f t="shared" ref="M1349:M1412" si="21">IF(L1349="","",IF(L1349&lt;=0,"Yes","No"))</f>
        <v/>
      </c>
      <c r="N1349" s="9"/>
    </row>
    <row r="1350" spans="1:14" ht="15.75">
      <c r="A1350" s="11"/>
      <c r="B1350" s="9"/>
      <c r="C1350" s="12" t="str">
        <f>IF(B1350="","",IFERROR(INDEX('Cashier Roster'!$C$5:$C$64,MATCH(B1350,'Cashier Roster'!$B$5:$B$64,0)),"Not on roster"))</f>
        <v/>
      </c>
      <c r="D1350" s="12" t="str">
        <f>IF(B1350="","",IFERROR(INDEX('Cashier Roster'!$D$5:$D$64,MATCH(B1350,'Cashier Roster'!$B$5:$B$64,0)),""))</f>
        <v/>
      </c>
      <c r="E1350" s="13"/>
      <c r="F1350" s="14"/>
      <c r="G1350" s="8" t="str">
        <f>IF(OR(B1350="",E1350=""),"",IF(E1350="No","Missed",IF(F1350="","",IF(F1350&lt;=Settings!$B$7,"On time","Late"))))</f>
        <v/>
      </c>
      <c r="H1350" s="15"/>
      <c r="I1350" s="16"/>
      <c r="J1350" s="16"/>
      <c r="K1350" s="17" t="str">
        <f>IF(J1350="","",ROUND(J1350*Settings!$B$8,2))</f>
        <v/>
      </c>
      <c r="L1350" s="16"/>
      <c r="M1350" s="8" t="str">
        <f t="shared" si="21"/>
        <v/>
      </c>
      <c r="N1350" s="9"/>
    </row>
    <row r="1351" spans="1:14" ht="15.75">
      <c r="A1351" s="11"/>
      <c r="B1351" s="9"/>
      <c r="C1351" s="12" t="str">
        <f>IF(B1351="","",IFERROR(INDEX('Cashier Roster'!$C$5:$C$64,MATCH(B1351,'Cashier Roster'!$B$5:$B$64,0)),"Not on roster"))</f>
        <v/>
      </c>
      <c r="D1351" s="12" t="str">
        <f>IF(B1351="","",IFERROR(INDEX('Cashier Roster'!$D$5:$D$64,MATCH(B1351,'Cashier Roster'!$B$5:$B$64,0)),""))</f>
        <v/>
      </c>
      <c r="E1351" s="13"/>
      <c r="F1351" s="14"/>
      <c r="G1351" s="8" t="str">
        <f>IF(OR(B1351="",E1351=""),"",IF(E1351="No","Missed",IF(F1351="","",IF(F1351&lt;=Settings!$B$7,"On time","Late"))))</f>
        <v/>
      </c>
      <c r="H1351" s="15"/>
      <c r="I1351" s="16"/>
      <c r="J1351" s="16"/>
      <c r="K1351" s="17" t="str">
        <f>IF(J1351="","",ROUND(J1351*Settings!$B$8,2))</f>
        <v/>
      </c>
      <c r="L1351" s="16"/>
      <c r="M1351" s="8" t="str">
        <f t="shared" si="21"/>
        <v/>
      </c>
      <c r="N1351" s="9"/>
    </row>
    <row r="1352" spans="1:14" ht="15.75">
      <c r="A1352" s="11"/>
      <c r="B1352" s="9"/>
      <c r="C1352" s="12" t="str">
        <f>IF(B1352="","",IFERROR(INDEX('Cashier Roster'!$C$5:$C$64,MATCH(B1352,'Cashier Roster'!$B$5:$B$64,0)),"Not on roster"))</f>
        <v/>
      </c>
      <c r="D1352" s="12" t="str">
        <f>IF(B1352="","",IFERROR(INDEX('Cashier Roster'!$D$5:$D$64,MATCH(B1352,'Cashier Roster'!$B$5:$B$64,0)),""))</f>
        <v/>
      </c>
      <c r="E1352" s="13"/>
      <c r="F1352" s="14"/>
      <c r="G1352" s="8" t="str">
        <f>IF(OR(B1352="",E1352=""),"",IF(E1352="No","Missed",IF(F1352="","",IF(F1352&lt;=Settings!$B$7,"On time","Late"))))</f>
        <v/>
      </c>
      <c r="H1352" s="15"/>
      <c r="I1352" s="16"/>
      <c r="J1352" s="16"/>
      <c r="K1352" s="17" t="str">
        <f>IF(J1352="","",ROUND(J1352*Settings!$B$8,2))</f>
        <v/>
      </c>
      <c r="L1352" s="16"/>
      <c r="M1352" s="8" t="str">
        <f t="shared" si="21"/>
        <v/>
      </c>
      <c r="N1352" s="9"/>
    </row>
    <row r="1353" spans="1:14" ht="15.75">
      <c r="A1353" s="11"/>
      <c r="B1353" s="9"/>
      <c r="C1353" s="12" t="str">
        <f>IF(B1353="","",IFERROR(INDEX('Cashier Roster'!$C$5:$C$64,MATCH(B1353,'Cashier Roster'!$B$5:$B$64,0)),"Not on roster"))</f>
        <v/>
      </c>
      <c r="D1353" s="12" t="str">
        <f>IF(B1353="","",IFERROR(INDEX('Cashier Roster'!$D$5:$D$64,MATCH(B1353,'Cashier Roster'!$B$5:$B$64,0)),""))</f>
        <v/>
      </c>
      <c r="E1353" s="13"/>
      <c r="F1353" s="14"/>
      <c r="G1353" s="8" t="str">
        <f>IF(OR(B1353="",E1353=""),"",IF(E1353="No","Missed",IF(F1353="","",IF(F1353&lt;=Settings!$B$7,"On time","Late"))))</f>
        <v/>
      </c>
      <c r="H1353" s="15"/>
      <c r="I1353" s="16"/>
      <c r="J1353" s="16"/>
      <c r="K1353" s="17" t="str">
        <f>IF(J1353="","",ROUND(J1353*Settings!$B$8,2))</f>
        <v/>
      </c>
      <c r="L1353" s="16"/>
      <c r="M1353" s="8" t="str">
        <f t="shared" si="21"/>
        <v/>
      </c>
      <c r="N1353" s="9"/>
    </row>
    <row r="1354" spans="1:14" ht="15.75">
      <c r="A1354" s="11"/>
      <c r="B1354" s="9"/>
      <c r="C1354" s="12" t="str">
        <f>IF(B1354="","",IFERROR(INDEX('Cashier Roster'!$C$5:$C$64,MATCH(B1354,'Cashier Roster'!$B$5:$B$64,0)),"Not on roster"))</f>
        <v/>
      </c>
      <c r="D1354" s="12" t="str">
        <f>IF(B1354="","",IFERROR(INDEX('Cashier Roster'!$D$5:$D$64,MATCH(B1354,'Cashier Roster'!$B$5:$B$64,0)),""))</f>
        <v/>
      </c>
      <c r="E1354" s="13"/>
      <c r="F1354" s="14"/>
      <c r="G1354" s="8" t="str">
        <f>IF(OR(B1354="",E1354=""),"",IF(E1354="No","Missed",IF(F1354="","",IF(F1354&lt;=Settings!$B$7,"On time","Late"))))</f>
        <v/>
      </c>
      <c r="H1354" s="15"/>
      <c r="I1354" s="16"/>
      <c r="J1354" s="16"/>
      <c r="K1354" s="17" t="str">
        <f>IF(J1354="","",ROUND(J1354*Settings!$B$8,2))</f>
        <v/>
      </c>
      <c r="L1354" s="16"/>
      <c r="M1354" s="8" t="str">
        <f t="shared" si="21"/>
        <v/>
      </c>
      <c r="N1354" s="9"/>
    </row>
    <row r="1355" spans="1:14" ht="15.75">
      <c r="A1355" s="11"/>
      <c r="B1355" s="9"/>
      <c r="C1355" s="12" t="str">
        <f>IF(B1355="","",IFERROR(INDEX('Cashier Roster'!$C$5:$C$64,MATCH(B1355,'Cashier Roster'!$B$5:$B$64,0)),"Not on roster"))</f>
        <v/>
      </c>
      <c r="D1355" s="12" t="str">
        <f>IF(B1355="","",IFERROR(INDEX('Cashier Roster'!$D$5:$D$64,MATCH(B1355,'Cashier Roster'!$B$5:$B$64,0)),""))</f>
        <v/>
      </c>
      <c r="E1355" s="13"/>
      <c r="F1355" s="14"/>
      <c r="G1355" s="8" t="str">
        <f>IF(OR(B1355="",E1355=""),"",IF(E1355="No","Missed",IF(F1355="","",IF(F1355&lt;=Settings!$B$7,"On time","Late"))))</f>
        <v/>
      </c>
      <c r="H1355" s="15"/>
      <c r="I1355" s="16"/>
      <c r="J1355" s="16"/>
      <c r="K1355" s="17" t="str">
        <f>IF(J1355="","",ROUND(J1355*Settings!$B$8,2))</f>
        <v/>
      </c>
      <c r="L1355" s="16"/>
      <c r="M1355" s="8" t="str">
        <f t="shared" si="21"/>
        <v/>
      </c>
      <c r="N1355" s="9"/>
    </row>
    <row r="1356" spans="1:14" ht="15.75">
      <c r="A1356" s="11"/>
      <c r="B1356" s="9"/>
      <c r="C1356" s="12" t="str">
        <f>IF(B1356="","",IFERROR(INDEX('Cashier Roster'!$C$5:$C$64,MATCH(B1356,'Cashier Roster'!$B$5:$B$64,0)),"Not on roster"))</f>
        <v/>
      </c>
      <c r="D1356" s="12" t="str">
        <f>IF(B1356="","",IFERROR(INDEX('Cashier Roster'!$D$5:$D$64,MATCH(B1356,'Cashier Roster'!$B$5:$B$64,0)),""))</f>
        <v/>
      </c>
      <c r="E1356" s="13"/>
      <c r="F1356" s="14"/>
      <c r="G1356" s="8" t="str">
        <f>IF(OR(B1356="",E1356=""),"",IF(E1356="No","Missed",IF(F1356="","",IF(F1356&lt;=Settings!$B$7,"On time","Late"))))</f>
        <v/>
      </c>
      <c r="H1356" s="15"/>
      <c r="I1356" s="16"/>
      <c r="J1356" s="16"/>
      <c r="K1356" s="17" t="str">
        <f>IF(J1356="","",ROUND(J1356*Settings!$B$8,2))</f>
        <v/>
      </c>
      <c r="L1356" s="16"/>
      <c r="M1356" s="8" t="str">
        <f t="shared" si="21"/>
        <v/>
      </c>
      <c r="N1356" s="9"/>
    </row>
    <row r="1357" spans="1:14" ht="15.75">
      <c r="A1357" s="11"/>
      <c r="B1357" s="9"/>
      <c r="C1357" s="12" t="str">
        <f>IF(B1357="","",IFERROR(INDEX('Cashier Roster'!$C$5:$C$64,MATCH(B1357,'Cashier Roster'!$B$5:$B$64,0)),"Not on roster"))</f>
        <v/>
      </c>
      <c r="D1357" s="12" t="str">
        <f>IF(B1357="","",IFERROR(INDEX('Cashier Roster'!$D$5:$D$64,MATCH(B1357,'Cashier Roster'!$B$5:$B$64,0)),""))</f>
        <v/>
      </c>
      <c r="E1357" s="13"/>
      <c r="F1357" s="14"/>
      <c r="G1357" s="8" t="str">
        <f>IF(OR(B1357="",E1357=""),"",IF(E1357="No","Missed",IF(F1357="","",IF(F1357&lt;=Settings!$B$7,"On time","Late"))))</f>
        <v/>
      </c>
      <c r="H1357" s="15"/>
      <c r="I1357" s="16"/>
      <c r="J1357" s="16"/>
      <c r="K1357" s="17" t="str">
        <f>IF(J1357="","",ROUND(J1357*Settings!$B$8,2))</f>
        <v/>
      </c>
      <c r="L1357" s="16"/>
      <c r="M1357" s="8" t="str">
        <f t="shared" si="21"/>
        <v/>
      </c>
      <c r="N1357" s="9"/>
    </row>
    <row r="1358" spans="1:14" ht="15.75">
      <c r="A1358" s="11"/>
      <c r="B1358" s="9"/>
      <c r="C1358" s="12" t="str">
        <f>IF(B1358="","",IFERROR(INDEX('Cashier Roster'!$C$5:$C$64,MATCH(B1358,'Cashier Roster'!$B$5:$B$64,0)),"Not on roster"))</f>
        <v/>
      </c>
      <c r="D1358" s="12" t="str">
        <f>IF(B1358="","",IFERROR(INDEX('Cashier Roster'!$D$5:$D$64,MATCH(B1358,'Cashier Roster'!$B$5:$B$64,0)),""))</f>
        <v/>
      </c>
      <c r="E1358" s="13"/>
      <c r="F1358" s="14"/>
      <c r="G1358" s="8" t="str">
        <f>IF(OR(B1358="",E1358=""),"",IF(E1358="No","Missed",IF(F1358="","",IF(F1358&lt;=Settings!$B$7,"On time","Late"))))</f>
        <v/>
      </c>
      <c r="H1358" s="15"/>
      <c r="I1358" s="16"/>
      <c r="J1358" s="16"/>
      <c r="K1358" s="17" t="str">
        <f>IF(J1358="","",ROUND(J1358*Settings!$B$8,2))</f>
        <v/>
      </c>
      <c r="L1358" s="16"/>
      <c r="M1358" s="8" t="str">
        <f t="shared" si="21"/>
        <v/>
      </c>
      <c r="N1358" s="9"/>
    </row>
    <row r="1359" spans="1:14" ht="15.75">
      <c r="A1359" s="11"/>
      <c r="B1359" s="9"/>
      <c r="C1359" s="12" t="str">
        <f>IF(B1359="","",IFERROR(INDEX('Cashier Roster'!$C$5:$C$64,MATCH(B1359,'Cashier Roster'!$B$5:$B$64,0)),"Not on roster"))</f>
        <v/>
      </c>
      <c r="D1359" s="12" t="str">
        <f>IF(B1359="","",IFERROR(INDEX('Cashier Roster'!$D$5:$D$64,MATCH(B1359,'Cashier Roster'!$B$5:$B$64,0)),""))</f>
        <v/>
      </c>
      <c r="E1359" s="13"/>
      <c r="F1359" s="14"/>
      <c r="G1359" s="8" t="str">
        <f>IF(OR(B1359="",E1359=""),"",IF(E1359="No","Missed",IF(F1359="","",IF(F1359&lt;=Settings!$B$7,"On time","Late"))))</f>
        <v/>
      </c>
      <c r="H1359" s="15"/>
      <c r="I1359" s="16"/>
      <c r="J1359" s="16"/>
      <c r="K1359" s="17" t="str">
        <f>IF(J1359="","",ROUND(J1359*Settings!$B$8,2))</f>
        <v/>
      </c>
      <c r="L1359" s="16"/>
      <c r="M1359" s="8" t="str">
        <f t="shared" si="21"/>
        <v/>
      </c>
      <c r="N1359" s="9"/>
    </row>
    <row r="1360" spans="1:14" ht="15.75">
      <c r="A1360" s="11"/>
      <c r="B1360" s="9"/>
      <c r="C1360" s="12" t="str">
        <f>IF(B1360="","",IFERROR(INDEX('Cashier Roster'!$C$5:$C$64,MATCH(B1360,'Cashier Roster'!$B$5:$B$64,0)),"Not on roster"))</f>
        <v/>
      </c>
      <c r="D1360" s="12" t="str">
        <f>IF(B1360="","",IFERROR(INDEX('Cashier Roster'!$D$5:$D$64,MATCH(B1360,'Cashier Roster'!$B$5:$B$64,0)),""))</f>
        <v/>
      </c>
      <c r="E1360" s="13"/>
      <c r="F1360" s="14"/>
      <c r="G1360" s="8" t="str">
        <f>IF(OR(B1360="",E1360=""),"",IF(E1360="No","Missed",IF(F1360="","",IF(F1360&lt;=Settings!$B$7,"On time","Late"))))</f>
        <v/>
      </c>
      <c r="H1360" s="15"/>
      <c r="I1360" s="16"/>
      <c r="J1360" s="16"/>
      <c r="K1360" s="17" t="str">
        <f>IF(J1360="","",ROUND(J1360*Settings!$B$8,2))</f>
        <v/>
      </c>
      <c r="L1360" s="16"/>
      <c r="M1360" s="8" t="str">
        <f t="shared" si="21"/>
        <v/>
      </c>
      <c r="N1360" s="9"/>
    </row>
    <row r="1361" spans="1:14" ht="15.75">
      <c r="A1361" s="11"/>
      <c r="B1361" s="9"/>
      <c r="C1361" s="12" t="str">
        <f>IF(B1361="","",IFERROR(INDEX('Cashier Roster'!$C$5:$C$64,MATCH(B1361,'Cashier Roster'!$B$5:$B$64,0)),"Not on roster"))</f>
        <v/>
      </c>
      <c r="D1361" s="12" t="str">
        <f>IF(B1361="","",IFERROR(INDEX('Cashier Roster'!$D$5:$D$64,MATCH(B1361,'Cashier Roster'!$B$5:$B$64,0)),""))</f>
        <v/>
      </c>
      <c r="E1361" s="13"/>
      <c r="F1361" s="14"/>
      <c r="G1361" s="8" t="str">
        <f>IF(OR(B1361="",E1361=""),"",IF(E1361="No","Missed",IF(F1361="","",IF(F1361&lt;=Settings!$B$7,"On time","Late"))))</f>
        <v/>
      </c>
      <c r="H1361" s="15"/>
      <c r="I1361" s="16"/>
      <c r="J1361" s="16"/>
      <c r="K1361" s="17" t="str">
        <f>IF(J1361="","",ROUND(J1361*Settings!$B$8,2))</f>
        <v/>
      </c>
      <c r="L1361" s="16"/>
      <c r="M1361" s="8" t="str">
        <f t="shared" si="21"/>
        <v/>
      </c>
      <c r="N1361" s="9"/>
    </row>
    <row r="1362" spans="1:14" ht="15.75">
      <c r="A1362" s="11"/>
      <c r="B1362" s="9"/>
      <c r="C1362" s="12" t="str">
        <f>IF(B1362="","",IFERROR(INDEX('Cashier Roster'!$C$5:$C$64,MATCH(B1362,'Cashier Roster'!$B$5:$B$64,0)),"Not on roster"))</f>
        <v/>
      </c>
      <c r="D1362" s="12" t="str">
        <f>IF(B1362="","",IFERROR(INDEX('Cashier Roster'!$D$5:$D$64,MATCH(B1362,'Cashier Roster'!$B$5:$B$64,0)),""))</f>
        <v/>
      </c>
      <c r="E1362" s="13"/>
      <c r="F1362" s="14"/>
      <c r="G1362" s="8" t="str">
        <f>IF(OR(B1362="",E1362=""),"",IF(E1362="No","Missed",IF(F1362="","",IF(F1362&lt;=Settings!$B$7,"On time","Late"))))</f>
        <v/>
      </c>
      <c r="H1362" s="15"/>
      <c r="I1362" s="16"/>
      <c r="J1362" s="16"/>
      <c r="K1362" s="17" t="str">
        <f>IF(J1362="","",ROUND(J1362*Settings!$B$8,2))</f>
        <v/>
      </c>
      <c r="L1362" s="16"/>
      <c r="M1362" s="8" t="str">
        <f t="shared" si="21"/>
        <v/>
      </c>
      <c r="N1362" s="9"/>
    </row>
    <row r="1363" spans="1:14" ht="15.75">
      <c r="A1363" s="11"/>
      <c r="B1363" s="9"/>
      <c r="C1363" s="12" t="str">
        <f>IF(B1363="","",IFERROR(INDEX('Cashier Roster'!$C$5:$C$64,MATCH(B1363,'Cashier Roster'!$B$5:$B$64,0)),"Not on roster"))</f>
        <v/>
      </c>
      <c r="D1363" s="12" t="str">
        <f>IF(B1363="","",IFERROR(INDEX('Cashier Roster'!$D$5:$D$64,MATCH(B1363,'Cashier Roster'!$B$5:$B$64,0)),""))</f>
        <v/>
      </c>
      <c r="E1363" s="13"/>
      <c r="F1363" s="14"/>
      <c r="G1363" s="8" t="str">
        <f>IF(OR(B1363="",E1363=""),"",IF(E1363="No","Missed",IF(F1363="","",IF(F1363&lt;=Settings!$B$7,"On time","Late"))))</f>
        <v/>
      </c>
      <c r="H1363" s="15"/>
      <c r="I1363" s="16"/>
      <c r="J1363" s="16"/>
      <c r="K1363" s="17" t="str">
        <f>IF(J1363="","",ROUND(J1363*Settings!$B$8,2))</f>
        <v/>
      </c>
      <c r="L1363" s="16"/>
      <c r="M1363" s="8" t="str">
        <f t="shared" si="21"/>
        <v/>
      </c>
      <c r="N1363" s="9"/>
    </row>
    <row r="1364" spans="1:14" ht="15.75">
      <c r="A1364" s="11"/>
      <c r="B1364" s="9"/>
      <c r="C1364" s="12" t="str">
        <f>IF(B1364="","",IFERROR(INDEX('Cashier Roster'!$C$5:$C$64,MATCH(B1364,'Cashier Roster'!$B$5:$B$64,0)),"Not on roster"))</f>
        <v/>
      </c>
      <c r="D1364" s="12" t="str">
        <f>IF(B1364="","",IFERROR(INDEX('Cashier Roster'!$D$5:$D$64,MATCH(B1364,'Cashier Roster'!$B$5:$B$64,0)),""))</f>
        <v/>
      </c>
      <c r="E1364" s="13"/>
      <c r="F1364" s="14"/>
      <c r="G1364" s="8" t="str">
        <f>IF(OR(B1364="",E1364=""),"",IF(E1364="No","Missed",IF(F1364="","",IF(F1364&lt;=Settings!$B$7,"On time","Late"))))</f>
        <v/>
      </c>
      <c r="H1364" s="15"/>
      <c r="I1364" s="16"/>
      <c r="J1364" s="16"/>
      <c r="K1364" s="17" t="str">
        <f>IF(J1364="","",ROUND(J1364*Settings!$B$8,2))</f>
        <v/>
      </c>
      <c r="L1364" s="16"/>
      <c r="M1364" s="8" t="str">
        <f t="shared" si="21"/>
        <v/>
      </c>
      <c r="N1364" s="9"/>
    </row>
    <row r="1365" spans="1:14" ht="15.75">
      <c r="A1365" s="11"/>
      <c r="B1365" s="9"/>
      <c r="C1365" s="12" t="str">
        <f>IF(B1365="","",IFERROR(INDEX('Cashier Roster'!$C$5:$C$64,MATCH(B1365,'Cashier Roster'!$B$5:$B$64,0)),"Not on roster"))</f>
        <v/>
      </c>
      <c r="D1365" s="12" t="str">
        <f>IF(B1365="","",IFERROR(INDEX('Cashier Roster'!$D$5:$D$64,MATCH(B1365,'Cashier Roster'!$B$5:$B$64,0)),""))</f>
        <v/>
      </c>
      <c r="E1365" s="13"/>
      <c r="F1365" s="14"/>
      <c r="G1365" s="8" t="str">
        <f>IF(OR(B1365="",E1365=""),"",IF(E1365="No","Missed",IF(F1365="","",IF(F1365&lt;=Settings!$B$7,"On time","Late"))))</f>
        <v/>
      </c>
      <c r="H1365" s="15"/>
      <c r="I1365" s="16"/>
      <c r="J1365" s="16"/>
      <c r="K1365" s="17" t="str">
        <f>IF(J1365="","",ROUND(J1365*Settings!$B$8,2))</f>
        <v/>
      </c>
      <c r="L1365" s="16"/>
      <c r="M1365" s="8" t="str">
        <f t="shared" si="21"/>
        <v/>
      </c>
      <c r="N1365" s="9"/>
    </row>
    <row r="1366" spans="1:14" ht="15.75">
      <c r="A1366" s="11"/>
      <c r="B1366" s="9"/>
      <c r="C1366" s="12" t="str">
        <f>IF(B1366="","",IFERROR(INDEX('Cashier Roster'!$C$5:$C$64,MATCH(B1366,'Cashier Roster'!$B$5:$B$64,0)),"Not on roster"))</f>
        <v/>
      </c>
      <c r="D1366" s="12" t="str">
        <f>IF(B1366="","",IFERROR(INDEX('Cashier Roster'!$D$5:$D$64,MATCH(B1366,'Cashier Roster'!$B$5:$B$64,0)),""))</f>
        <v/>
      </c>
      <c r="E1366" s="13"/>
      <c r="F1366" s="14"/>
      <c r="G1366" s="8" t="str">
        <f>IF(OR(B1366="",E1366=""),"",IF(E1366="No","Missed",IF(F1366="","",IF(F1366&lt;=Settings!$B$7,"On time","Late"))))</f>
        <v/>
      </c>
      <c r="H1366" s="15"/>
      <c r="I1366" s="16"/>
      <c r="J1366" s="16"/>
      <c r="K1366" s="17" t="str">
        <f>IF(J1366="","",ROUND(J1366*Settings!$B$8,2))</f>
        <v/>
      </c>
      <c r="L1366" s="16"/>
      <c r="M1366" s="8" t="str">
        <f t="shared" si="21"/>
        <v/>
      </c>
      <c r="N1366" s="9"/>
    </row>
    <row r="1367" spans="1:14" ht="15.75">
      <c r="A1367" s="11"/>
      <c r="B1367" s="9"/>
      <c r="C1367" s="12" t="str">
        <f>IF(B1367="","",IFERROR(INDEX('Cashier Roster'!$C$5:$C$64,MATCH(B1367,'Cashier Roster'!$B$5:$B$64,0)),"Not on roster"))</f>
        <v/>
      </c>
      <c r="D1367" s="12" t="str">
        <f>IF(B1367="","",IFERROR(INDEX('Cashier Roster'!$D$5:$D$64,MATCH(B1367,'Cashier Roster'!$B$5:$B$64,0)),""))</f>
        <v/>
      </c>
      <c r="E1367" s="13"/>
      <c r="F1367" s="14"/>
      <c r="G1367" s="8" t="str">
        <f>IF(OR(B1367="",E1367=""),"",IF(E1367="No","Missed",IF(F1367="","",IF(F1367&lt;=Settings!$B$7,"On time","Late"))))</f>
        <v/>
      </c>
      <c r="H1367" s="15"/>
      <c r="I1367" s="16"/>
      <c r="J1367" s="16"/>
      <c r="K1367" s="17" t="str">
        <f>IF(J1367="","",ROUND(J1367*Settings!$B$8,2))</f>
        <v/>
      </c>
      <c r="L1367" s="16"/>
      <c r="M1367" s="8" t="str">
        <f t="shared" si="21"/>
        <v/>
      </c>
      <c r="N1367" s="9"/>
    </row>
    <row r="1368" spans="1:14" ht="15.75">
      <c r="A1368" s="11"/>
      <c r="B1368" s="9"/>
      <c r="C1368" s="12" t="str">
        <f>IF(B1368="","",IFERROR(INDEX('Cashier Roster'!$C$5:$C$64,MATCH(B1368,'Cashier Roster'!$B$5:$B$64,0)),"Not on roster"))</f>
        <v/>
      </c>
      <c r="D1368" s="12" t="str">
        <f>IF(B1368="","",IFERROR(INDEX('Cashier Roster'!$D$5:$D$64,MATCH(B1368,'Cashier Roster'!$B$5:$B$64,0)),""))</f>
        <v/>
      </c>
      <c r="E1368" s="13"/>
      <c r="F1368" s="14"/>
      <c r="G1368" s="8" t="str">
        <f>IF(OR(B1368="",E1368=""),"",IF(E1368="No","Missed",IF(F1368="","",IF(F1368&lt;=Settings!$B$7,"On time","Late"))))</f>
        <v/>
      </c>
      <c r="H1368" s="15"/>
      <c r="I1368" s="16"/>
      <c r="J1368" s="16"/>
      <c r="K1368" s="17" t="str">
        <f>IF(J1368="","",ROUND(J1368*Settings!$B$8,2))</f>
        <v/>
      </c>
      <c r="L1368" s="16"/>
      <c r="M1368" s="8" t="str">
        <f t="shared" si="21"/>
        <v/>
      </c>
      <c r="N1368" s="9"/>
    </row>
    <row r="1369" spans="1:14" ht="15.75">
      <c r="A1369" s="11"/>
      <c r="B1369" s="9"/>
      <c r="C1369" s="12" t="str">
        <f>IF(B1369="","",IFERROR(INDEX('Cashier Roster'!$C$5:$C$64,MATCH(B1369,'Cashier Roster'!$B$5:$B$64,0)),"Not on roster"))</f>
        <v/>
      </c>
      <c r="D1369" s="12" t="str">
        <f>IF(B1369="","",IFERROR(INDEX('Cashier Roster'!$D$5:$D$64,MATCH(B1369,'Cashier Roster'!$B$5:$B$64,0)),""))</f>
        <v/>
      </c>
      <c r="E1369" s="13"/>
      <c r="F1369" s="14"/>
      <c r="G1369" s="8" t="str">
        <f>IF(OR(B1369="",E1369=""),"",IF(E1369="No","Missed",IF(F1369="","",IF(F1369&lt;=Settings!$B$7,"On time","Late"))))</f>
        <v/>
      </c>
      <c r="H1369" s="15"/>
      <c r="I1369" s="16"/>
      <c r="J1369" s="16"/>
      <c r="K1369" s="17" t="str">
        <f>IF(J1369="","",ROUND(J1369*Settings!$B$8,2))</f>
        <v/>
      </c>
      <c r="L1369" s="16"/>
      <c r="M1369" s="8" t="str">
        <f t="shared" si="21"/>
        <v/>
      </c>
      <c r="N1369" s="9"/>
    </row>
    <row r="1370" spans="1:14" ht="15.75">
      <c r="A1370" s="11"/>
      <c r="B1370" s="9"/>
      <c r="C1370" s="12" t="str">
        <f>IF(B1370="","",IFERROR(INDEX('Cashier Roster'!$C$5:$C$64,MATCH(B1370,'Cashier Roster'!$B$5:$B$64,0)),"Not on roster"))</f>
        <v/>
      </c>
      <c r="D1370" s="12" t="str">
        <f>IF(B1370="","",IFERROR(INDEX('Cashier Roster'!$D$5:$D$64,MATCH(B1370,'Cashier Roster'!$B$5:$B$64,0)),""))</f>
        <v/>
      </c>
      <c r="E1370" s="13"/>
      <c r="F1370" s="14"/>
      <c r="G1370" s="8" t="str">
        <f>IF(OR(B1370="",E1370=""),"",IF(E1370="No","Missed",IF(F1370="","",IF(F1370&lt;=Settings!$B$7,"On time","Late"))))</f>
        <v/>
      </c>
      <c r="H1370" s="15"/>
      <c r="I1370" s="16"/>
      <c r="J1370" s="16"/>
      <c r="K1370" s="17" t="str">
        <f>IF(J1370="","",ROUND(J1370*Settings!$B$8,2))</f>
        <v/>
      </c>
      <c r="L1370" s="16"/>
      <c r="M1370" s="8" t="str">
        <f t="shared" si="21"/>
        <v/>
      </c>
      <c r="N1370" s="9"/>
    </row>
    <row r="1371" spans="1:14" ht="15.75">
      <c r="A1371" s="11"/>
      <c r="B1371" s="9"/>
      <c r="C1371" s="12" t="str">
        <f>IF(B1371="","",IFERROR(INDEX('Cashier Roster'!$C$5:$C$64,MATCH(B1371,'Cashier Roster'!$B$5:$B$64,0)),"Not on roster"))</f>
        <v/>
      </c>
      <c r="D1371" s="12" t="str">
        <f>IF(B1371="","",IFERROR(INDEX('Cashier Roster'!$D$5:$D$64,MATCH(B1371,'Cashier Roster'!$B$5:$B$64,0)),""))</f>
        <v/>
      </c>
      <c r="E1371" s="13"/>
      <c r="F1371" s="14"/>
      <c r="G1371" s="8" t="str">
        <f>IF(OR(B1371="",E1371=""),"",IF(E1371="No","Missed",IF(F1371="","",IF(F1371&lt;=Settings!$B$7,"On time","Late"))))</f>
        <v/>
      </c>
      <c r="H1371" s="15"/>
      <c r="I1371" s="16"/>
      <c r="J1371" s="16"/>
      <c r="K1371" s="17" t="str">
        <f>IF(J1371="","",ROUND(J1371*Settings!$B$8,2))</f>
        <v/>
      </c>
      <c r="L1371" s="16"/>
      <c r="M1371" s="8" t="str">
        <f t="shared" si="21"/>
        <v/>
      </c>
      <c r="N1371" s="9"/>
    </row>
    <row r="1372" spans="1:14" ht="15.75">
      <c r="A1372" s="11"/>
      <c r="B1372" s="9"/>
      <c r="C1372" s="12" t="str">
        <f>IF(B1372="","",IFERROR(INDEX('Cashier Roster'!$C$5:$C$64,MATCH(B1372,'Cashier Roster'!$B$5:$B$64,0)),"Not on roster"))</f>
        <v/>
      </c>
      <c r="D1372" s="12" t="str">
        <f>IF(B1372="","",IFERROR(INDEX('Cashier Roster'!$D$5:$D$64,MATCH(B1372,'Cashier Roster'!$B$5:$B$64,0)),""))</f>
        <v/>
      </c>
      <c r="E1372" s="13"/>
      <c r="F1372" s="14"/>
      <c r="G1372" s="8" t="str">
        <f>IF(OR(B1372="",E1372=""),"",IF(E1372="No","Missed",IF(F1372="","",IF(F1372&lt;=Settings!$B$7,"On time","Late"))))</f>
        <v/>
      </c>
      <c r="H1372" s="15"/>
      <c r="I1372" s="16"/>
      <c r="J1372" s="16"/>
      <c r="K1372" s="17" t="str">
        <f>IF(J1372="","",ROUND(J1372*Settings!$B$8,2))</f>
        <v/>
      </c>
      <c r="L1372" s="16"/>
      <c r="M1372" s="8" t="str">
        <f t="shared" si="21"/>
        <v/>
      </c>
      <c r="N1372" s="9"/>
    </row>
    <row r="1373" spans="1:14" ht="15.75">
      <c r="A1373" s="11"/>
      <c r="B1373" s="9"/>
      <c r="C1373" s="12" t="str">
        <f>IF(B1373="","",IFERROR(INDEX('Cashier Roster'!$C$5:$C$64,MATCH(B1373,'Cashier Roster'!$B$5:$B$64,0)),"Not on roster"))</f>
        <v/>
      </c>
      <c r="D1373" s="12" t="str">
        <f>IF(B1373="","",IFERROR(INDEX('Cashier Roster'!$D$5:$D$64,MATCH(B1373,'Cashier Roster'!$B$5:$B$64,0)),""))</f>
        <v/>
      </c>
      <c r="E1373" s="13"/>
      <c r="F1373" s="14"/>
      <c r="G1373" s="8" t="str">
        <f>IF(OR(B1373="",E1373=""),"",IF(E1373="No","Missed",IF(F1373="","",IF(F1373&lt;=Settings!$B$7,"On time","Late"))))</f>
        <v/>
      </c>
      <c r="H1373" s="15"/>
      <c r="I1373" s="16"/>
      <c r="J1373" s="16"/>
      <c r="K1373" s="17" t="str">
        <f>IF(J1373="","",ROUND(J1373*Settings!$B$8,2))</f>
        <v/>
      </c>
      <c r="L1373" s="16"/>
      <c r="M1373" s="8" t="str">
        <f t="shared" si="21"/>
        <v/>
      </c>
      <c r="N1373" s="9"/>
    </row>
    <row r="1374" spans="1:14" ht="15.75">
      <c r="A1374" s="11"/>
      <c r="B1374" s="9"/>
      <c r="C1374" s="12" t="str">
        <f>IF(B1374="","",IFERROR(INDEX('Cashier Roster'!$C$5:$C$64,MATCH(B1374,'Cashier Roster'!$B$5:$B$64,0)),"Not on roster"))</f>
        <v/>
      </c>
      <c r="D1374" s="12" t="str">
        <f>IF(B1374="","",IFERROR(INDEX('Cashier Roster'!$D$5:$D$64,MATCH(B1374,'Cashier Roster'!$B$5:$B$64,0)),""))</f>
        <v/>
      </c>
      <c r="E1374" s="13"/>
      <c r="F1374" s="14"/>
      <c r="G1374" s="8" t="str">
        <f>IF(OR(B1374="",E1374=""),"",IF(E1374="No","Missed",IF(F1374="","",IF(F1374&lt;=Settings!$B$7,"On time","Late"))))</f>
        <v/>
      </c>
      <c r="H1374" s="15"/>
      <c r="I1374" s="16"/>
      <c r="J1374" s="16"/>
      <c r="K1374" s="17" t="str">
        <f>IF(J1374="","",ROUND(J1374*Settings!$B$8,2))</f>
        <v/>
      </c>
      <c r="L1374" s="16"/>
      <c r="M1374" s="8" t="str">
        <f t="shared" si="21"/>
        <v/>
      </c>
      <c r="N1374" s="9"/>
    </row>
    <row r="1375" spans="1:14" ht="15.75">
      <c r="A1375" s="11"/>
      <c r="B1375" s="9"/>
      <c r="C1375" s="12" t="str">
        <f>IF(B1375="","",IFERROR(INDEX('Cashier Roster'!$C$5:$C$64,MATCH(B1375,'Cashier Roster'!$B$5:$B$64,0)),"Not on roster"))</f>
        <v/>
      </c>
      <c r="D1375" s="12" t="str">
        <f>IF(B1375="","",IFERROR(INDEX('Cashier Roster'!$D$5:$D$64,MATCH(B1375,'Cashier Roster'!$B$5:$B$64,0)),""))</f>
        <v/>
      </c>
      <c r="E1375" s="13"/>
      <c r="F1375" s="14"/>
      <c r="G1375" s="8" t="str">
        <f>IF(OR(B1375="",E1375=""),"",IF(E1375="No","Missed",IF(F1375="","",IF(F1375&lt;=Settings!$B$7,"On time","Late"))))</f>
        <v/>
      </c>
      <c r="H1375" s="15"/>
      <c r="I1375" s="16"/>
      <c r="J1375" s="16"/>
      <c r="K1375" s="17" t="str">
        <f>IF(J1375="","",ROUND(J1375*Settings!$B$8,2))</f>
        <v/>
      </c>
      <c r="L1375" s="16"/>
      <c r="M1375" s="8" t="str">
        <f t="shared" si="21"/>
        <v/>
      </c>
      <c r="N1375" s="9"/>
    </row>
    <row r="1376" spans="1:14" ht="15.75">
      <c r="A1376" s="11"/>
      <c r="B1376" s="9"/>
      <c r="C1376" s="12" t="str">
        <f>IF(B1376="","",IFERROR(INDEX('Cashier Roster'!$C$5:$C$64,MATCH(B1376,'Cashier Roster'!$B$5:$B$64,0)),"Not on roster"))</f>
        <v/>
      </c>
      <c r="D1376" s="12" t="str">
        <f>IF(B1376="","",IFERROR(INDEX('Cashier Roster'!$D$5:$D$64,MATCH(B1376,'Cashier Roster'!$B$5:$B$64,0)),""))</f>
        <v/>
      </c>
      <c r="E1376" s="13"/>
      <c r="F1376" s="14"/>
      <c r="G1376" s="8" t="str">
        <f>IF(OR(B1376="",E1376=""),"",IF(E1376="No","Missed",IF(F1376="","",IF(F1376&lt;=Settings!$B$7,"On time","Late"))))</f>
        <v/>
      </c>
      <c r="H1376" s="15"/>
      <c r="I1376" s="16"/>
      <c r="J1376" s="16"/>
      <c r="K1376" s="17" t="str">
        <f>IF(J1376="","",ROUND(J1376*Settings!$B$8,2))</f>
        <v/>
      </c>
      <c r="L1376" s="16"/>
      <c r="M1376" s="8" t="str">
        <f t="shared" si="21"/>
        <v/>
      </c>
      <c r="N1376" s="9"/>
    </row>
    <row r="1377" spans="1:14" ht="15.75">
      <c r="A1377" s="11"/>
      <c r="B1377" s="9"/>
      <c r="C1377" s="12" t="str">
        <f>IF(B1377="","",IFERROR(INDEX('Cashier Roster'!$C$5:$C$64,MATCH(B1377,'Cashier Roster'!$B$5:$B$64,0)),"Not on roster"))</f>
        <v/>
      </c>
      <c r="D1377" s="12" t="str">
        <f>IF(B1377="","",IFERROR(INDEX('Cashier Roster'!$D$5:$D$64,MATCH(B1377,'Cashier Roster'!$B$5:$B$64,0)),""))</f>
        <v/>
      </c>
      <c r="E1377" s="13"/>
      <c r="F1377" s="14"/>
      <c r="G1377" s="8" t="str">
        <f>IF(OR(B1377="",E1377=""),"",IF(E1377="No","Missed",IF(F1377="","",IF(F1377&lt;=Settings!$B$7,"On time","Late"))))</f>
        <v/>
      </c>
      <c r="H1377" s="15"/>
      <c r="I1377" s="16"/>
      <c r="J1377" s="16"/>
      <c r="K1377" s="17" t="str">
        <f>IF(J1377="","",ROUND(J1377*Settings!$B$8,2))</f>
        <v/>
      </c>
      <c r="L1377" s="16"/>
      <c r="M1377" s="8" t="str">
        <f t="shared" si="21"/>
        <v/>
      </c>
      <c r="N1377" s="9"/>
    </row>
    <row r="1378" spans="1:14" ht="15.75">
      <c r="A1378" s="11"/>
      <c r="B1378" s="9"/>
      <c r="C1378" s="12" t="str">
        <f>IF(B1378="","",IFERROR(INDEX('Cashier Roster'!$C$5:$C$64,MATCH(B1378,'Cashier Roster'!$B$5:$B$64,0)),"Not on roster"))</f>
        <v/>
      </c>
      <c r="D1378" s="12" t="str">
        <f>IF(B1378="","",IFERROR(INDEX('Cashier Roster'!$D$5:$D$64,MATCH(B1378,'Cashier Roster'!$B$5:$B$64,0)),""))</f>
        <v/>
      </c>
      <c r="E1378" s="13"/>
      <c r="F1378" s="14"/>
      <c r="G1378" s="8" t="str">
        <f>IF(OR(B1378="",E1378=""),"",IF(E1378="No","Missed",IF(F1378="","",IF(F1378&lt;=Settings!$B$7,"On time","Late"))))</f>
        <v/>
      </c>
      <c r="H1378" s="15"/>
      <c r="I1378" s="16"/>
      <c r="J1378" s="16"/>
      <c r="K1378" s="17" t="str">
        <f>IF(J1378="","",ROUND(J1378*Settings!$B$8,2))</f>
        <v/>
      </c>
      <c r="L1378" s="16"/>
      <c r="M1378" s="8" t="str">
        <f t="shared" si="21"/>
        <v/>
      </c>
      <c r="N1378" s="9"/>
    </row>
    <row r="1379" spans="1:14" ht="15.75">
      <c r="A1379" s="11"/>
      <c r="B1379" s="9"/>
      <c r="C1379" s="12" t="str">
        <f>IF(B1379="","",IFERROR(INDEX('Cashier Roster'!$C$5:$C$64,MATCH(B1379,'Cashier Roster'!$B$5:$B$64,0)),"Not on roster"))</f>
        <v/>
      </c>
      <c r="D1379" s="12" t="str">
        <f>IF(B1379="","",IFERROR(INDEX('Cashier Roster'!$D$5:$D$64,MATCH(B1379,'Cashier Roster'!$B$5:$B$64,0)),""))</f>
        <v/>
      </c>
      <c r="E1379" s="13"/>
      <c r="F1379" s="14"/>
      <c r="G1379" s="8" t="str">
        <f>IF(OR(B1379="",E1379=""),"",IF(E1379="No","Missed",IF(F1379="","",IF(F1379&lt;=Settings!$B$7,"On time","Late"))))</f>
        <v/>
      </c>
      <c r="H1379" s="15"/>
      <c r="I1379" s="16"/>
      <c r="J1379" s="16"/>
      <c r="K1379" s="17" t="str">
        <f>IF(J1379="","",ROUND(J1379*Settings!$B$8,2))</f>
        <v/>
      </c>
      <c r="L1379" s="16"/>
      <c r="M1379" s="8" t="str">
        <f t="shared" si="21"/>
        <v/>
      </c>
      <c r="N1379" s="9"/>
    </row>
    <row r="1380" spans="1:14" ht="15.75">
      <c r="A1380" s="11"/>
      <c r="B1380" s="9"/>
      <c r="C1380" s="12" t="str">
        <f>IF(B1380="","",IFERROR(INDEX('Cashier Roster'!$C$5:$C$64,MATCH(B1380,'Cashier Roster'!$B$5:$B$64,0)),"Not on roster"))</f>
        <v/>
      </c>
      <c r="D1380" s="12" t="str">
        <f>IF(B1380="","",IFERROR(INDEX('Cashier Roster'!$D$5:$D$64,MATCH(B1380,'Cashier Roster'!$B$5:$B$64,0)),""))</f>
        <v/>
      </c>
      <c r="E1380" s="13"/>
      <c r="F1380" s="14"/>
      <c r="G1380" s="8" t="str">
        <f>IF(OR(B1380="",E1380=""),"",IF(E1380="No","Missed",IF(F1380="","",IF(F1380&lt;=Settings!$B$7,"On time","Late"))))</f>
        <v/>
      </c>
      <c r="H1380" s="15"/>
      <c r="I1380" s="16"/>
      <c r="J1380" s="16"/>
      <c r="K1380" s="17" t="str">
        <f>IF(J1380="","",ROUND(J1380*Settings!$B$8,2))</f>
        <v/>
      </c>
      <c r="L1380" s="16"/>
      <c r="M1380" s="8" t="str">
        <f t="shared" si="21"/>
        <v/>
      </c>
      <c r="N1380" s="9"/>
    </row>
    <row r="1381" spans="1:14" ht="15.75">
      <c r="A1381" s="11"/>
      <c r="B1381" s="9"/>
      <c r="C1381" s="12" t="str">
        <f>IF(B1381="","",IFERROR(INDEX('Cashier Roster'!$C$5:$C$64,MATCH(B1381,'Cashier Roster'!$B$5:$B$64,0)),"Not on roster"))</f>
        <v/>
      </c>
      <c r="D1381" s="12" t="str">
        <f>IF(B1381="","",IFERROR(INDEX('Cashier Roster'!$D$5:$D$64,MATCH(B1381,'Cashier Roster'!$B$5:$B$64,0)),""))</f>
        <v/>
      </c>
      <c r="E1381" s="13"/>
      <c r="F1381" s="14"/>
      <c r="G1381" s="8" t="str">
        <f>IF(OR(B1381="",E1381=""),"",IF(E1381="No","Missed",IF(F1381="","",IF(F1381&lt;=Settings!$B$7,"On time","Late"))))</f>
        <v/>
      </c>
      <c r="H1381" s="15"/>
      <c r="I1381" s="16"/>
      <c r="J1381" s="16"/>
      <c r="K1381" s="17" t="str">
        <f>IF(J1381="","",ROUND(J1381*Settings!$B$8,2))</f>
        <v/>
      </c>
      <c r="L1381" s="16"/>
      <c r="M1381" s="8" t="str">
        <f t="shared" si="21"/>
        <v/>
      </c>
      <c r="N1381" s="9"/>
    </row>
    <row r="1382" spans="1:14" ht="15.75">
      <c r="A1382" s="11"/>
      <c r="B1382" s="9"/>
      <c r="C1382" s="12" t="str">
        <f>IF(B1382="","",IFERROR(INDEX('Cashier Roster'!$C$5:$C$64,MATCH(B1382,'Cashier Roster'!$B$5:$B$64,0)),"Not on roster"))</f>
        <v/>
      </c>
      <c r="D1382" s="12" t="str">
        <f>IF(B1382="","",IFERROR(INDEX('Cashier Roster'!$D$5:$D$64,MATCH(B1382,'Cashier Roster'!$B$5:$B$64,0)),""))</f>
        <v/>
      </c>
      <c r="E1382" s="13"/>
      <c r="F1382" s="14"/>
      <c r="G1382" s="8" t="str">
        <f>IF(OR(B1382="",E1382=""),"",IF(E1382="No","Missed",IF(F1382="","",IF(F1382&lt;=Settings!$B$7,"On time","Late"))))</f>
        <v/>
      </c>
      <c r="H1382" s="15"/>
      <c r="I1382" s="16"/>
      <c r="J1382" s="16"/>
      <c r="K1382" s="17" t="str">
        <f>IF(J1382="","",ROUND(J1382*Settings!$B$8,2))</f>
        <v/>
      </c>
      <c r="L1382" s="16"/>
      <c r="M1382" s="8" t="str">
        <f t="shared" si="21"/>
        <v/>
      </c>
      <c r="N1382" s="9"/>
    </row>
    <row r="1383" spans="1:14" ht="15.75">
      <c r="A1383" s="11"/>
      <c r="B1383" s="9"/>
      <c r="C1383" s="12" t="str">
        <f>IF(B1383="","",IFERROR(INDEX('Cashier Roster'!$C$5:$C$64,MATCH(B1383,'Cashier Roster'!$B$5:$B$64,0)),"Not on roster"))</f>
        <v/>
      </c>
      <c r="D1383" s="12" t="str">
        <f>IF(B1383="","",IFERROR(INDEX('Cashier Roster'!$D$5:$D$64,MATCH(B1383,'Cashier Roster'!$B$5:$B$64,0)),""))</f>
        <v/>
      </c>
      <c r="E1383" s="13"/>
      <c r="F1383" s="14"/>
      <c r="G1383" s="8" t="str">
        <f>IF(OR(B1383="",E1383=""),"",IF(E1383="No","Missed",IF(F1383="","",IF(F1383&lt;=Settings!$B$7,"On time","Late"))))</f>
        <v/>
      </c>
      <c r="H1383" s="15"/>
      <c r="I1383" s="16"/>
      <c r="J1383" s="16"/>
      <c r="K1383" s="17" t="str">
        <f>IF(J1383="","",ROUND(J1383*Settings!$B$8,2))</f>
        <v/>
      </c>
      <c r="L1383" s="16"/>
      <c r="M1383" s="8" t="str">
        <f t="shared" si="21"/>
        <v/>
      </c>
      <c r="N1383" s="9"/>
    </row>
    <row r="1384" spans="1:14" ht="15.75">
      <c r="A1384" s="11"/>
      <c r="B1384" s="9"/>
      <c r="C1384" s="12" t="str">
        <f>IF(B1384="","",IFERROR(INDEX('Cashier Roster'!$C$5:$C$64,MATCH(B1384,'Cashier Roster'!$B$5:$B$64,0)),"Not on roster"))</f>
        <v/>
      </c>
      <c r="D1384" s="12" t="str">
        <f>IF(B1384="","",IFERROR(INDEX('Cashier Roster'!$D$5:$D$64,MATCH(B1384,'Cashier Roster'!$B$5:$B$64,0)),""))</f>
        <v/>
      </c>
      <c r="E1384" s="13"/>
      <c r="F1384" s="14"/>
      <c r="G1384" s="8" t="str">
        <f>IF(OR(B1384="",E1384=""),"",IF(E1384="No","Missed",IF(F1384="","",IF(F1384&lt;=Settings!$B$7,"On time","Late"))))</f>
        <v/>
      </c>
      <c r="H1384" s="15"/>
      <c r="I1384" s="16"/>
      <c r="J1384" s="16"/>
      <c r="K1384" s="17" t="str">
        <f>IF(J1384="","",ROUND(J1384*Settings!$B$8,2))</f>
        <v/>
      </c>
      <c r="L1384" s="16"/>
      <c r="M1384" s="8" t="str">
        <f t="shared" si="21"/>
        <v/>
      </c>
      <c r="N1384" s="9"/>
    </row>
    <row r="1385" spans="1:14" ht="15.75">
      <c r="A1385" s="11"/>
      <c r="B1385" s="9"/>
      <c r="C1385" s="12" t="str">
        <f>IF(B1385="","",IFERROR(INDEX('Cashier Roster'!$C$5:$C$64,MATCH(B1385,'Cashier Roster'!$B$5:$B$64,0)),"Not on roster"))</f>
        <v/>
      </c>
      <c r="D1385" s="12" t="str">
        <f>IF(B1385="","",IFERROR(INDEX('Cashier Roster'!$D$5:$D$64,MATCH(B1385,'Cashier Roster'!$B$5:$B$64,0)),""))</f>
        <v/>
      </c>
      <c r="E1385" s="13"/>
      <c r="F1385" s="14"/>
      <c r="G1385" s="8" t="str">
        <f>IF(OR(B1385="",E1385=""),"",IF(E1385="No","Missed",IF(F1385="","",IF(F1385&lt;=Settings!$B$7,"On time","Late"))))</f>
        <v/>
      </c>
      <c r="H1385" s="15"/>
      <c r="I1385" s="16"/>
      <c r="J1385" s="16"/>
      <c r="K1385" s="17" t="str">
        <f>IF(J1385="","",ROUND(J1385*Settings!$B$8,2))</f>
        <v/>
      </c>
      <c r="L1385" s="16"/>
      <c r="M1385" s="8" t="str">
        <f t="shared" si="21"/>
        <v/>
      </c>
      <c r="N1385" s="9"/>
    </row>
    <row r="1386" spans="1:14" ht="15.75">
      <c r="A1386" s="11"/>
      <c r="B1386" s="9"/>
      <c r="C1386" s="12" t="str">
        <f>IF(B1386="","",IFERROR(INDEX('Cashier Roster'!$C$5:$C$64,MATCH(B1386,'Cashier Roster'!$B$5:$B$64,0)),"Not on roster"))</f>
        <v/>
      </c>
      <c r="D1386" s="12" t="str">
        <f>IF(B1386="","",IFERROR(INDEX('Cashier Roster'!$D$5:$D$64,MATCH(B1386,'Cashier Roster'!$B$5:$B$64,0)),""))</f>
        <v/>
      </c>
      <c r="E1386" s="13"/>
      <c r="F1386" s="14"/>
      <c r="G1386" s="8" t="str">
        <f>IF(OR(B1386="",E1386=""),"",IF(E1386="No","Missed",IF(F1386="","",IF(F1386&lt;=Settings!$B$7,"On time","Late"))))</f>
        <v/>
      </c>
      <c r="H1386" s="15"/>
      <c r="I1386" s="16"/>
      <c r="J1386" s="16"/>
      <c r="K1386" s="17" t="str">
        <f>IF(J1386="","",ROUND(J1386*Settings!$B$8,2))</f>
        <v/>
      </c>
      <c r="L1386" s="16"/>
      <c r="M1386" s="8" t="str">
        <f t="shared" si="21"/>
        <v/>
      </c>
      <c r="N1386" s="9"/>
    </row>
    <row r="1387" spans="1:14" ht="15.75">
      <c r="A1387" s="11"/>
      <c r="B1387" s="9"/>
      <c r="C1387" s="12" t="str">
        <f>IF(B1387="","",IFERROR(INDEX('Cashier Roster'!$C$5:$C$64,MATCH(B1387,'Cashier Roster'!$B$5:$B$64,0)),"Not on roster"))</f>
        <v/>
      </c>
      <c r="D1387" s="12" t="str">
        <f>IF(B1387="","",IFERROR(INDEX('Cashier Roster'!$D$5:$D$64,MATCH(B1387,'Cashier Roster'!$B$5:$B$64,0)),""))</f>
        <v/>
      </c>
      <c r="E1387" s="13"/>
      <c r="F1387" s="14"/>
      <c r="G1387" s="8" t="str">
        <f>IF(OR(B1387="",E1387=""),"",IF(E1387="No","Missed",IF(F1387="","",IF(F1387&lt;=Settings!$B$7,"On time","Late"))))</f>
        <v/>
      </c>
      <c r="H1387" s="15"/>
      <c r="I1387" s="16"/>
      <c r="J1387" s="16"/>
      <c r="K1387" s="17" t="str">
        <f>IF(J1387="","",ROUND(J1387*Settings!$B$8,2))</f>
        <v/>
      </c>
      <c r="L1387" s="16"/>
      <c r="M1387" s="8" t="str">
        <f t="shared" si="21"/>
        <v/>
      </c>
      <c r="N1387" s="9"/>
    </row>
    <row r="1388" spans="1:14" ht="15.75">
      <c r="A1388" s="11"/>
      <c r="B1388" s="9"/>
      <c r="C1388" s="12" t="str">
        <f>IF(B1388="","",IFERROR(INDEX('Cashier Roster'!$C$5:$C$64,MATCH(B1388,'Cashier Roster'!$B$5:$B$64,0)),"Not on roster"))</f>
        <v/>
      </c>
      <c r="D1388" s="12" t="str">
        <f>IF(B1388="","",IFERROR(INDEX('Cashier Roster'!$D$5:$D$64,MATCH(B1388,'Cashier Roster'!$B$5:$B$64,0)),""))</f>
        <v/>
      </c>
      <c r="E1388" s="13"/>
      <c r="F1388" s="14"/>
      <c r="G1388" s="8" t="str">
        <f>IF(OR(B1388="",E1388=""),"",IF(E1388="No","Missed",IF(F1388="","",IF(F1388&lt;=Settings!$B$7,"On time","Late"))))</f>
        <v/>
      </c>
      <c r="H1388" s="15"/>
      <c r="I1388" s="16"/>
      <c r="J1388" s="16"/>
      <c r="K1388" s="17" t="str">
        <f>IF(J1388="","",ROUND(J1388*Settings!$B$8,2))</f>
        <v/>
      </c>
      <c r="L1388" s="16"/>
      <c r="M1388" s="8" t="str">
        <f t="shared" si="21"/>
        <v/>
      </c>
      <c r="N1388" s="9"/>
    </row>
    <row r="1389" spans="1:14" ht="15.75">
      <c r="A1389" s="11"/>
      <c r="B1389" s="9"/>
      <c r="C1389" s="12" t="str">
        <f>IF(B1389="","",IFERROR(INDEX('Cashier Roster'!$C$5:$C$64,MATCH(B1389,'Cashier Roster'!$B$5:$B$64,0)),"Not on roster"))</f>
        <v/>
      </c>
      <c r="D1389" s="12" t="str">
        <f>IF(B1389="","",IFERROR(INDEX('Cashier Roster'!$D$5:$D$64,MATCH(B1389,'Cashier Roster'!$B$5:$B$64,0)),""))</f>
        <v/>
      </c>
      <c r="E1389" s="13"/>
      <c r="F1389" s="14"/>
      <c r="G1389" s="8" t="str">
        <f>IF(OR(B1389="",E1389=""),"",IF(E1389="No","Missed",IF(F1389="","",IF(F1389&lt;=Settings!$B$7,"On time","Late"))))</f>
        <v/>
      </c>
      <c r="H1389" s="15"/>
      <c r="I1389" s="16"/>
      <c r="J1389" s="16"/>
      <c r="K1389" s="17" t="str">
        <f>IF(J1389="","",ROUND(J1389*Settings!$B$8,2))</f>
        <v/>
      </c>
      <c r="L1389" s="16"/>
      <c r="M1389" s="8" t="str">
        <f t="shared" si="21"/>
        <v/>
      </c>
      <c r="N1389" s="9"/>
    </row>
    <row r="1390" spans="1:14" ht="15.75">
      <c r="A1390" s="11"/>
      <c r="B1390" s="9"/>
      <c r="C1390" s="12" t="str">
        <f>IF(B1390="","",IFERROR(INDEX('Cashier Roster'!$C$5:$C$64,MATCH(B1390,'Cashier Roster'!$B$5:$B$64,0)),"Not on roster"))</f>
        <v/>
      </c>
      <c r="D1390" s="12" t="str">
        <f>IF(B1390="","",IFERROR(INDEX('Cashier Roster'!$D$5:$D$64,MATCH(B1390,'Cashier Roster'!$B$5:$B$64,0)),""))</f>
        <v/>
      </c>
      <c r="E1390" s="13"/>
      <c r="F1390" s="14"/>
      <c r="G1390" s="8" t="str">
        <f>IF(OR(B1390="",E1390=""),"",IF(E1390="No","Missed",IF(F1390="","",IF(F1390&lt;=Settings!$B$7,"On time","Late"))))</f>
        <v/>
      </c>
      <c r="H1390" s="15"/>
      <c r="I1390" s="16"/>
      <c r="J1390" s="16"/>
      <c r="K1390" s="17" t="str">
        <f>IF(J1390="","",ROUND(J1390*Settings!$B$8,2))</f>
        <v/>
      </c>
      <c r="L1390" s="16"/>
      <c r="M1390" s="8" t="str">
        <f t="shared" si="21"/>
        <v/>
      </c>
      <c r="N1390" s="9"/>
    </row>
    <row r="1391" spans="1:14" ht="15.75">
      <c r="A1391" s="11"/>
      <c r="B1391" s="9"/>
      <c r="C1391" s="12" t="str">
        <f>IF(B1391="","",IFERROR(INDEX('Cashier Roster'!$C$5:$C$64,MATCH(B1391,'Cashier Roster'!$B$5:$B$64,0)),"Not on roster"))</f>
        <v/>
      </c>
      <c r="D1391" s="12" t="str">
        <f>IF(B1391="","",IFERROR(INDEX('Cashier Roster'!$D$5:$D$64,MATCH(B1391,'Cashier Roster'!$B$5:$B$64,0)),""))</f>
        <v/>
      </c>
      <c r="E1391" s="13"/>
      <c r="F1391" s="14"/>
      <c r="G1391" s="8" t="str">
        <f>IF(OR(B1391="",E1391=""),"",IF(E1391="No","Missed",IF(F1391="","",IF(F1391&lt;=Settings!$B$7,"On time","Late"))))</f>
        <v/>
      </c>
      <c r="H1391" s="15"/>
      <c r="I1391" s="16"/>
      <c r="J1391" s="16"/>
      <c r="K1391" s="17" t="str">
        <f>IF(J1391="","",ROUND(J1391*Settings!$B$8,2))</f>
        <v/>
      </c>
      <c r="L1391" s="16"/>
      <c r="M1391" s="8" t="str">
        <f t="shared" si="21"/>
        <v/>
      </c>
      <c r="N1391" s="9"/>
    </row>
    <row r="1392" spans="1:14" ht="15.75">
      <c r="A1392" s="11"/>
      <c r="B1392" s="9"/>
      <c r="C1392" s="12" t="str">
        <f>IF(B1392="","",IFERROR(INDEX('Cashier Roster'!$C$5:$C$64,MATCH(B1392,'Cashier Roster'!$B$5:$B$64,0)),"Not on roster"))</f>
        <v/>
      </c>
      <c r="D1392" s="12" t="str">
        <f>IF(B1392="","",IFERROR(INDEX('Cashier Roster'!$D$5:$D$64,MATCH(B1392,'Cashier Roster'!$B$5:$B$64,0)),""))</f>
        <v/>
      </c>
      <c r="E1392" s="13"/>
      <c r="F1392" s="14"/>
      <c r="G1392" s="8" t="str">
        <f>IF(OR(B1392="",E1392=""),"",IF(E1392="No","Missed",IF(F1392="","",IF(F1392&lt;=Settings!$B$7,"On time","Late"))))</f>
        <v/>
      </c>
      <c r="H1392" s="15"/>
      <c r="I1392" s="16"/>
      <c r="J1392" s="16"/>
      <c r="K1392" s="17" t="str">
        <f>IF(J1392="","",ROUND(J1392*Settings!$B$8,2))</f>
        <v/>
      </c>
      <c r="L1392" s="16"/>
      <c r="M1392" s="8" t="str">
        <f t="shared" si="21"/>
        <v/>
      </c>
      <c r="N1392" s="9"/>
    </row>
    <row r="1393" spans="1:14" ht="15.75">
      <c r="A1393" s="11"/>
      <c r="B1393" s="9"/>
      <c r="C1393" s="12" t="str">
        <f>IF(B1393="","",IFERROR(INDEX('Cashier Roster'!$C$5:$C$64,MATCH(B1393,'Cashier Roster'!$B$5:$B$64,0)),"Not on roster"))</f>
        <v/>
      </c>
      <c r="D1393" s="12" t="str">
        <f>IF(B1393="","",IFERROR(INDEX('Cashier Roster'!$D$5:$D$64,MATCH(B1393,'Cashier Roster'!$B$5:$B$64,0)),""))</f>
        <v/>
      </c>
      <c r="E1393" s="13"/>
      <c r="F1393" s="14"/>
      <c r="G1393" s="8" t="str">
        <f>IF(OR(B1393="",E1393=""),"",IF(E1393="No","Missed",IF(F1393="","",IF(F1393&lt;=Settings!$B$7,"On time","Late"))))</f>
        <v/>
      </c>
      <c r="H1393" s="15"/>
      <c r="I1393" s="16"/>
      <c r="J1393" s="16"/>
      <c r="K1393" s="17" t="str">
        <f>IF(J1393="","",ROUND(J1393*Settings!$B$8,2))</f>
        <v/>
      </c>
      <c r="L1393" s="16"/>
      <c r="M1393" s="8" t="str">
        <f t="shared" si="21"/>
        <v/>
      </c>
      <c r="N1393" s="9"/>
    </row>
    <row r="1394" spans="1:14" ht="15.75">
      <c r="A1394" s="11"/>
      <c r="B1394" s="9"/>
      <c r="C1394" s="12" t="str">
        <f>IF(B1394="","",IFERROR(INDEX('Cashier Roster'!$C$5:$C$64,MATCH(B1394,'Cashier Roster'!$B$5:$B$64,0)),"Not on roster"))</f>
        <v/>
      </c>
      <c r="D1394" s="12" t="str">
        <f>IF(B1394="","",IFERROR(INDEX('Cashier Roster'!$D$5:$D$64,MATCH(B1394,'Cashier Roster'!$B$5:$B$64,0)),""))</f>
        <v/>
      </c>
      <c r="E1394" s="13"/>
      <c r="F1394" s="14"/>
      <c r="G1394" s="8" t="str">
        <f>IF(OR(B1394="",E1394=""),"",IF(E1394="No","Missed",IF(F1394="","",IF(F1394&lt;=Settings!$B$7,"On time","Late"))))</f>
        <v/>
      </c>
      <c r="H1394" s="15"/>
      <c r="I1394" s="16"/>
      <c r="J1394" s="16"/>
      <c r="K1394" s="17" t="str">
        <f>IF(J1394="","",ROUND(J1394*Settings!$B$8,2))</f>
        <v/>
      </c>
      <c r="L1394" s="16"/>
      <c r="M1394" s="8" t="str">
        <f t="shared" si="21"/>
        <v/>
      </c>
      <c r="N1394" s="9"/>
    </row>
    <row r="1395" spans="1:14" ht="15.75">
      <c r="A1395" s="11"/>
      <c r="B1395" s="9"/>
      <c r="C1395" s="12" t="str">
        <f>IF(B1395="","",IFERROR(INDEX('Cashier Roster'!$C$5:$C$64,MATCH(B1395,'Cashier Roster'!$B$5:$B$64,0)),"Not on roster"))</f>
        <v/>
      </c>
      <c r="D1395" s="12" t="str">
        <f>IF(B1395="","",IFERROR(INDEX('Cashier Roster'!$D$5:$D$64,MATCH(B1395,'Cashier Roster'!$B$5:$B$64,0)),""))</f>
        <v/>
      </c>
      <c r="E1395" s="13"/>
      <c r="F1395" s="14"/>
      <c r="G1395" s="8" t="str">
        <f>IF(OR(B1395="",E1395=""),"",IF(E1395="No","Missed",IF(F1395="","",IF(F1395&lt;=Settings!$B$7,"On time","Late"))))</f>
        <v/>
      </c>
      <c r="H1395" s="15"/>
      <c r="I1395" s="16"/>
      <c r="J1395" s="16"/>
      <c r="K1395" s="17" t="str">
        <f>IF(J1395="","",ROUND(J1395*Settings!$B$8,2))</f>
        <v/>
      </c>
      <c r="L1395" s="16"/>
      <c r="M1395" s="8" t="str">
        <f t="shared" si="21"/>
        <v/>
      </c>
      <c r="N1395" s="9"/>
    </row>
    <row r="1396" spans="1:14" ht="15.75">
      <c r="A1396" s="11"/>
      <c r="B1396" s="9"/>
      <c r="C1396" s="12" t="str">
        <f>IF(B1396="","",IFERROR(INDEX('Cashier Roster'!$C$5:$C$64,MATCH(B1396,'Cashier Roster'!$B$5:$B$64,0)),"Not on roster"))</f>
        <v/>
      </c>
      <c r="D1396" s="12" t="str">
        <f>IF(B1396="","",IFERROR(INDEX('Cashier Roster'!$D$5:$D$64,MATCH(B1396,'Cashier Roster'!$B$5:$B$64,0)),""))</f>
        <v/>
      </c>
      <c r="E1396" s="13"/>
      <c r="F1396" s="14"/>
      <c r="G1396" s="8" t="str">
        <f>IF(OR(B1396="",E1396=""),"",IF(E1396="No","Missed",IF(F1396="","",IF(F1396&lt;=Settings!$B$7,"On time","Late"))))</f>
        <v/>
      </c>
      <c r="H1396" s="15"/>
      <c r="I1396" s="16"/>
      <c r="J1396" s="16"/>
      <c r="K1396" s="17" t="str">
        <f>IF(J1396="","",ROUND(J1396*Settings!$B$8,2))</f>
        <v/>
      </c>
      <c r="L1396" s="16"/>
      <c r="M1396" s="8" t="str">
        <f t="shared" si="21"/>
        <v/>
      </c>
      <c r="N1396" s="9"/>
    </row>
    <row r="1397" spans="1:14" ht="15.75">
      <c r="A1397" s="11"/>
      <c r="B1397" s="9"/>
      <c r="C1397" s="12" t="str">
        <f>IF(B1397="","",IFERROR(INDEX('Cashier Roster'!$C$5:$C$64,MATCH(B1397,'Cashier Roster'!$B$5:$B$64,0)),"Not on roster"))</f>
        <v/>
      </c>
      <c r="D1397" s="12" t="str">
        <f>IF(B1397="","",IFERROR(INDEX('Cashier Roster'!$D$5:$D$64,MATCH(B1397,'Cashier Roster'!$B$5:$B$64,0)),""))</f>
        <v/>
      </c>
      <c r="E1397" s="13"/>
      <c r="F1397" s="14"/>
      <c r="G1397" s="8" t="str">
        <f>IF(OR(B1397="",E1397=""),"",IF(E1397="No","Missed",IF(F1397="","",IF(F1397&lt;=Settings!$B$7,"On time","Late"))))</f>
        <v/>
      </c>
      <c r="H1397" s="15"/>
      <c r="I1397" s="16"/>
      <c r="J1397" s="16"/>
      <c r="K1397" s="17" t="str">
        <f>IF(J1397="","",ROUND(J1397*Settings!$B$8,2))</f>
        <v/>
      </c>
      <c r="L1397" s="16"/>
      <c r="M1397" s="8" t="str">
        <f t="shared" si="21"/>
        <v/>
      </c>
      <c r="N1397" s="9"/>
    </row>
    <row r="1398" spans="1:14" ht="15.75">
      <c r="A1398" s="11"/>
      <c r="B1398" s="9"/>
      <c r="C1398" s="12" t="str">
        <f>IF(B1398="","",IFERROR(INDEX('Cashier Roster'!$C$5:$C$64,MATCH(B1398,'Cashier Roster'!$B$5:$B$64,0)),"Not on roster"))</f>
        <v/>
      </c>
      <c r="D1398" s="12" t="str">
        <f>IF(B1398="","",IFERROR(INDEX('Cashier Roster'!$D$5:$D$64,MATCH(B1398,'Cashier Roster'!$B$5:$B$64,0)),""))</f>
        <v/>
      </c>
      <c r="E1398" s="13"/>
      <c r="F1398" s="14"/>
      <c r="G1398" s="8" t="str">
        <f>IF(OR(B1398="",E1398=""),"",IF(E1398="No","Missed",IF(F1398="","",IF(F1398&lt;=Settings!$B$7,"On time","Late"))))</f>
        <v/>
      </c>
      <c r="H1398" s="15"/>
      <c r="I1398" s="16"/>
      <c r="J1398" s="16"/>
      <c r="K1398" s="17" t="str">
        <f>IF(J1398="","",ROUND(J1398*Settings!$B$8,2))</f>
        <v/>
      </c>
      <c r="L1398" s="16"/>
      <c r="M1398" s="8" t="str">
        <f t="shared" si="21"/>
        <v/>
      </c>
      <c r="N1398" s="9"/>
    </row>
    <row r="1399" spans="1:14" ht="15.75">
      <c r="A1399" s="11"/>
      <c r="B1399" s="9"/>
      <c r="C1399" s="12" t="str">
        <f>IF(B1399="","",IFERROR(INDEX('Cashier Roster'!$C$5:$C$64,MATCH(B1399,'Cashier Roster'!$B$5:$B$64,0)),"Not on roster"))</f>
        <v/>
      </c>
      <c r="D1399" s="12" t="str">
        <f>IF(B1399="","",IFERROR(INDEX('Cashier Roster'!$D$5:$D$64,MATCH(B1399,'Cashier Roster'!$B$5:$B$64,0)),""))</f>
        <v/>
      </c>
      <c r="E1399" s="13"/>
      <c r="F1399" s="14"/>
      <c r="G1399" s="8" t="str">
        <f>IF(OR(B1399="",E1399=""),"",IF(E1399="No","Missed",IF(F1399="","",IF(F1399&lt;=Settings!$B$7,"On time","Late"))))</f>
        <v/>
      </c>
      <c r="H1399" s="15"/>
      <c r="I1399" s="16"/>
      <c r="J1399" s="16"/>
      <c r="K1399" s="17" t="str">
        <f>IF(J1399="","",ROUND(J1399*Settings!$B$8,2))</f>
        <v/>
      </c>
      <c r="L1399" s="16"/>
      <c r="M1399" s="8" t="str">
        <f t="shared" si="21"/>
        <v/>
      </c>
      <c r="N1399" s="9"/>
    </row>
    <row r="1400" spans="1:14" ht="15.75">
      <c r="A1400" s="11"/>
      <c r="B1400" s="9"/>
      <c r="C1400" s="12" t="str">
        <f>IF(B1400="","",IFERROR(INDEX('Cashier Roster'!$C$5:$C$64,MATCH(B1400,'Cashier Roster'!$B$5:$B$64,0)),"Not on roster"))</f>
        <v/>
      </c>
      <c r="D1400" s="12" t="str">
        <f>IF(B1400="","",IFERROR(INDEX('Cashier Roster'!$D$5:$D$64,MATCH(B1400,'Cashier Roster'!$B$5:$B$64,0)),""))</f>
        <v/>
      </c>
      <c r="E1400" s="13"/>
      <c r="F1400" s="14"/>
      <c r="G1400" s="8" t="str">
        <f>IF(OR(B1400="",E1400=""),"",IF(E1400="No","Missed",IF(F1400="","",IF(F1400&lt;=Settings!$B$7,"On time","Late"))))</f>
        <v/>
      </c>
      <c r="H1400" s="15"/>
      <c r="I1400" s="16"/>
      <c r="J1400" s="16"/>
      <c r="K1400" s="17" t="str">
        <f>IF(J1400="","",ROUND(J1400*Settings!$B$8,2))</f>
        <v/>
      </c>
      <c r="L1400" s="16"/>
      <c r="M1400" s="8" t="str">
        <f t="shared" si="21"/>
        <v/>
      </c>
      <c r="N1400" s="9"/>
    </row>
    <row r="1401" spans="1:14" ht="15.75">
      <c r="A1401" s="11"/>
      <c r="B1401" s="9"/>
      <c r="C1401" s="12" t="str">
        <f>IF(B1401="","",IFERROR(INDEX('Cashier Roster'!$C$5:$C$64,MATCH(B1401,'Cashier Roster'!$B$5:$B$64,0)),"Not on roster"))</f>
        <v/>
      </c>
      <c r="D1401" s="12" t="str">
        <f>IF(B1401="","",IFERROR(INDEX('Cashier Roster'!$D$5:$D$64,MATCH(B1401,'Cashier Roster'!$B$5:$B$64,0)),""))</f>
        <v/>
      </c>
      <c r="E1401" s="13"/>
      <c r="F1401" s="14"/>
      <c r="G1401" s="8" t="str">
        <f>IF(OR(B1401="",E1401=""),"",IF(E1401="No","Missed",IF(F1401="","",IF(F1401&lt;=Settings!$B$7,"On time","Late"))))</f>
        <v/>
      </c>
      <c r="H1401" s="15"/>
      <c r="I1401" s="16"/>
      <c r="J1401" s="16"/>
      <c r="K1401" s="17" t="str">
        <f>IF(J1401="","",ROUND(J1401*Settings!$B$8,2))</f>
        <v/>
      </c>
      <c r="L1401" s="16"/>
      <c r="M1401" s="8" t="str">
        <f t="shared" si="21"/>
        <v/>
      </c>
      <c r="N1401" s="9"/>
    </row>
    <row r="1402" spans="1:14" ht="15.75">
      <c r="A1402" s="11"/>
      <c r="B1402" s="9"/>
      <c r="C1402" s="12" t="str">
        <f>IF(B1402="","",IFERROR(INDEX('Cashier Roster'!$C$5:$C$64,MATCH(B1402,'Cashier Roster'!$B$5:$B$64,0)),"Not on roster"))</f>
        <v/>
      </c>
      <c r="D1402" s="12" t="str">
        <f>IF(B1402="","",IFERROR(INDEX('Cashier Roster'!$D$5:$D$64,MATCH(B1402,'Cashier Roster'!$B$5:$B$64,0)),""))</f>
        <v/>
      </c>
      <c r="E1402" s="13"/>
      <c r="F1402" s="14"/>
      <c r="G1402" s="8" t="str">
        <f>IF(OR(B1402="",E1402=""),"",IF(E1402="No","Missed",IF(F1402="","",IF(F1402&lt;=Settings!$B$7,"On time","Late"))))</f>
        <v/>
      </c>
      <c r="H1402" s="15"/>
      <c r="I1402" s="16"/>
      <c r="J1402" s="16"/>
      <c r="K1402" s="17" t="str">
        <f>IF(J1402="","",ROUND(J1402*Settings!$B$8,2))</f>
        <v/>
      </c>
      <c r="L1402" s="16"/>
      <c r="M1402" s="8" t="str">
        <f t="shared" si="21"/>
        <v/>
      </c>
      <c r="N1402" s="9"/>
    </row>
    <row r="1403" spans="1:14" ht="15.75">
      <c r="A1403" s="11"/>
      <c r="B1403" s="9"/>
      <c r="C1403" s="12" t="str">
        <f>IF(B1403="","",IFERROR(INDEX('Cashier Roster'!$C$5:$C$64,MATCH(B1403,'Cashier Roster'!$B$5:$B$64,0)),"Not on roster"))</f>
        <v/>
      </c>
      <c r="D1403" s="12" t="str">
        <f>IF(B1403="","",IFERROR(INDEX('Cashier Roster'!$D$5:$D$64,MATCH(B1403,'Cashier Roster'!$B$5:$B$64,0)),""))</f>
        <v/>
      </c>
      <c r="E1403" s="13"/>
      <c r="F1403" s="14"/>
      <c r="G1403" s="8" t="str">
        <f>IF(OR(B1403="",E1403=""),"",IF(E1403="No","Missed",IF(F1403="","",IF(F1403&lt;=Settings!$B$7,"On time","Late"))))</f>
        <v/>
      </c>
      <c r="H1403" s="15"/>
      <c r="I1403" s="16"/>
      <c r="J1403" s="16"/>
      <c r="K1403" s="17" t="str">
        <f>IF(J1403="","",ROUND(J1403*Settings!$B$8,2))</f>
        <v/>
      </c>
      <c r="L1403" s="16"/>
      <c r="M1403" s="8" t="str">
        <f t="shared" si="21"/>
        <v/>
      </c>
      <c r="N1403" s="9"/>
    </row>
    <row r="1404" spans="1:14" ht="15.75">
      <c r="A1404" s="11"/>
      <c r="B1404" s="9"/>
      <c r="C1404" s="12" t="str">
        <f>IF(B1404="","",IFERROR(INDEX('Cashier Roster'!$C$5:$C$64,MATCH(B1404,'Cashier Roster'!$B$5:$B$64,0)),"Not on roster"))</f>
        <v/>
      </c>
      <c r="D1404" s="12" t="str">
        <f>IF(B1404="","",IFERROR(INDEX('Cashier Roster'!$D$5:$D$64,MATCH(B1404,'Cashier Roster'!$B$5:$B$64,0)),""))</f>
        <v/>
      </c>
      <c r="E1404" s="13"/>
      <c r="F1404" s="14"/>
      <c r="G1404" s="8" t="str">
        <f>IF(OR(B1404="",E1404=""),"",IF(E1404="No","Missed",IF(F1404="","",IF(F1404&lt;=Settings!$B$7,"On time","Late"))))</f>
        <v/>
      </c>
      <c r="H1404" s="15"/>
      <c r="I1404" s="16"/>
      <c r="J1404" s="16"/>
      <c r="K1404" s="17" t="str">
        <f>IF(J1404="","",ROUND(J1404*Settings!$B$8,2))</f>
        <v/>
      </c>
      <c r="L1404" s="16"/>
      <c r="M1404" s="8" t="str">
        <f t="shared" si="21"/>
        <v/>
      </c>
      <c r="N1404" s="9"/>
    </row>
    <row r="1405" spans="1:14" ht="15.75">
      <c r="A1405" s="11"/>
      <c r="B1405" s="9"/>
      <c r="C1405" s="12" t="str">
        <f>IF(B1405="","",IFERROR(INDEX('Cashier Roster'!$C$5:$C$64,MATCH(B1405,'Cashier Roster'!$B$5:$B$64,0)),"Not on roster"))</f>
        <v/>
      </c>
      <c r="D1405" s="12" t="str">
        <f>IF(B1405="","",IFERROR(INDEX('Cashier Roster'!$D$5:$D$64,MATCH(B1405,'Cashier Roster'!$B$5:$B$64,0)),""))</f>
        <v/>
      </c>
      <c r="E1405" s="13"/>
      <c r="F1405" s="14"/>
      <c r="G1405" s="8" t="str">
        <f>IF(OR(B1405="",E1405=""),"",IF(E1405="No","Missed",IF(F1405="","",IF(F1405&lt;=Settings!$B$7,"On time","Late"))))</f>
        <v/>
      </c>
      <c r="H1405" s="15"/>
      <c r="I1405" s="16"/>
      <c r="J1405" s="16"/>
      <c r="K1405" s="17" t="str">
        <f>IF(J1405="","",ROUND(J1405*Settings!$B$8,2))</f>
        <v/>
      </c>
      <c r="L1405" s="16"/>
      <c r="M1405" s="8" t="str">
        <f t="shared" si="21"/>
        <v/>
      </c>
      <c r="N1405" s="9"/>
    </row>
    <row r="1406" spans="1:14" ht="15.75">
      <c r="A1406" s="11"/>
      <c r="B1406" s="9"/>
      <c r="C1406" s="12" t="str">
        <f>IF(B1406="","",IFERROR(INDEX('Cashier Roster'!$C$5:$C$64,MATCH(B1406,'Cashier Roster'!$B$5:$B$64,0)),"Not on roster"))</f>
        <v/>
      </c>
      <c r="D1406" s="12" t="str">
        <f>IF(B1406="","",IFERROR(INDEX('Cashier Roster'!$D$5:$D$64,MATCH(B1406,'Cashier Roster'!$B$5:$B$64,0)),""))</f>
        <v/>
      </c>
      <c r="E1406" s="13"/>
      <c r="F1406" s="14"/>
      <c r="G1406" s="8" t="str">
        <f>IF(OR(B1406="",E1406=""),"",IF(E1406="No","Missed",IF(F1406="","",IF(F1406&lt;=Settings!$B$7,"On time","Late"))))</f>
        <v/>
      </c>
      <c r="H1406" s="15"/>
      <c r="I1406" s="16"/>
      <c r="J1406" s="16"/>
      <c r="K1406" s="17" t="str">
        <f>IF(J1406="","",ROUND(J1406*Settings!$B$8,2))</f>
        <v/>
      </c>
      <c r="L1406" s="16"/>
      <c r="M1406" s="8" t="str">
        <f t="shared" si="21"/>
        <v/>
      </c>
      <c r="N1406" s="9"/>
    </row>
    <row r="1407" spans="1:14" ht="15.75">
      <c r="A1407" s="11"/>
      <c r="B1407" s="9"/>
      <c r="C1407" s="12" t="str">
        <f>IF(B1407="","",IFERROR(INDEX('Cashier Roster'!$C$5:$C$64,MATCH(B1407,'Cashier Roster'!$B$5:$B$64,0)),"Not on roster"))</f>
        <v/>
      </c>
      <c r="D1407" s="12" t="str">
        <f>IF(B1407="","",IFERROR(INDEX('Cashier Roster'!$D$5:$D$64,MATCH(B1407,'Cashier Roster'!$B$5:$B$64,0)),""))</f>
        <v/>
      </c>
      <c r="E1407" s="13"/>
      <c r="F1407" s="14"/>
      <c r="G1407" s="8" t="str">
        <f>IF(OR(B1407="",E1407=""),"",IF(E1407="No","Missed",IF(F1407="","",IF(F1407&lt;=Settings!$B$7,"On time","Late"))))</f>
        <v/>
      </c>
      <c r="H1407" s="15"/>
      <c r="I1407" s="16"/>
      <c r="J1407" s="16"/>
      <c r="K1407" s="17" t="str">
        <f>IF(J1407="","",ROUND(J1407*Settings!$B$8,2))</f>
        <v/>
      </c>
      <c r="L1407" s="16"/>
      <c r="M1407" s="8" t="str">
        <f t="shared" si="21"/>
        <v/>
      </c>
      <c r="N1407" s="9"/>
    </row>
    <row r="1408" spans="1:14" ht="15.75">
      <c r="A1408" s="11"/>
      <c r="B1408" s="9"/>
      <c r="C1408" s="12" t="str">
        <f>IF(B1408="","",IFERROR(INDEX('Cashier Roster'!$C$5:$C$64,MATCH(B1408,'Cashier Roster'!$B$5:$B$64,0)),"Not on roster"))</f>
        <v/>
      </c>
      <c r="D1408" s="12" t="str">
        <f>IF(B1408="","",IFERROR(INDEX('Cashier Roster'!$D$5:$D$64,MATCH(B1408,'Cashier Roster'!$B$5:$B$64,0)),""))</f>
        <v/>
      </c>
      <c r="E1408" s="13"/>
      <c r="F1408" s="14"/>
      <c r="G1408" s="8" t="str">
        <f>IF(OR(B1408="",E1408=""),"",IF(E1408="No","Missed",IF(F1408="","",IF(F1408&lt;=Settings!$B$7,"On time","Late"))))</f>
        <v/>
      </c>
      <c r="H1408" s="15"/>
      <c r="I1408" s="16"/>
      <c r="J1408" s="16"/>
      <c r="K1408" s="17" t="str">
        <f>IF(J1408="","",ROUND(J1408*Settings!$B$8,2))</f>
        <v/>
      </c>
      <c r="L1408" s="16"/>
      <c r="M1408" s="8" t="str">
        <f t="shared" si="21"/>
        <v/>
      </c>
      <c r="N1408" s="9"/>
    </row>
    <row r="1409" spans="1:14" ht="15.75">
      <c r="A1409" s="11"/>
      <c r="B1409" s="9"/>
      <c r="C1409" s="12" t="str">
        <f>IF(B1409="","",IFERROR(INDEX('Cashier Roster'!$C$5:$C$64,MATCH(B1409,'Cashier Roster'!$B$5:$B$64,0)),"Not on roster"))</f>
        <v/>
      </c>
      <c r="D1409" s="12" t="str">
        <f>IF(B1409="","",IFERROR(INDEX('Cashier Roster'!$D$5:$D$64,MATCH(B1409,'Cashier Roster'!$B$5:$B$64,0)),""))</f>
        <v/>
      </c>
      <c r="E1409" s="13"/>
      <c r="F1409" s="14"/>
      <c r="G1409" s="8" t="str">
        <f>IF(OR(B1409="",E1409=""),"",IF(E1409="No","Missed",IF(F1409="","",IF(F1409&lt;=Settings!$B$7,"On time","Late"))))</f>
        <v/>
      </c>
      <c r="H1409" s="15"/>
      <c r="I1409" s="16"/>
      <c r="J1409" s="16"/>
      <c r="K1409" s="17" t="str">
        <f>IF(J1409="","",ROUND(J1409*Settings!$B$8,2))</f>
        <v/>
      </c>
      <c r="L1409" s="16"/>
      <c r="M1409" s="8" t="str">
        <f t="shared" si="21"/>
        <v/>
      </c>
      <c r="N1409" s="9"/>
    </row>
    <row r="1410" spans="1:14" ht="15.75">
      <c r="A1410" s="11"/>
      <c r="B1410" s="9"/>
      <c r="C1410" s="12" t="str">
        <f>IF(B1410="","",IFERROR(INDEX('Cashier Roster'!$C$5:$C$64,MATCH(B1410,'Cashier Roster'!$B$5:$B$64,0)),"Not on roster"))</f>
        <v/>
      </c>
      <c r="D1410" s="12" t="str">
        <f>IF(B1410="","",IFERROR(INDEX('Cashier Roster'!$D$5:$D$64,MATCH(B1410,'Cashier Roster'!$B$5:$B$64,0)),""))</f>
        <v/>
      </c>
      <c r="E1410" s="13"/>
      <c r="F1410" s="14"/>
      <c r="G1410" s="8" t="str">
        <f>IF(OR(B1410="",E1410=""),"",IF(E1410="No","Missed",IF(F1410="","",IF(F1410&lt;=Settings!$B$7,"On time","Late"))))</f>
        <v/>
      </c>
      <c r="H1410" s="15"/>
      <c r="I1410" s="16"/>
      <c r="J1410" s="16"/>
      <c r="K1410" s="17" t="str">
        <f>IF(J1410="","",ROUND(J1410*Settings!$B$8,2))</f>
        <v/>
      </c>
      <c r="L1410" s="16"/>
      <c r="M1410" s="8" t="str">
        <f t="shared" si="21"/>
        <v/>
      </c>
      <c r="N1410" s="9"/>
    </row>
    <row r="1411" spans="1:14" ht="15.75">
      <c r="A1411" s="11"/>
      <c r="B1411" s="9"/>
      <c r="C1411" s="12" t="str">
        <f>IF(B1411="","",IFERROR(INDEX('Cashier Roster'!$C$5:$C$64,MATCH(B1411,'Cashier Roster'!$B$5:$B$64,0)),"Not on roster"))</f>
        <v/>
      </c>
      <c r="D1411" s="12" t="str">
        <f>IF(B1411="","",IFERROR(INDEX('Cashier Roster'!$D$5:$D$64,MATCH(B1411,'Cashier Roster'!$B$5:$B$64,0)),""))</f>
        <v/>
      </c>
      <c r="E1411" s="13"/>
      <c r="F1411" s="14"/>
      <c r="G1411" s="8" t="str">
        <f>IF(OR(B1411="",E1411=""),"",IF(E1411="No","Missed",IF(F1411="","",IF(F1411&lt;=Settings!$B$7,"On time","Late"))))</f>
        <v/>
      </c>
      <c r="H1411" s="15"/>
      <c r="I1411" s="16"/>
      <c r="J1411" s="16"/>
      <c r="K1411" s="17" t="str">
        <f>IF(J1411="","",ROUND(J1411*Settings!$B$8,2))</f>
        <v/>
      </c>
      <c r="L1411" s="16"/>
      <c r="M1411" s="8" t="str">
        <f t="shared" si="21"/>
        <v/>
      </c>
      <c r="N1411" s="9"/>
    </row>
    <row r="1412" spans="1:14" ht="15.75">
      <c r="A1412" s="11"/>
      <c r="B1412" s="9"/>
      <c r="C1412" s="12" t="str">
        <f>IF(B1412="","",IFERROR(INDEX('Cashier Roster'!$C$5:$C$64,MATCH(B1412,'Cashier Roster'!$B$5:$B$64,0)),"Not on roster"))</f>
        <v/>
      </c>
      <c r="D1412" s="12" t="str">
        <f>IF(B1412="","",IFERROR(INDEX('Cashier Roster'!$D$5:$D$64,MATCH(B1412,'Cashier Roster'!$B$5:$B$64,0)),""))</f>
        <v/>
      </c>
      <c r="E1412" s="13"/>
      <c r="F1412" s="14"/>
      <c r="G1412" s="8" t="str">
        <f>IF(OR(B1412="",E1412=""),"",IF(E1412="No","Missed",IF(F1412="","",IF(F1412&lt;=Settings!$B$7,"On time","Late"))))</f>
        <v/>
      </c>
      <c r="H1412" s="15"/>
      <c r="I1412" s="16"/>
      <c r="J1412" s="16"/>
      <c r="K1412" s="17" t="str">
        <f>IF(J1412="","",ROUND(J1412*Settings!$B$8,2))</f>
        <v/>
      </c>
      <c r="L1412" s="16"/>
      <c r="M1412" s="8" t="str">
        <f t="shared" si="21"/>
        <v/>
      </c>
      <c r="N1412" s="9"/>
    </row>
    <row r="1413" spans="1:14" ht="15.75">
      <c r="A1413" s="11"/>
      <c r="B1413" s="9"/>
      <c r="C1413" s="12" t="str">
        <f>IF(B1413="","",IFERROR(INDEX('Cashier Roster'!$C$5:$C$64,MATCH(B1413,'Cashier Roster'!$B$5:$B$64,0)),"Not on roster"))</f>
        <v/>
      </c>
      <c r="D1413" s="12" t="str">
        <f>IF(B1413="","",IFERROR(INDEX('Cashier Roster'!$D$5:$D$64,MATCH(B1413,'Cashier Roster'!$B$5:$B$64,0)),""))</f>
        <v/>
      </c>
      <c r="E1413" s="13"/>
      <c r="F1413" s="14"/>
      <c r="G1413" s="8" t="str">
        <f>IF(OR(B1413="",E1413=""),"",IF(E1413="No","Missed",IF(F1413="","",IF(F1413&lt;=Settings!$B$7,"On time","Late"))))</f>
        <v/>
      </c>
      <c r="H1413" s="15"/>
      <c r="I1413" s="16"/>
      <c r="J1413" s="16"/>
      <c r="K1413" s="17" t="str">
        <f>IF(J1413="","",ROUND(J1413*Settings!$B$8,2))</f>
        <v/>
      </c>
      <c r="L1413" s="16"/>
      <c r="M1413" s="8" t="str">
        <f t="shared" ref="M1413:M1476" si="22">IF(L1413="","",IF(L1413&lt;=0,"Yes","No"))</f>
        <v/>
      </c>
      <c r="N1413" s="9"/>
    </row>
    <row r="1414" spans="1:14" ht="15.75">
      <c r="A1414" s="11"/>
      <c r="B1414" s="9"/>
      <c r="C1414" s="12" t="str">
        <f>IF(B1414="","",IFERROR(INDEX('Cashier Roster'!$C$5:$C$64,MATCH(B1414,'Cashier Roster'!$B$5:$B$64,0)),"Not on roster"))</f>
        <v/>
      </c>
      <c r="D1414" s="12" t="str">
        <f>IF(B1414="","",IFERROR(INDEX('Cashier Roster'!$D$5:$D$64,MATCH(B1414,'Cashier Roster'!$B$5:$B$64,0)),""))</f>
        <v/>
      </c>
      <c r="E1414" s="13"/>
      <c r="F1414" s="14"/>
      <c r="G1414" s="8" t="str">
        <f>IF(OR(B1414="",E1414=""),"",IF(E1414="No","Missed",IF(F1414="","",IF(F1414&lt;=Settings!$B$7,"On time","Late"))))</f>
        <v/>
      </c>
      <c r="H1414" s="15"/>
      <c r="I1414" s="16"/>
      <c r="J1414" s="16"/>
      <c r="K1414" s="17" t="str">
        <f>IF(J1414="","",ROUND(J1414*Settings!$B$8,2))</f>
        <v/>
      </c>
      <c r="L1414" s="16"/>
      <c r="M1414" s="8" t="str">
        <f t="shared" si="22"/>
        <v/>
      </c>
      <c r="N1414" s="9"/>
    </row>
    <row r="1415" spans="1:14" ht="15.75">
      <c r="A1415" s="11"/>
      <c r="B1415" s="9"/>
      <c r="C1415" s="12" t="str">
        <f>IF(B1415="","",IFERROR(INDEX('Cashier Roster'!$C$5:$C$64,MATCH(B1415,'Cashier Roster'!$B$5:$B$64,0)),"Not on roster"))</f>
        <v/>
      </c>
      <c r="D1415" s="12" t="str">
        <f>IF(B1415="","",IFERROR(INDEX('Cashier Roster'!$D$5:$D$64,MATCH(B1415,'Cashier Roster'!$B$5:$B$64,0)),""))</f>
        <v/>
      </c>
      <c r="E1415" s="13"/>
      <c r="F1415" s="14"/>
      <c r="G1415" s="8" t="str">
        <f>IF(OR(B1415="",E1415=""),"",IF(E1415="No","Missed",IF(F1415="","",IF(F1415&lt;=Settings!$B$7,"On time","Late"))))</f>
        <v/>
      </c>
      <c r="H1415" s="15"/>
      <c r="I1415" s="16"/>
      <c r="J1415" s="16"/>
      <c r="K1415" s="17" t="str">
        <f>IF(J1415="","",ROUND(J1415*Settings!$B$8,2))</f>
        <v/>
      </c>
      <c r="L1415" s="16"/>
      <c r="M1415" s="8" t="str">
        <f t="shared" si="22"/>
        <v/>
      </c>
      <c r="N1415" s="9"/>
    </row>
    <row r="1416" spans="1:14" ht="15.75">
      <c r="A1416" s="11"/>
      <c r="B1416" s="9"/>
      <c r="C1416" s="12" t="str">
        <f>IF(B1416="","",IFERROR(INDEX('Cashier Roster'!$C$5:$C$64,MATCH(B1416,'Cashier Roster'!$B$5:$B$64,0)),"Not on roster"))</f>
        <v/>
      </c>
      <c r="D1416" s="12" t="str">
        <f>IF(B1416="","",IFERROR(INDEX('Cashier Roster'!$D$5:$D$64,MATCH(B1416,'Cashier Roster'!$B$5:$B$64,0)),""))</f>
        <v/>
      </c>
      <c r="E1416" s="13"/>
      <c r="F1416" s="14"/>
      <c r="G1416" s="8" t="str">
        <f>IF(OR(B1416="",E1416=""),"",IF(E1416="No","Missed",IF(F1416="","",IF(F1416&lt;=Settings!$B$7,"On time","Late"))))</f>
        <v/>
      </c>
      <c r="H1416" s="15"/>
      <c r="I1416" s="16"/>
      <c r="J1416" s="16"/>
      <c r="K1416" s="17" t="str">
        <f>IF(J1416="","",ROUND(J1416*Settings!$B$8,2))</f>
        <v/>
      </c>
      <c r="L1416" s="16"/>
      <c r="M1416" s="8" t="str">
        <f t="shared" si="22"/>
        <v/>
      </c>
      <c r="N1416" s="9"/>
    </row>
    <row r="1417" spans="1:14" ht="15.75">
      <c r="A1417" s="11"/>
      <c r="B1417" s="9"/>
      <c r="C1417" s="12" t="str">
        <f>IF(B1417="","",IFERROR(INDEX('Cashier Roster'!$C$5:$C$64,MATCH(B1417,'Cashier Roster'!$B$5:$B$64,0)),"Not on roster"))</f>
        <v/>
      </c>
      <c r="D1417" s="12" t="str">
        <f>IF(B1417="","",IFERROR(INDEX('Cashier Roster'!$D$5:$D$64,MATCH(B1417,'Cashier Roster'!$B$5:$B$64,0)),""))</f>
        <v/>
      </c>
      <c r="E1417" s="13"/>
      <c r="F1417" s="14"/>
      <c r="G1417" s="8" t="str">
        <f>IF(OR(B1417="",E1417=""),"",IF(E1417="No","Missed",IF(F1417="","",IF(F1417&lt;=Settings!$B$7,"On time","Late"))))</f>
        <v/>
      </c>
      <c r="H1417" s="15"/>
      <c r="I1417" s="16"/>
      <c r="J1417" s="16"/>
      <c r="K1417" s="17" t="str">
        <f>IF(J1417="","",ROUND(J1417*Settings!$B$8,2))</f>
        <v/>
      </c>
      <c r="L1417" s="16"/>
      <c r="M1417" s="8" t="str">
        <f t="shared" si="22"/>
        <v/>
      </c>
      <c r="N1417" s="9"/>
    </row>
    <row r="1418" spans="1:14" ht="15.75">
      <c r="A1418" s="11"/>
      <c r="B1418" s="9"/>
      <c r="C1418" s="12" t="str">
        <f>IF(B1418="","",IFERROR(INDEX('Cashier Roster'!$C$5:$C$64,MATCH(B1418,'Cashier Roster'!$B$5:$B$64,0)),"Not on roster"))</f>
        <v/>
      </c>
      <c r="D1418" s="12" t="str">
        <f>IF(B1418="","",IFERROR(INDEX('Cashier Roster'!$D$5:$D$64,MATCH(B1418,'Cashier Roster'!$B$5:$B$64,0)),""))</f>
        <v/>
      </c>
      <c r="E1418" s="13"/>
      <c r="F1418" s="14"/>
      <c r="G1418" s="8" t="str">
        <f>IF(OR(B1418="",E1418=""),"",IF(E1418="No","Missed",IF(F1418="","",IF(F1418&lt;=Settings!$B$7,"On time","Late"))))</f>
        <v/>
      </c>
      <c r="H1418" s="15"/>
      <c r="I1418" s="16"/>
      <c r="J1418" s="16"/>
      <c r="K1418" s="17" t="str">
        <f>IF(J1418="","",ROUND(J1418*Settings!$B$8,2))</f>
        <v/>
      </c>
      <c r="L1418" s="16"/>
      <c r="M1418" s="8" t="str">
        <f t="shared" si="22"/>
        <v/>
      </c>
      <c r="N1418" s="9"/>
    </row>
    <row r="1419" spans="1:14" ht="15.75">
      <c r="A1419" s="11"/>
      <c r="B1419" s="9"/>
      <c r="C1419" s="12" t="str">
        <f>IF(B1419="","",IFERROR(INDEX('Cashier Roster'!$C$5:$C$64,MATCH(B1419,'Cashier Roster'!$B$5:$B$64,0)),"Not on roster"))</f>
        <v/>
      </c>
      <c r="D1419" s="12" t="str">
        <f>IF(B1419="","",IFERROR(INDEX('Cashier Roster'!$D$5:$D$64,MATCH(B1419,'Cashier Roster'!$B$5:$B$64,0)),""))</f>
        <v/>
      </c>
      <c r="E1419" s="13"/>
      <c r="F1419" s="14"/>
      <c r="G1419" s="8" t="str">
        <f>IF(OR(B1419="",E1419=""),"",IF(E1419="No","Missed",IF(F1419="","",IF(F1419&lt;=Settings!$B$7,"On time","Late"))))</f>
        <v/>
      </c>
      <c r="H1419" s="15"/>
      <c r="I1419" s="16"/>
      <c r="J1419" s="16"/>
      <c r="K1419" s="17" t="str">
        <f>IF(J1419="","",ROUND(J1419*Settings!$B$8,2))</f>
        <v/>
      </c>
      <c r="L1419" s="16"/>
      <c r="M1419" s="8" t="str">
        <f t="shared" si="22"/>
        <v/>
      </c>
      <c r="N1419" s="9"/>
    </row>
    <row r="1420" spans="1:14" ht="15.75">
      <c r="A1420" s="11"/>
      <c r="B1420" s="9"/>
      <c r="C1420" s="12" t="str">
        <f>IF(B1420="","",IFERROR(INDEX('Cashier Roster'!$C$5:$C$64,MATCH(B1420,'Cashier Roster'!$B$5:$B$64,0)),"Not on roster"))</f>
        <v/>
      </c>
      <c r="D1420" s="12" t="str">
        <f>IF(B1420="","",IFERROR(INDEX('Cashier Roster'!$D$5:$D$64,MATCH(B1420,'Cashier Roster'!$B$5:$B$64,0)),""))</f>
        <v/>
      </c>
      <c r="E1420" s="13"/>
      <c r="F1420" s="14"/>
      <c r="G1420" s="8" t="str">
        <f>IF(OR(B1420="",E1420=""),"",IF(E1420="No","Missed",IF(F1420="","",IF(F1420&lt;=Settings!$B$7,"On time","Late"))))</f>
        <v/>
      </c>
      <c r="H1420" s="15"/>
      <c r="I1420" s="16"/>
      <c r="J1420" s="16"/>
      <c r="K1420" s="17" t="str">
        <f>IF(J1420="","",ROUND(J1420*Settings!$B$8,2))</f>
        <v/>
      </c>
      <c r="L1420" s="16"/>
      <c r="M1420" s="8" t="str">
        <f t="shared" si="22"/>
        <v/>
      </c>
      <c r="N1420" s="9"/>
    </row>
    <row r="1421" spans="1:14" ht="15.75">
      <c r="A1421" s="11"/>
      <c r="B1421" s="9"/>
      <c r="C1421" s="12" t="str">
        <f>IF(B1421="","",IFERROR(INDEX('Cashier Roster'!$C$5:$C$64,MATCH(B1421,'Cashier Roster'!$B$5:$B$64,0)),"Not on roster"))</f>
        <v/>
      </c>
      <c r="D1421" s="12" t="str">
        <f>IF(B1421="","",IFERROR(INDEX('Cashier Roster'!$D$5:$D$64,MATCH(B1421,'Cashier Roster'!$B$5:$B$64,0)),""))</f>
        <v/>
      </c>
      <c r="E1421" s="13"/>
      <c r="F1421" s="14"/>
      <c r="G1421" s="8" t="str">
        <f>IF(OR(B1421="",E1421=""),"",IF(E1421="No","Missed",IF(F1421="","",IF(F1421&lt;=Settings!$B$7,"On time","Late"))))</f>
        <v/>
      </c>
      <c r="H1421" s="15"/>
      <c r="I1421" s="16"/>
      <c r="J1421" s="16"/>
      <c r="K1421" s="17" t="str">
        <f>IF(J1421="","",ROUND(J1421*Settings!$B$8,2))</f>
        <v/>
      </c>
      <c r="L1421" s="16"/>
      <c r="M1421" s="8" t="str">
        <f t="shared" si="22"/>
        <v/>
      </c>
      <c r="N1421" s="9"/>
    </row>
    <row r="1422" spans="1:14" ht="15.75">
      <c r="A1422" s="11"/>
      <c r="B1422" s="9"/>
      <c r="C1422" s="12" t="str">
        <f>IF(B1422="","",IFERROR(INDEX('Cashier Roster'!$C$5:$C$64,MATCH(B1422,'Cashier Roster'!$B$5:$B$64,0)),"Not on roster"))</f>
        <v/>
      </c>
      <c r="D1422" s="12" t="str">
        <f>IF(B1422="","",IFERROR(INDEX('Cashier Roster'!$D$5:$D$64,MATCH(B1422,'Cashier Roster'!$B$5:$B$64,0)),""))</f>
        <v/>
      </c>
      <c r="E1422" s="13"/>
      <c r="F1422" s="14"/>
      <c r="G1422" s="8" t="str">
        <f>IF(OR(B1422="",E1422=""),"",IF(E1422="No","Missed",IF(F1422="","",IF(F1422&lt;=Settings!$B$7,"On time","Late"))))</f>
        <v/>
      </c>
      <c r="H1422" s="15"/>
      <c r="I1422" s="16"/>
      <c r="J1422" s="16"/>
      <c r="K1422" s="17" t="str">
        <f>IF(J1422="","",ROUND(J1422*Settings!$B$8,2))</f>
        <v/>
      </c>
      <c r="L1422" s="16"/>
      <c r="M1422" s="8" t="str">
        <f t="shared" si="22"/>
        <v/>
      </c>
      <c r="N1422" s="9"/>
    </row>
    <row r="1423" spans="1:14" ht="15.75">
      <c r="A1423" s="11"/>
      <c r="B1423" s="9"/>
      <c r="C1423" s="12" t="str">
        <f>IF(B1423="","",IFERROR(INDEX('Cashier Roster'!$C$5:$C$64,MATCH(B1423,'Cashier Roster'!$B$5:$B$64,0)),"Not on roster"))</f>
        <v/>
      </c>
      <c r="D1423" s="12" t="str">
        <f>IF(B1423="","",IFERROR(INDEX('Cashier Roster'!$D$5:$D$64,MATCH(B1423,'Cashier Roster'!$B$5:$B$64,0)),""))</f>
        <v/>
      </c>
      <c r="E1423" s="13"/>
      <c r="F1423" s="14"/>
      <c r="G1423" s="8" t="str">
        <f>IF(OR(B1423="",E1423=""),"",IF(E1423="No","Missed",IF(F1423="","",IF(F1423&lt;=Settings!$B$7,"On time","Late"))))</f>
        <v/>
      </c>
      <c r="H1423" s="15"/>
      <c r="I1423" s="16"/>
      <c r="J1423" s="16"/>
      <c r="K1423" s="17" t="str">
        <f>IF(J1423="","",ROUND(J1423*Settings!$B$8,2))</f>
        <v/>
      </c>
      <c r="L1423" s="16"/>
      <c r="M1423" s="8" t="str">
        <f t="shared" si="22"/>
        <v/>
      </c>
      <c r="N1423" s="9"/>
    </row>
    <row r="1424" spans="1:14" ht="15.75">
      <c r="A1424" s="11"/>
      <c r="B1424" s="9"/>
      <c r="C1424" s="12" t="str">
        <f>IF(B1424="","",IFERROR(INDEX('Cashier Roster'!$C$5:$C$64,MATCH(B1424,'Cashier Roster'!$B$5:$B$64,0)),"Not on roster"))</f>
        <v/>
      </c>
      <c r="D1424" s="12" t="str">
        <f>IF(B1424="","",IFERROR(INDEX('Cashier Roster'!$D$5:$D$64,MATCH(B1424,'Cashier Roster'!$B$5:$B$64,0)),""))</f>
        <v/>
      </c>
      <c r="E1424" s="13"/>
      <c r="F1424" s="14"/>
      <c r="G1424" s="8" t="str">
        <f>IF(OR(B1424="",E1424=""),"",IF(E1424="No","Missed",IF(F1424="","",IF(F1424&lt;=Settings!$B$7,"On time","Late"))))</f>
        <v/>
      </c>
      <c r="H1424" s="15"/>
      <c r="I1424" s="16"/>
      <c r="J1424" s="16"/>
      <c r="K1424" s="17" t="str">
        <f>IF(J1424="","",ROUND(J1424*Settings!$B$8,2))</f>
        <v/>
      </c>
      <c r="L1424" s="16"/>
      <c r="M1424" s="8" t="str">
        <f t="shared" si="22"/>
        <v/>
      </c>
      <c r="N1424" s="9"/>
    </row>
    <row r="1425" spans="1:14" ht="15.75">
      <c r="A1425" s="11"/>
      <c r="B1425" s="9"/>
      <c r="C1425" s="12" t="str">
        <f>IF(B1425="","",IFERROR(INDEX('Cashier Roster'!$C$5:$C$64,MATCH(B1425,'Cashier Roster'!$B$5:$B$64,0)),"Not on roster"))</f>
        <v/>
      </c>
      <c r="D1425" s="12" t="str">
        <f>IF(B1425="","",IFERROR(INDEX('Cashier Roster'!$D$5:$D$64,MATCH(B1425,'Cashier Roster'!$B$5:$B$64,0)),""))</f>
        <v/>
      </c>
      <c r="E1425" s="13"/>
      <c r="F1425" s="14"/>
      <c r="G1425" s="8" t="str">
        <f>IF(OR(B1425="",E1425=""),"",IF(E1425="No","Missed",IF(F1425="","",IF(F1425&lt;=Settings!$B$7,"On time","Late"))))</f>
        <v/>
      </c>
      <c r="H1425" s="15"/>
      <c r="I1425" s="16"/>
      <c r="J1425" s="16"/>
      <c r="K1425" s="17" t="str">
        <f>IF(J1425="","",ROUND(J1425*Settings!$B$8,2))</f>
        <v/>
      </c>
      <c r="L1425" s="16"/>
      <c r="M1425" s="8" t="str">
        <f t="shared" si="22"/>
        <v/>
      </c>
      <c r="N1425" s="9"/>
    </row>
    <row r="1426" spans="1:14" ht="15.75">
      <c r="A1426" s="11"/>
      <c r="B1426" s="9"/>
      <c r="C1426" s="12" t="str">
        <f>IF(B1426="","",IFERROR(INDEX('Cashier Roster'!$C$5:$C$64,MATCH(B1426,'Cashier Roster'!$B$5:$B$64,0)),"Not on roster"))</f>
        <v/>
      </c>
      <c r="D1426" s="12" t="str">
        <f>IF(B1426="","",IFERROR(INDEX('Cashier Roster'!$D$5:$D$64,MATCH(B1426,'Cashier Roster'!$B$5:$B$64,0)),""))</f>
        <v/>
      </c>
      <c r="E1426" s="13"/>
      <c r="F1426" s="14"/>
      <c r="G1426" s="8" t="str">
        <f>IF(OR(B1426="",E1426=""),"",IF(E1426="No","Missed",IF(F1426="","",IF(F1426&lt;=Settings!$B$7,"On time","Late"))))</f>
        <v/>
      </c>
      <c r="H1426" s="15"/>
      <c r="I1426" s="16"/>
      <c r="J1426" s="16"/>
      <c r="K1426" s="17" t="str">
        <f>IF(J1426="","",ROUND(J1426*Settings!$B$8,2))</f>
        <v/>
      </c>
      <c r="L1426" s="16"/>
      <c r="M1426" s="8" t="str">
        <f t="shared" si="22"/>
        <v/>
      </c>
      <c r="N1426" s="9"/>
    </row>
    <row r="1427" spans="1:14" ht="15.75">
      <c r="A1427" s="11"/>
      <c r="B1427" s="9"/>
      <c r="C1427" s="12" t="str">
        <f>IF(B1427="","",IFERROR(INDEX('Cashier Roster'!$C$5:$C$64,MATCH(B1427,'Cashier Roster'!$B$5:$B$64,0)),"Not on roster"))</f>
        <v/>
      </c>
      <c r="D1427" s="12" t="str">
        <f>IF(B1427="","",IFERROR(INDEX('Cashier Roster'!$D$5:$D$64,MATCH(B1427,'Cashier Roster'!$B$5:$B$64,0)),""))</f>
        <v/>
      </c>
      <c r="E1427" s="13"/>
      <c r="F1427" s="14"/>
      <c r="G1427" s="8" t="str">
        <f>IF(OR(B1427="",E1427=""),"",IF(E1427="No","Missed",IF(F1427="","",IF(F1427&lt;=Settings!$B$7,"On time","Late"))))</f>
        <v/>
      </c>
      <c r="H1427" s="15"/>
      <c r="I1427" s="16"/>
      <c r="J1427" s="16"/>
      <c r="K1427" s="17" t="str">
        <f>IF(J1427="","",ROUND(J1427*Settings!$B$8,2))</f>
        <v/>
      </c>
      <c r="L1427" s="16"/>
      <c r="M1427" s="8" t="str">
        <f t="shared" si="22"/>
        <v/>
      </c>
      <c r="N1427" s="9"/>
    </row>
    <row r="1428" spans="1:14" ht="15.75">
      <c r="A1428" s="11"/>
      <c r="B1428" s="9"/>
      <c r="C1428" s="12" t="str">
        <f>IF(B1428="","",IFERROR(INDEX('Cashier Roster'!$C$5:$C$64,MATCH(B1428,'Cashier Roster'!$B$5:$B$64,0)),"Not on roster"))</f>
        <v/>
      </c>
      <c r="D1428" s="12" t="str">
        <f>IF(B1428="","",IFERROR(INDEX('Cashier Roster'!$D$5:$D$64,MATCH(B1428,'Cashier Roster'!$B$5:$B$64,0)),""))</f>
        <v/>
      </c>
      <c r="E1428" s="13"/>
      <c r="F1428" s="14"/>
      <c r="G1428" s="8" t="str">
        <f>IF(OR(B1428="",E1428=""),"",IF(E1428="No","Missed",IF(F1428="","",IF(F1428&lt;=Settings!$B$7,"On time","Late"))))</f>
        <v/>
      </c>
      <c r="H1428" s="15"/>
      <c r="I1428" s="16"/>
      <c r="J1428" s="16"/>
      <c r="K1428" s="17" t="str">
        <f>IF(J1428="","",ROUND(J1428*Settings!$B$8,2))</f>
        <v/>
      </c>
      <c r="L1428" s="16"/>
      <c r="M1428" s="8" t="str">
        <f t="shared" si="22"/>
        <v/>
      </c>
      <c r="N1428" s="9"/>
    </row>
    <row r="1429" spans="1:14" ht="15.75">
      <c r="A1429" s="11"/>
      <c r="B1429" s="9"/>
      <c r="C1429" s="12" t="str">
        <f>IF(B1429="","",IFERROR(INDEX('Cashier Roster'!$C$5:$C$64,MATCH(B1429,'Cashier Roster'!$B$5:$B$64,0)),"Not on roster"))</f>
        <v/>
      </c>
      <c r="D1429" s="12" t="str">
        <f>IF(B1429="","",IFERROR(INDEX('Cashier Roster'!$D$5:$D$64,MATCH(B1429,'Cashier Roster'!$B$5:$B$64,0)),""))</f>
        <v/>
      </c>
      <c r="E1429" s="13"/>
      <c r="F1429" s="14"/>
      <c r="G1429" s="8" t="str">
        <f>IF(OR(B1429="",E1429=""),"",IF(E1429="No","Missed",IF(F1429="","",IF(F1429&lt;=Settings!$B$7,"On time","Late"))))</f>
        <v/>
      </c>
      <c r="H1429" s="15"/>
      <c r="I1429" s="16"/>
      <c r="J1429" s="16"/>
      <c r="K1429" s="17" t="str">
        <f>IF(J1429="","",ROUND(J1429*Settings!$B$8,2))</f>
        <v/>
      </c>
      <c r="L1429" s="16"/>
      <c r="M1429" s="8" t="str">
        <f t="shared" si="22"/>
        <v/>
      </c>
      <c r="N1429" s="9"/>
    </row>
    <row r="1430" spans="1:14" ht="15.75">
      <c r="A1430" s="11"/>
      <c r="B1430" s="9"/>
      <c r="C1430" s="12" t="str">
        <f>IF(B1430="","",IFERROR(INDEX('Cashier Roster'!$C$5:$C$64,MATCH(B1430,'Cashier Roster'!$B$5:$B$64,0)),"Not on roster"))</f>
        <v/>
      </c>
      <c r="D1430" s="12" t="str">
        <f>IF(B1430="","",IFERROR(INDEX('Cashier Roster'!$D$5:$D$64,MATCH(B1430,'Cashier Roster'!$B$5:$B$64,0)),""))</f>
        <v/>
      </c>
      <c r="E1430" s="13"/>
      <c r="F1430" s="14"/>
      <c r="G1430" s="8" t="str">
        <f>IF(OR(B1430="",E1430=""),"",IF(E1430="No","Missed",IF(F1430="","",IF(F1430&lt;=Settings!$B$7,"On time","Late"))))</f>
        <v/>
      </c>
      <c r="H1430" s="15"/>
      <c r="I1430" s="16"/>
      <c r="J1430" s="16"/>
      <c r="K1430" s="17" t="str">
        <f>IF(J1430="","",ROUND(J1430*Settings!$B$8,2))</f>
        <v/>
      </c>
      <c r="L1430" s="16"/>
      <c r="M1430" s="8" t="str">
        <f t="shared" si="22"/>
        <v/>
      </c>
      <c r="N1430" s="9"/>
    </row>
    <row r="1431" spans="1:14" ht="15.75">
      <c r="A1431" s="11"/>
      <c r="B1431" s="9"/>
      <c r="C1431" s="12" t="str">
        <f>IF(B1431="","",IFERROR(INDEX('Cashier Roster'!$C$5:$C$64,MATCH(B1431,'Cashier Roster'!$B$5:$B$64,0)),"Not on roster"))</f>
        <v/>
      </c>
      <c r="D1431" s="12" t="str">
        <f>IF(B1431="","",IFERROR(INDEX('Cashier Roster'!$D$5:$D$64,MATCH(B1431,'Cashier Roster'!$B$5:$B$64,0)),""))</f>
        <v/>
      </c>
      <c r="E1431" s="13"/>
      <c r="F1431" s="14"/>
      <c r="G1431" s="8" t="str">
        <f>IF(OR(B1431="",E1431=""),"",IF(E1431="No","Missed",IF(F1431="","",IF(F1431&lt;=Settings!$B$7,"On time","Late"))))</f>
        <v/>
      </c>
      <c r="H1431" s="15"/>
      <c r="I1431" s="16"/>
      <c r="J1431" s="16"/>
      <c r="K1431" s="17" t="str">
        <f>IF(J1431="","",ROUND(J1431*Settings!$B$8,2))</f>
        <v/>
      </c>
      <c r="L1431" s="16"/>
      <c r="M1431" s="8" t="str">
        <f t="shared" si="22"/>
        <v/>
      </c>
      <c r="N1431" s="9"/>
    </row>
    <row r="1432" spans="1:14" ht="15.75">
      <c r="A1432" s="11"/>
      <c r="B1432" s="9"/>
      <c r="C1432" s="12" t="str">
        <f>IF(B1432="","",IFERROR(INDEX('Cashier Roster'!$C$5:$C$64,MATCH(B1432,'Cashier Roster'!$B$5:$B$64,0)),"Not on roster"))</f>
        <v/>
      </c>
      <c r="D1432" s="12" t="str">
        <f>IF(B1432="","",IFERROR(INDEX('Cashier Roster'!$D$5:$D$64,MATCH(B1432,'Cashier Roster'!$B$5:$B$64,0)),""))</f>
        <v/>
      </c>
      <c r="E1432" s="13"/>
      <c r="F1432" s="14"/>
      <c r="G1432" s="8" t="str">
        <f>IF(OR(B1432="",E1432=""),"",IF(E1432="No","Missed",IF(F1432="","",IF(F1432&lt;=Settings!$B$7,"On time","Late"))))</f>
        <v/>
      </c>
      <c r="H1432" s="15"/>
      <c r="I1432" s="16"/>
      <c r="J1432" s="16"/>
      <c r="K1432" s="17" t="str">
        <f>IF(J1432="","",ROUND(J1432*Settings!$B$8,2))</f>
        <v/>
      </c>
      <c r="L1432" s="16"/>
      <c r="M1432" s="8" t="str">
        <f t="shared" si="22"/>
        <v/>
      </c>
      <c r="N1432" s="9"/>
    </row>
    <row r="1433" spans="1:14" ht="15.75">
      <c r="A1433" s="11"/>
      <c r="B1433" s="9"/>
      <c r="C1433" s="12" t="str">
        <f>IF(B1433="","",IFERROR(INDEX('Cashier Roster'!$C$5:$C$64,MATCH(B1433,'Cashier Roster'!$B$5:$B$64,0)),"Not on roster"))</f>
        <v/>
      </c>
      <c r="D1433" s="12" t="str">
        <f>IF(B1433="","",IFERROR(INDEX('Cashier Roster'!$D$5:$D$64,MATCH(B1433,'Cashier Roster'!$B$5:$B$64,0)),""))</f>
        <v/>
      </c>
      <c r="E1433" s="13"/>
      <c r="F1433" s="14"/>
      <c r="G1433" s="8" t="str">
        <f>IF(OR(B1433="",E1433=""),"",IF(E1433="No","Missed",IF(F1433="","",IF(F1433&lt;=Settings!$B$7,"On time","Late"))))</f>
        <v/>
      </c>
      <c r="H1433" s="15"/>
      <c r="I1433" s="16"/>
      <c r="J1433" s="16"/>
      <c r="K1433" s="17" t="str">
        <f>IF(J1433="","",ROUND(J1433*Settings!$B$8,2))</f>
        <v/>
      </c>
      <c r="L1433" s="16"/>
      <c r="M1433" s="8" t="str">
        <f t="shared" si="22"/>
        <v/>
      </c>
      <c r="N1433" s="9"/>
    </row>
    <row r="1434" spans="1:14" ht="15.75">
      <c r="A1434" s="11"/>
      <c r="B1434" s="9"/>
      <c r="C1434" s="12" t="str">
        <f>IF(B1434="","",IFERROR(INDEX('Cashier Roster'!$C$5:$C$64,MATCH(B1434,'Cashier Roster'!$B$5:$B$64,0)),"Not on roster"))</f>
        <v/>
      </c>
      <c r="D1434" s="12" t="str">
        <f>IF(B1434="","",IFERROR(INDEX('Cashier Roster'!$D$5:$D$64,MATCH(B1434,'Cashier Roster'!$B$5:$B$64,0)),""))</f>
        <v/>
      </c>
      <c r="E1434" s="13"/>
      <c r="F1434" s="14"/>
      <c r="G1434" s="8" t="str">
        <f>IF(OR(B1434="",E1434=""),"",IF(E1434="No","Missed",IF(F1434="","",IF(F1434&lt;=Settings!$B$7,"On time","Late"))))</f>
        <v/>
      </c>
      <c r="H1434" s="15"/>
      <c r="I1434" s="16"/>
      <c r="J1434" s="16"/>
      <c r="K1434" s="17" t="str">
        <f>IF(J1434="","",ROUND(J1434*Settings!$B$8,2))</f>
        <v/>
      </c>
      <c r="L1434" s="16"/>
      <c r="M1434" s="8" t="str">
        <f t="shared" si="22"/>
        <v/>
      </c>
      <c r="N1434" s="9"/>
    </row>
    <row r="1435" spans="1:14" ht="15.75">
      <c r="A1435" s="11"/>
      <c r="B1435" s="9"/>
      <c r="C1435" s="12" t="str">
        <f>IF(B1435="","",IFERROR(INDEX('Cashier Roster'!$C$5:$C$64,MATCH(B1435,'Cashier Roster'!$B$5:$B$64,0)),"Not on roster"))</f>
        <v/>
      </c>
      <c r="D1435" s="12" t="str">
        <f>IF(B1435="","",IFERROR(INDEX('Cashier Roster'!$D$5:$D$64,MATCH(B1435,'Cashier Roster'!$B$5:$B$64,0)),""))</f>
        <v/>
      </c>
      <c r="E1435" s="13"/>
      <c r="F1435" s="14"/>
      <c r="G1435" s="8" t="str">
        <f>IF(OR(B1435="",E1435=""),"",IF(E1435="No","Missed",IF(F1435="","",IF(F1435&lt;=Settings!$B$7,"On time","Late"))))</f>
        <v/>
      </c>
      <c r="H1435" s="15"/>
      <c r="I1435" s="16"/>
      <c r="J1435" s="16"/>
      <c r="K1435" s="17" t="str">
        <f>IF(J1435="","",ROUND(J1435*Settings!$B$8,2))</f>
        <v/>
      </c>
      <c r="L1435" s="16"/>
      <c r="M1435" s="8" t="str">
        <f t="shared" si="22"/>
        <v/>
      </c>
      <c r="N1435" s="9"/>
    </row>
    <row r="1436" spans="1:14" ht="15.75">
      <c r="A1436" s="11"/>
      <c r="B1436" s="9"/>
      <c r="C1436" s="12" t="str">
        <f>IF(B1436="","",IFERROR(INDEX('Cashier Roster'!$C$5:$C$64,MATCH(B1436,'Cashier Roster'!$B$5:$B$64,0)),"Not on roster"))</f>
        <v/>
      </c>
      <c r="D1436" s="12" t="str">
        <f>IF(B1436="","",IFERROR(INDEX('Cashier Roster'!$D$5:$D$64,MATCH(B1436,'Cashier Roster'!$B$5:$B$64,0)),""))</f>
        <v/>
      </c>
      <c r="E1436" s="13"/>
      <c r="F1436" s="14"/>
      <c r="G1436" s="8" t="str">
        <f>IF(OR(B1436="",E1436=""),"",IF(E1436="No","Missed",IF(F1436="","",IF(F1436&lt;=Settings!$B$7,"On time","Late"))))</f>
        <v/>
      </c>
      <c r="H1436" s="15"/>
      <c r="I1436" s="16"/>
      <c r="J1436" s="16"/>
      <c r="K1436" s="17" t="str">
        <f>IF(J1436="","",ROUND(J1436*Settings!$B$8,2))</f>
        <v/>
      </c>
      <c r="L1436" s="16"/>
      <c r="M1436" s="8" t="str">
        <f t="shared" si="22"/>
        <v/>
      </c>
      <c r="N1436" s="9"/>
    </row>
    <row r="1437" spans="1:14" ht="15.75">
      <c r="A1437" s="11"/>
      <c r="B1437" s="9"/>
      <c r="C1437" s="12" t="str">
        <f>IF(B1437="","",IFERROR(INDEX('Cashier Roster'!$C$5:$C$64,MATCH(B1437,'Cashier Roster'!$B$5:$B$64,0)),"Not on roster"))</f>
        <v/>
      </c>
      <c r="D1437" s="12" t="str">
        <f>IF(B1437="","",IFERROR(INDEX('Cashier Roster'!$D$5:$D$64,MATCH(B1437,'Cashier Roster'!$B$5:$B$64,0)),""))</f>
        <v/>
      </c>
      <c r="E1437" s="13"/>
      <c r="F1437" s="14"/>
      <c r="G1437" s="8" t="str">
        <f>IF(OR(B1437="",E1437=""),"",IF(E1437="No","Missed",IF(F1437="","",IF(F1437&lt;=Settings!$B$7,"On time","Late"))))</f>
        <v/>
      </c>
      <c r="H1437" s="15"/>
      <c r="I1437" s="16"/>
      <c r="J1437" s="16"/>
      <c r="K1437" s="17" t="str">
        <f>IF(J1437="","",ROUND(J1437*Settings!$B$8,2))</f>
        <v/>
      </c>
      <c r="L1437" s="16"/>
      <c r="M1437" s="8" t="str">
        <f t="shared" si="22"/>
        <v/>
      </c>
      <c r="N1437" s="9"/>
    </row>
    <row r="1438" spans="1:14" ht="15.75">
      <c r="A1438" s="11"/>
      <c r="B1438" s="9"/>
      <c r="C1438" s="12" t="str">
        <f>IF(B1438="","",IFERROR(INDEX('Cashier Roster'!$C$5:$C$64,MATCH(B1438,'Cashier Roster'!$B$5:$B$64,0)),"Not on roster"))</f>
        <v/>
      </c>
      <c r="D1438" s="12" t="str">
        <f>IF(B1438="","",IFERROR(INDEX('Cashier Roster'!$D$5:$D$64,MATCH(B1438,'Cashier Roster'!$B$5:$B$64,0)),""))</f>
        <v/>
      </c>
      <c r="E1438" s="13"/>
      <c r="F1438" s="14"/>
      <c r="G1438" s="8" t="str">
        <f>IF(OR(B1438="",E1438=""),"",IF(E1438="No","Missed",IF(F1438="","",IF(F1438&lt;=Settings!$B$7,"On time","Late"))))</f>
        <v/>
      </c>
      <c r="H1438" s="15"/>
      <c r="I1438" s="16"/>
      <c r="J1438" s="16"/>
      <c r="K1438" s="17" t="str">
        <f>IF(J1438="","",ROUND(J1438*Settings!$B$8,2))</f>
        <v/>
      </c>
      <c r="L1438" s="16"/>
      <c r="M1438" s="8" t="str">
        <f t="shared" si="22"/>
        <v/>
      </c>
      <c r="N1438" s="9"/>
    </row>
    <row r="1439" spans="1:14" ht="15.75">
      <c r="A1439" s="11"/>
      <c r="B1439" s="9"/>
      <c r="C1439" s="12" t="str">
        <f>IF(B1439="","",IFERROR(INDEX('Cashier Roster'!$C$5:$C$64,MATCH(B1439,'Cashier Roster'!$B$5:$B$64,0)),"Not on roster"))</f>
        <v/>
      </c>
      <c r="D1439" s="12" t="str">
        <f>IF(B1439="","",IFERROR(INDEX('Cashier Roster'!$D$5:$D$64,MATCH(B1439,'Cashier Roster'!$B$5:$B$64,0)),""))</f>
        <v/>
      </c>
      <c r="E1439" s="13"/>
      <c r="F1439" s="14"/>
      <c r="G1439" s="8" t="str">
        <f>IF(OR(B1439="",E1439=""),"",IF(E1439="No","Missed",IF(F1439="","",IF(F1439&lt;=Settings!$B$7,"On time","Late"))))</f>
        <v/>
      </c>
      <c r="H1439" s="15"/>
      <c r="I1439" s="16"/>
      <c r="J1439" s="16"/>
      <c r="K1439" s="17" t="str">
        <f>IF(J1439="","",ROUND(J1439*Settings!$B$8,2))</f>
        <v/>
      </c>
      <c r="L1439" s="16"/>
      <c r="M1439" s="8" t="str">
        <f t="shared" si="22"/>
        <v/>
      </c>
      <c r="N1439" s="9"/>
    </row>
    <row r="1440" spans="1:14" ht="15.75">
      <c r="A1440" s="11"/>
      <c r="B1440" s="9"/>
      <c r="C1440" s="12" t="str">
        <f>IF(B1440="","",IFERROR(INDEX('Cashier Roster'!$C$5:$C$64,MATCH(B1440,'Cashier Roster'!$B$5:$B$64,0)),"Not on roster"))</f>
        <v/>
      </c>
      <c r="D1440" s="12" t="str">
        <f>IF(B1440="","",IFERROR(INDEX('Cashier Roster'!$D$5:$D$64,MATCH(B1440,'Cashier Roster'!$B$5:$B$64,0)),""))</f>
        <v/>
      </c>
      <c r="E1440" s="13"/>
      <c r="F1440" s="14"/>
      <c r="G1440" s="8" t="str">
        <f>IF(OR(B1440="",E1440=""),"",IF(E1440="No","Missed",IF(F1440="","",IF(F1440&lt;=Settings!$B$7,"On time","Late"))))</f>
        <v/>
      </c>
      <c r="H1440" s="15"/>
      <c r="I1440" s="16"/>
      <c r="J1440" s="16"/>
      <c r="K1440" s="17" t="str">
        <f>IF(J1440="","",ROUND(J1440*Settings!$B$8,2))</f>
        <v/>
      </c>
      <c r="L1440" s="16"/>
      <c r="M1440" s="8" t="str">
        <f t="shared" si="22"/>
        <v/>
      </c>
      <c r="N1440" s="9"/>
    </row>
    <row r="1441" spans="1:14" ht="15.75">
      <c r="A1441" s="11"/>
      <c r="B1441" s="9"/>
      <c r="C1441" s="12" t="str">
        <f>IF(B1441="","",IFERROR(INDEX('Cashier Roster'!$C$5:$C$64,MATCH(B1441,'Cashier Roster'!$B$5:$B$64,0)),"Not on roster"))</f>
        <v/>
      </c>
      <c r="D1441" s="12" t="str">
        <f>IF(B1441="","",IFERROR(INDEX('Cashier Roster'!$D$5:$D$64,MATCH(B1441,'Cashier Roster'!$B$5:$B$64,0)),""))</f>
        <v/>
      </c>
      <c r="E1441" s="13"/>
      <c r="F1441" s="14"/>
      <c r="G1441" s="8" t="str">
        <f>IF(OR(B1441="",E1441=""),"",IF(E1441="No","Missed",IF(F1441="","",IF(F1441&lt;=Settings!$B$7,"On time","Late"))))</f>
        <v/>
      </c>
      <c r="H1441" s="15"/>
      <c r="I1441" s="16"/>
      <c r="J1441" s="16"/>
      <c r="K1441" s="17" t="str">
        <f>IF(J1441="","",ROUND(J1441*Settings!$B$8,2))</f>
        <v/>
      </c>
      <c r="L1441" s="16"/>
      <c r="M1441" s="8" t="str">
        <f t="shared" si="22"/>
        <v/>
      </c>
      <c r="N1441" s="9"/>
    </row>
    <row r="1442" spans="1:14" ht="15.75">
      <c r="A1442" s="11"/>
      <c r="B1442" s="9"/>
      <c r="C1442" s="12" t="str">
        <f>IF(B1442="","",IFERROR(INDEX('Cashier Roster'!$C$5:$C$64,MATCH(B1442,'Cashier Roster'!$B$5:$B$64,0)),"Not on roster"))</f>
        <v/>
      </c>
      <c r="D1442" s="12" t="str">
        <f>IF(B1442="","",IFERROR(INDEX('Cashier Roster'!$D$5:$D$64,MATCH(B1442,'Cashier Roster'!$B$5:$B$64,0)),""))</f>
        <v/>
      </c>
      <c r="E1442" s="13"/>
      <c r="F1442" s="14"/>
      <c r="G1442" s="8" t="str">
        <f>IF(OR(B1442="",E1442=""),"",IF(E1442="No","Missed",IF(F1442="","",IF(F1442&lt;=Settings!$B$7,"On time","Late"))))</f>
        <v/>
      </c>
      <c r="H1442" s="15"/>
      <c r="I1442" s="16"/>
      <c r="J1442" s="16"/>
      <c r="K1442" s="17" t="str">
        <f>IF(J1442="","",ROUND(J1442*Settings!$B$8,2))</f>
        <v/>
      </c>
      <c r="L1442" s="16"/>
      <c r="M1442" s="8" t="str">
        <f t="shared" si="22"/>
        <v/>
      </c>
      <c r="N1442" s="9"/>
    </row>
    <row r="1443" spans="1:14" ht="15.75">
      <c r="A1443" s="11"/>
      <c r="B1443" s="9"/>
      <c r="C1443" s="12" t="str">
        <f>IF(B1443="","",IFERROR(INDEX('Cashier Roster'!$C$5:$C$64,MATCH(B1443,'Cashier Roster'!$B$5:$B$64,0)),"Not on roster"))</f>
        <v/>
      </c>
      <c r="D1443" s="12" t="str">
        <f>IF(B1443="","",IFERROR(INDEX('Cashier Roster'!$D$5:$D$64,MATCH(B1443,'Cashier Roster'!$B$5:$B$64,0)),""))</f>
        <v/>
      </c>
      <c r="E1443" s="13"/>
      <c r="F1443" s="14"/>
      <c r="G1443" s="8" t="str">
        <f>IF(OR(B1443="",E1443=""),"",IF(E1443="No","Missed",IF(F1443="","",IF(F1443&lt;=Settings!$B$7,"On time","Late"))))</f>
        <v/>
      </c>
      <c r="H1443" s="15"/>
      <c r="I1443" s="16"/>
      <c r="J1443" s="16"/>
      <c r="K1443" s="17" t="str">
        <f>IF(J1443="","",ROUND(J1443*Settings!$B$8,2))</f>
        <v/>
      </c>
      <c r="L1443" s="16"/>
      <c r="M1443" s="8" t="str">
        <f t="shared" si="22"/>
        <v/>
      </c>
      <c r="N1443" s="9"/>
    </row>
    <row r="1444" spans="1:14" ht="15.75">
      <c r="A1444" s="11"/>
      <c r="B1444" s="9"/>
      <c r="C1444" s="12" t="str">
        <f>IF(B1444="","",IFERROR(INDEX('Cashier Roster'!$C$5:$C$64,MATCH(B1444,'Cashier Roster'!$B$5:$B$64,0)),"Not on roster"))</f>
        <v/>
      </c>
      <c r="D1444" s="12" t="str">
        <f>IF(B1444="","",IFERROR(INDEX('Cashier Roster'!$D$5:$D$64,MATCH(B1444,'Cashier Roster'!$B$5:$B$64,0)),""))</f>
        <v/>
      </c>
      <c r="E1444" s="13"/>
      <c r="F1444" s="14"/>
      <c r="G1444" s="8" t="str">
        <f>IF(OR(B1444="",E1444=""),"",IF(E1444="No","Missed",IF(F1444="","",IF(F1444&lt;=Settings!$B$7,"On time","Late"))))</f>
        <v/>
      </c>
      <c r="H1444" s="15"/>
      <c r="I1444" s="16"/>
      <c r="J1444" s="16"/>
      <c r="K1444" s="17" t="str">
        <f>IF(J1444="","",ROUND(J1444*Settings!$B$8,2))</f>
        <v/>
      </c>
      <c r="L1444" s="16"/>
      <c r="M1444" s="8" t="str">
        <f t="shared" si="22"/>
        <v/>
      </c>
      <c r="N1444" s="9"/>
    </row>
    <row r="1445" spans="1:14" ht="15.75">
      <c r="A1445" s="11"/>
      <c r="B1445" s="9"/>
      <c r="C1445" s="12" t="str">
        <f>IF(B1445="","",IFERROR(INDEX('Cashier Roster'!$C$5:$C$64,MATCH(B1445,'Cashier Roster'!$B$5:$B$64,0)),"Not on roster"))</f>
        <v/>
      </c>
      <c r="D1445" s="12" t="str">
        <f>IF(B1445="","",IFERROR(INDEX('Cashier Roster'!$D$5:$D$64,MATCH(B1445,'Cashier Roster'!$B$5:$B$64,0)),""))</f>
        <v/>
      </c>
      <c r="E1445" s="13"/>
      <c r="F1445" s="14"/>
      <c r="G1445" s="8" t="str">
        <f>IF(OR(B1445="",E1445=""),"",IF(E1445="No","Missed",IF(F1445="","",IF(F1445&lt;=Settings!$B$7,"On time","Late"))))</f>
        <v/>
      </c>
      <c r="H1445" s="15"/>
      <c r="I1445" s="16"/>
      <c r="J1445" s="16"/>
      <c r="K1445" s="17" t="str">
        <f>IF(J1445="","",ROUND(J1445*Settings!$B$8,2))</f>
        <v/>
      </c>
      <c r="L1445" s="16"/>
      <c r="M1445" s="8" t="str">
        <f t="shared" si="22"/>
        <v/>
      </c>
      <c r="N1445" s="9"/>
    </row>
    <row r="1446" spans="1:14" ht="15.75">
      <c r="A1446" s="11"/>
      <c r="B1446" s="9"/>
      <c r="C1446" s="12" t="str">
        <f>IF(B1446="","",IFERROR(INDEX('Cashier Roster'!$C$5:$C$64,MATCH(B1446,'Cashier Roster'!$B$5:$B$64,0)),"Not on roster"))</f>
        <v/>
      </c>
      <c r="D1446" s="12" t="str">
        <f>IF(B1446="","",IFERROR(INDEX('Cashier Roster'!$D$5:$D$64,MATCH(B1446,'Cashier Roster'!$B$5:$B$64,0)),""))</f>
        <v/>
      </c>
      <c r="E1446" s="13"/>
      <c r="F1446" s="14"/>
      <c r="G1446" s="8" t="str">
        <f>IF(OR(B1446="",E1446=""),"",IF(E1446="No","Missed",IF(F1446="","",IF(F1446&lt;=Settings!$B$7,"On time","Late"))))</f>
        <v/>
      </c>
      <c r="H1446" s="15"/>
      <c r="I1446" s="16"/>
      <c r="J1446" s="16"/>
      <c r="K1446" s="17" t="str">
        <f>IF(J1446="","",ROUND(J1446*Settings!$B$8,2))</f>
        <v/>
      </c>
      <c r="L1446" s="16"/>
      <c r="M1446" s="8" t="str">
        <f t="shared" si="22"/>
        <v/>
      </c>
      <c r="N1446" s="9"/>
    </row>
    <row r="1447" spans="1:14" ht="15.75">
      <c r="A1447" s="11"/>
      <c r="B1447" s="9"/>
      <c r="C1447" s="12" t="str">
        <f>IF(B1447="","",IFERROR(INDEX('Cashier Roster'!$C$5:$C$64,MATCH(B1447,'Cashier Roster'!$B$5:$B$64,0)),"Not on roster"))</f>
        <v/>
      </c>
      <c r="D1447" s="12" t="str">
        <f>IF(B1447="","",IFERROR(INDEX('Cashier Roster'!$D$5:$D$64,MATCH(B1447,'Cashier Roster'!$B$5:$B$64,0)),""))</f>
        <v/>
      </c>
      <c r="E1447" s="13"/>
      <c r="F1447" s="14"/>
      <c r="G1447" s="8" t="str">
        <f>IF(OR(B1447="",E1447=""),"",IF(E1447="No","Missed",IF(F1447="","",IF(F1447&lt;=Settings!$B$7,"On time","Late"))))</f>
        <v/>
      </c>
      <c r="H1447" s="15"/>
      <c r="I1447" s="16"/>
      <c r="J1447" s="16"/>
      <c r="K1447" s="17" t="str">
        <f>IF(J1447="","",ROUND(J1447*Settings!$B$8,2))</f>
        <v/>
      </c>
      <c r="L1447" s="16"/>
      <c r="M1447" s="8" t="str">
        <f t="shared" si="22"/>
        <v/>
      </c>
      <c r="N1447" s="9"/>
    </row>
    <row r="1448" spans="1:14" ht="15.75">
      <c r="A1448" s="11"/>
      <c r="B1448" s="9"/>
      <c r="C1448" s="12" t="str">
        <f>IF(B1448="","",IFERROR(INDEX('Cashier Roster'!$C$5:$C$64,MATCH(B1448,'Cashier Roster'!$B$5:$B$64,0)),"Not on roster"))</f>
        <v/>
      </c>
      <c r="D1448" s="12" t="str">
        <f>IF(B1448="","",IFERROR(INDEX('Cashier Roster'!$D$5:$D$64,MATCH(B1448,'Cashier Roster'!$B$5:$B$64,0)),""))</f>
        <v/>
      </c>
      <c r="E1448" s="13"/>
      <c r="F1448" s="14"/>
      <c r="G1448" s="8" t="str">
        <f>IF(OR(B1448="",E1448=""),"",IF(E1448="No","Missed",IF(F1448="","",IF(F1448&lt;=Settings!$B$7,"On time","Late"))))</f>
        <v/>
      </c>
      <c r="H1448" s="15"/>
      <c r="I1448" s="16"/>
      <c r="J1448" s="16"/>
      <c r="K1448" s="17" t="str">
        <f>IF(J1448="","",ROUND(J1448*Settings!$B$8,2))</f>
        <v/>
      </c>
      <c r="L1448" s="16"/>
      <c r="M1448" s="8" t="str">
        <f t="shared" si="22"/>
        <v/>
      </c>
      <c r="N1448" s="9"/>
    </row>
    <row r="1449" spans="1:14" ht="15.75">
      <c r="A1449" s="11"/>
      <c r="B1449" s="9"/>
      <c r="C1449" s="12" t="str">
        <f>IF(B1449="","",IFERROR(INDEX('Cashier Roster'!$C$5:$C$64,MATCH(B1449,'Cashier Roster'!$B$5:$B$64,0)),"Not on roster"))</f>
        <v/>
      </c>
      <c r="D1449" s="12" t="str">
        <f>IF(B1449="","",IFERROR(INDEX('Cashier Roster'!$D$5:$D$64,MATCH(B1449,'Cashier Roster'!$B$5:$B$64,0)),""))</f>
        <v/>
      </c>
      <c r="E1449" s="13"/>
      <c r="F1449" s="14"/>
      <c r="G1449" s="8" t="str">
        <f>IF(OR(B1449="",E1449=""),"",IF(E1449="No","Missed",IF(F1449="","",IF(F1449&lt;=Settings!$B$7,"On time","Late"))))</f>
        <v/>
      </c>
      <c r="H1449" s="15"/>
      <c r="I1449" s="16"/>
      <c r="J1449" s="16"/>
      <c r="K1449" s="17" t="str">
        <f>IF(J1449="","",ROUND(J1449*Settings!$B$8,2))</f>
        <v/>
      </c>
      <c r="L1449" s="16"/>
      <c r="M1449" s="8" t="str">
        <f t="shared" si="22"/>
        <v/>
      </c>
      <c r="N1449" s="9"/>
    </row>
    <row r="1450" spans="1:14" ht="15.75">
      <c r="A1450" s="11"/>
      <c r="B1450" s="9"/>
      <c r="C1450" s="12" t="str">
        <f>IF(B1450="","",IFERROR(INDEX('Cashier Roster'!$C$5:$C$64,MATCH(B1450,'Cashier Roster'!$B$5:$B$64,0)),"Not on roster"))</f>
        <v/>
      </c>
      <c r="D1450" s="12" t="str">
        <f>IF(B1450="","",IFERROR(INDEX('Cashier Roster'!$D$5:$D$64,MATCH(B1450,'Cashier Roster'!$B$5:$B$64,0)),""))</f>
        <v/>
      </c>
      <c r="E1450" s="13"/>
      <c r="F1450" s="14"/>
      <c r="G1450" s="8" t="str">
        <f>IF(OR(B1450="",E1450=""),"",IF(E1450="No","Missed",IF(F1450="","",IF(F1450&lt;=Settings!$B$7,"On time","Late"))))</f>
        <v/>
      </c>
      <c r="H1450" s="15"/>
      <c r="I1450" s="16"/>
      <c r="J1450" s="16"/>
      <c r="K1450" s="17" t="str">
        <f>IF(J1450="","",ROUND(J1450*Settings!$B$8,2))</f>
        <v/>
      </c>
      <c r="L1450" s="16"/>
      <c r="M1450" s="8" t="str">
        <f t="shared" si="22"/>
        <v/>
      </c>
      <c r="N1450" s="9"/>
    </row>
    <row r="1451" spans="1:14" ht="15.75">
      <c r="A1451" s="11"/>
      <c r="B1451" s="9"/>
      <c r="C1451" s="12" t="str">
        <f>IF(B1451="","",IFERROR(INDEX('Cashier Roster'!$C$5:$C$64,MATCH(B1451,'Cashier Roster'!$B$5:$B$64,0)),"Not on roster"))</f>
        <v/>
      </c>
      <c r="D1451" s="12" t="str">
        <f>IF(B1451="","",IFERROR(INDEX('Cashier Roster'!$D$5:$D$64,MATCH(B1451,'Cashier Roster'!$B$5:$B$64,0)),""))</f>
        <v/>
      </c>
      <c r="E1451" s="13"/>
      <c r="F1451" s="14"/>
      <c r="G1451" s="8" t="str">
        <f>IF(OR(B1451="",E1451=""),"",IF(E1451="No","Missed",IF(F1451="","",IF(F1451&lt;=Settings!$B$7,"On time","Late"))))</f>
        <v/>
      </c>
      <c r="H1451" s="15"/>
      <c r="I1451" s="16"/>
      <c r="J1451" s="16"/>
      <c r="K1451" s="17" t="str">
        <f>IF(J1451="","",ROUND(J1451*Settings!$B$8,2))</f>
        <v/>
      </c>
      <c r="L1451" s="16"/>
      <c r="M1451" s="8" t="str">
        <f t="shared" si="22"/>
        <v/>
      </c>
      <c r="N1451" s="9"/>
    </row>
    <row r="1452" spans="1:14" ht="15.75">
      <c r="A1452" s="11"/>
      <c r="B1452" s="9"/>
      <c r="C1452" s="12" t="str">
        <f>IF(B1452="","",IFERROR(INDEX('Cashier Roster'!$C$5:$C$64,MATCH(B1452,'Cashier Roster'!$B$5:$B$64,0)),"Not on roster"))</f>
        <v/>
      </c>
      <c r="D1452" s="12" t="str">
        <f>IF(B1452="","",IFERROR(INDEX('Cashier Roster'!$D$5:$D$64,MATCH(B1452,'Cashier Roster'!$B$5:$B$64,0)),""))</f>
        <v/>
      </c>
      <c r="E1452" s="13"/>
      <c r="F1452" s="14"/>
      <c r="G1452" s="8" t="str">
        <f>IF(OR(B1452="",E1452=""),"",IF(E1452="No","Missed",IF(F1452="","",IF(F1452&lt;=Settings!$B$7,"On time","Late"))))</f>
        <v/>
      </c>
      <c r="H1452" s="15"/>
      <c r="I1452" s="16"/>
      <c r="J1452" s="16"/>
      <c r="K1452" s="17" t="str">
        <f>IF(J1452="","",ROUND(J1452*Settings!$B$8,2))</f>
        <v/>
      </c>
      <c r="L1452" s="16"/>
      <c r="M1452" s="8" t="str">
        <f t="shared" si="22"/>
        <v/>
      </c>
      <c r="N1452" s="9"/>
    </row>
    <row r="1453" spans="1:14" ht="15.75">
      <c r="A1453" s="11"/>
      <c r="B1453" s="9"/>
      <c r="C1453" s="12" t="str">
        <f>IF(B1453="","",IFERROR(INDEX('Cashier Roster'!$C$5:$C$64,MATCH(B1453,'Cashier Roster'!$B$5:$B$64,0)),"Not on roster"))</f>
        <v/>
      </c>
      <c r="D1453" s="12" t="str">
        <f>IF(B1453="","",IFERROR(INDEX('Cashier Roster'!$D$5:$D$64,MATCH(B1453,'Cashier Roster'!$B$5:$B$64,0)),""))</f>
        <v/>
      </c>
      <c r="E1453" s="13"/>
      <c r="F1453" s="14"/>
      <c r="G1453" s="8" t="str">
        <f>IF(OR(B1453="",E1453=""),"",IF(E1453="No","Missed",IF(F1453="","",IF(F1453&lt;=Settings!$B$7,"On time","Late"))))</f>
        <v/>
      </c>
      <c r="H1453" s="15"/>
      <c r="I1453" s="16"/>
      <c r="J1453" s="16"/>
      <c r="K1453" s="17" t="str">
        <f>IF(J1453="","",ROUND(J1453*Settings!$B$8,2))</f>
        <v/>
      </c>
      <c r="L1453" s="16"/>
      <c r="M1453" s="8" t="str">
        <f t="shared" si="22"/>
        <v/>
      </c>
      <c r="N1453" s="9"/>
    </row>
    <row r="1454" spans="1:14" ht="15.75">
      <c r="A1454" s="11"/>
      <c r="B1454" s="9"/>
      <c r="C1454" s="12" t="str">
        <f>IF(B1454="","",IFERROR(INDEX('Cashier Roster'!$C$5:$C$64,MATCH(B1454,'Cashier Roster'!$B$5:$B$64,0)),"Not on roster"))</f>
        <v/>
      </c>
      <c r="D1454" s="12" t="str">
        <f>IF(B1454="","",IFERROR(INDEX('Cashier Roster'!$D$5:$D$64,MATCH(B1454,'Cashier Roster'!$B$5:$B$64,0)),""))</f>
        <v/>
      </c>
      <c r="E1454" s="13"/>
      <c r="F1454" s="14"/>
      <c r="G1454" s="8" t="str">
        <f>IF(OR(B1454="",E1454=""),"",IF(E1454="No","Missed",IF(F1454="","",IF(F1454&lt;=Settings!$B$7,"On time","Late"))))</f>
        <v/>
      </c>
      <c r="H1454" s="15"/>
      <c r="I1454" s="16"/>
      <c r="J1454" s="16"/>
      <c r="K1454" s="17" t="str">
        <f>IF(J1454="","",ROUND(J1454*Settings!$B$8,2))</f>
        <v/>
      </c>
      <c r="L1454" s="16"/>
      <c r="M1454" s="8" t="str">
        <f t="shared" si="22"/>
        <v/>
      </c>
      <c r="N1454" s="9"/>
    </row>
    <row r="1455" spans="1:14" ht="15.75">
      <c r="A1455" s="11"/>
      <c r="B1455" s="9"/>
      <c r="C1455" s="12" t="str">
        <f>IF(B1455="","",IFERROR(INDEX('Cashier Roster'!$C$5:$C$64,MATCH(B1455,'Cashier Roster'!$B$5:$B$64,0)),"Not on roster"))</f>
        <v/>
      </c>
      <c r="D1455" s="12" t="str">
        <f>IF(B1455="","",IFERROR(INDEX('Cashier Roster'!$D$5:$D$64,MATCH(B1455,'Cashier Roster'!$B$5:$B$64,0)),""))</f>
        <v/>
      </c>
      <c r="E1455" s="13"/>
      <c r="F1455" s="14"/>
      <c r="G1455" s="8" t="str">
        <f>IF(OR(B1455="",E1455=""),"",IF(E1455="No","Missed",IF(F1455="","",IF(F1455&lt;=Settings!$B$7,"On time","Late"))))</f>
        <v/>
      </c>
      <c r="H1455" s="15"/>
      <c r="I1455" s="16"/>
      <c r="J1455" s="16"/>
      <c r="K1455" s="17" t="str">
        <f>IF(J1455="","",ROUND(J1455*Settings!$B$8,2))</f>
        <v/>
      </c>
      <c r="L1455" s="16"/>
      <c r="M1455" s="8" t="str">
        <f t="shared" si="22"/>
        <v/>
      </c>
      <c r="N1455" s="9"/>
    </row>
    <row r="1456" spans="1:14" ht="15.75">
      <c r="A1456" s="11"/>
      <c r="B1456" s="9"/>
      <c r="C1456" s="12" t="str">
        <f>IF(B1456="","",IFERROR(INDEX('Cashier Roster'!$C$5:$C$64,MATCH(B1456,'Cashier Roster'!$B$5:$B$64,0)),"Not on roster"))</f>
        <v/>
      </c>
      <c r="D1456" s="12" t="str">
        <f>IF(B1456="","",IFERROR(INDEX('Cashier Roster'!$D$5:$D$64,MATCH(B1456,'Cashier Roster'!$B$5:$B$64,0)),""))</f>
        <v/>
      </c>
      <c r="E1456" s="13"/>
      <c r="F1456" s="14"/>
      <c r="G1456" s="8" t="str">
        <f>IF(OR(B1456="",E1456=""),"",IF(E1456="No","Missed",IF(F1456="","",IF(F1456&lt;=Settings!$B$7,"On time","Late"))))</f>
        <v/>
      </c>
      <c r="H1456" s="15"/>
      <c r="I1456" s="16"/>
      <c r="J1456" s="16"/>
      <c r="K1456" s="17" t="str">
        <f>IF(J1456="","",ROUND(J1456*Settings!$B$8,2))</f>
        <v/>
      </c>
      <c r="L1456" s="16"/>
      <c r="M1456" s="8" t="str">
        <f t="shared" si="22"/>
        <v/>
      </c>
      <c r="N1456" s="9"/>
    </row>
    <row r="1457" spans="1:14" ht="15.75">
      <c r="A1457" s="11"/>
      <c r="B1457" s="9"/>
      <c r="C1457" s="12" t="str">
        <f>IF(B1457="","",IFERROR(INDEX('Cashier Roster'!$C$5:$C$64,MATCH(B1457,'Cashier Roster'!$B$5:$B$64,0)),"Not on roster"))</f>
        <v/>
      </c>
      <c r="D1457" s="12" t="str">
        <f>IF(B1457="","",IFERROR(INDEX('Cashier Roster'!$D$5:$D$64,MATCH(B1457,'Cashier Roster'!$B$5:$B$64,0)),""))</f>
        <v/>
      </c>
      <c r="E1457" s="13"/>
      <c r="F1457" s="14"/>
      <c r="G1457" s="8" t="str">
        <f>IF(OR(B1457="",E1457=""),"",IF(E1457="No","Missed",IF(F1457="","",IF(F1457&lt;=Settings!$B$7,"On time","Late"))))</f>
        <v/>
      </c>
      <c r="H1457" s="15"/>
      <c r="I1457" s="16"/>
      <c r="J1457" s="16"/>
      <c r="K1457" s="17" t="str">
        <f>IF(J1457="","",ROUND(J1457*Settings!$B$8,2))</f>
        <v/>
      </c>
      <c r="L1457" s="16"/>
      <c r="M1457" s="8" t="str">
        <f t="shared" si="22"/>
        <v/>
      </c>
      <c r="N1457" s="9"/>
    </row>
    <row r="1458" spans="1:14" ht="15.75">
      <c r="A1458" s="11"/>
      <c r="B1458" s="9"/>
      <c r="C1458" s="12" t="str">
        <f>IF(B1458="","",IFERROR(INDEX('Cashier Roster'!$C$5:$C$64,MATCH(B1458,'Cashier Roster'!$B$5:$B$64,0)),"Not on roster"))</f>
        <v/>
      </c>
      <c r="D1458" s="12" t="str">
        <f>IF(B1458="","",IFERROR(INDEX('Cashier Roster'!$D$5:$D$64,MATCH(B1458,'Cashier Roster'!$B$5:$B$64,0)),""))</f>
        <v/>
      </c>
      <c r="E1458" s="13"/>
      <c r="F1458" s="14"/>
      <c r="G1458" s="8" t="str">
        <f>IF(OR(B1458="",E1458=""),"",IF(E1458="No","Missed",IF(F1458="","",IF(F1458&lt;=Settings!$B$7,"On time","Late"))))</f>
        <v/>
      </c>
      <c r="H1458" s="15"/>
      <c r="I1458" s="16"/>
      <c r="J1458" s="16"/>
      <c r="K1458" s="17" t="str">
        <f>IF(J1458="","",ROUND(J1458*Settings!$B$8,2))</f>
        <v/>
      </c>
      <c r="L1458" s="16"/>
      <c r="M1458" s="8" t="str">
        <f t="shared" si="22"/>
        <v/>
      </c>
      <c r="N1458" s="9"/>
    </row>
    <row r="1459" spans="1:14" ht="15.75">
      <c r="A1459" s="11"/>
      <c r="B1459" s="9"/>
      <c r="C1459" s="12" t="str">
        <f>IF(B1459="","",IFERROR(INDEX('Cashier Roster'!$C$5:$C$64,MATCH(B1459,'Cashier Roster'!$B$5:$B$64,0)),"Not on roster"))</f>
        <v/>
      </c>
      <c r="D1459" s="12" t="str">
        <f>IF(B1459="","",IFERROR(INDEX('Cashier Roster'!$D$5:$D$64,MATCH(B1459,'Cashier Roster'!$B$5:$B$64,0)),""))</f>
        <v/>
      </c>
      <c r="E1459" s="13"/>
      <c r="F1459" s="14"/>
      <c r="G1459" s="8" t="str">
        <f>IF(OR(B1459="",E1459=""),"",IF(E1459="No","Missed",IF(F1459="","",IF(F1459&lt;=Settings!$B$7,"On time","Late"))))</f>
        <v/>
      </c>
      <c r="H1459" s="15"/>
      <c r="I1459" s="16"/>
      <c r="J1459" s="16"/>
      <c r="K1459" s="17" t="str">
        <f>IF(J1459="","",ROUND(J1459*Settings!$B$8,2))</f>
        <v/>
      </c>
      <c r="L1459" s="16"/>
      <c r="M1459" s="8" t="str">
        <f t="shared" si="22"/>
        <v/>
      </c>
      <c r="N1459" s="9"/>
    </row>
    <row r="1460" spans="1:14" ht="15.75">
      <c r="A1460" s="11"/>
      <c r="B1460" s="9"/>
      <c r="C1460" s="12" t="str">
        <f>IF(B1460="","",IFERROR(INDEX('Cashier Roster'!$C$5:$C$64,MATCH(B1460,'Cashier Roster'!$B$5:$B$64,0)),"Not on roster"))</f>
        <v/>
      </c>
      <c r="D1460" s="12" t="str">
        <f>IF(B1460="","",IFERROR(INDEX('Cashier Roster'!$D$5:$D$64,MATCH(B1460,'Cashier Roster'!$B$5:$B$64,0)),""))</f>
        <v/>
      </c>
      <c r="E1460" s="13"/>
      <c r="F1460" s="14"/>
      <c r="G1460" s="8" t="str">
        <f>IF(OR(B1460="",E1460=""),"",IF(E1460="No","Missed",IF(F1460="","",IF(F1460&lt;=Settings!$B$7,"On time","Late"))))</f>
        <v/>
      </c>
      <c r="H1460" s="15"/>
      <c r="I1460" s="16"/>
      <c r="J1460" s="16"/>
      <c r="K1460" s="17" t="str">
        <f>IF(J1460="","",ROUND(J1460*Settings!$B$8,2))</f>
        <v/>
      </c>
      <c r="L1460" s="16"/>
      <c r="M1460" s="8" t="str">
        <f t="shared" si="22"/>
        <v/>
      </c>
      <c r="N1460" s="9"/>
    </row>
    <row r="1461" spans="1:14" ht="15.75">
      <c r="A1461" s="11"/>
      <c r="B1461" s="9"/>
      <c r="C1461" s="12" t="str">
        <f>IF(B1461="","",IFERROR(INDEX('Cashier Roster'!$C$5:$C$64,MATCH(B1461,'Cashier Roster'!$B$5:$B$64,0)),"Not on roster"))</f>
        <v/>
      </c>
      <c r="D1461" s="12" t="str">
        <f>IF(B1461="","",IFERROR(INDEX('Cashier Roster'!$D$5:$D$64,MATCH(B1461,'Cashier Roster'!$B$5:$B$64,0)),""))</f>
        <v/>
      </c>
      <c r="E1461" s="13"/>
      <c r="F1461" s="14"/>
      <c r="G1461" s="8" t="str">
        <f>IF(OR(B1461="",E1461=""),"",IF(E1461="No","Missed",IF(F1461="","",IF(F1461&lt;=Settings!$B$7,"On time","Late"))))</f>
        <v/>
      </c>
      <c r="H1461" s="15"/>
      <c r="I1461" s="16"/>
      <c r="J1461" s="16"/>
      <c r="K1461" s="17" t="str">
        <f>IF(J1461="","",ROUND(J1461*Settings!$B$8,2))</f>
        <v/>
      </c>
      <c r="L1461" s="16"/>
      <c r="M1461" s="8" t="str">
        <f t="shared" si="22"/>
        <v/>
      </c>
      <c r="N1461" s="9"/>
    </row>
    <row r="1462" spans="1:14" ht="15.75">
      <c r="A1462" s="11"/>
      <c r="B1462" s="9"/>
      <c r="C1462" s="12" t="str">
        <f>IF(B1462="","",IFERROR(INDEX('Cashier Roster'!$C$5:$C$64,MATCH(B1462,'Cashier Roster'!$B$5:$B$64,0)),"Not on roster"))</f>
        <v/>
      </c>
      <c r="D1462" s="12" t="str">
        <f>IF(B1462="","",IFERROR(INDEX('Cashier Roster'!$D$5:$D$64,MATCH(B1462,'Cashier Roster'!$B$5:$B$64,0)),""))</f>
        <v/>
      </c>
      <c r="E1462" s="13"/>
      <c r="F1462" s="14"/>
      <c r="G1462" s="8" t="str">
        <f>IF(OR(B1462="",E1462=""),"",IF(E1462="No","Missed",IF(F1462="","",IF(F1462&lt;=Settings!$B$7,"On time","Late"))))</f>
        <v/>
      </c>
      <c r="H1462" s="15"/>
      <c r="I1462" s="16"/>
      <c r="J1462" s="16"/>
      <c r="K1462" s="17" t="str">
        <f>IF(J1462="","",ROUND(J1462*Settings!$B$8,2))</f>
        <v/>
      </c>
      <c r="L1462" s="16"/>
      <c r="M1462" s="8" t="str">
        <f t="shared" si="22"/>
        <v/>
      </c>
      <c r="N1462" s="9"/>
    </row>
    <row r="1463" spans="1:14" ht="15.75">
      <c r="A1463" s="11"/>
      <c r="B1463" s="9"/>
      <c r="C1463" s="12" t="str">
        <f>IF(B1463="","",IFERROR(INDEX('Cashier Roster'!$C$5:$C$64,MATCH(B1463,'Cashier Roster'!$B$5:$B$64,0)),"Not on roster"))</f>
        <v/>
      </c>
      <c r="D1463" s="12" t="str">
        <f>IF(B1463="","",IFERROR(INDEX('Cashier Roster'!$D$5:$D$64,MATCH(B1463,'Cashier Roster'!$B$5:$B$64,0)),""))</f>
        <v/>
      </c>
      <c r="E1463" s="13"/>
      <c r="F1463" s="14"/>
      <c r="G1463" s="8" t="str">
        <f>IF(OR(B1463="",E1463=""),"",IF(E1463="No","Missed",IF(F1463="","",IF(F1463&lt;=Settings!$B$7,"On time","Late"))))</f>
        <v/>
      </c>
      <c r="H1463" s="15"/>
      <c r="I1463" s="16"/>
      <c r="J1463" s="16"/>
      <c r="K1463" s="17" t="str">
        <f>IF(J1463="","",ROUND(J1463*Settings!$B$8,2))</f>
        <v/>
      </c>
      <c r="L1463" s="16"/>
      <c r="M1463" s="8" t="str">
        <f t="shared" si="22"/>
        <v/>
      </c>
      <c r="N1463" s="9"/>
    </row>
    <row r="1464" spans="1:14" ht="15.75">
      <c r="A1464" s="11"/>
      <c r="B1464" s="9"/>
      <c r="C1464" s="12" t="str">
        <f>IF(B1464="","",IFERROR(INDEX('Cashier Roster'!$C$5:$C$64,MATCH(B1464,'Cashier Roster'!$B$5:$B$64,0)),"Not on roster"))</f>
        <v/>
      </c>
      <c r="D1464" s="12" t="str">
        <f>IF(B1464="","",IFERROR(INDEX('Cashier Roster'!$D$5:$D$64,MATCH(B1464,'Cashier Roster'!$B$5:$B$64,0)),""))</f>
        <v/>
      </c>
      <c r="E1464" s="13"/>
      <c r="F1464" s="14"/>
      <c r="G1464" s="8" t="str">
        <f>IF(OR(B1464="",E1464=""),"",IF(E1464="No","Missed",IF(F1464="","",IF(F1464&lt;=Settings!$B$7,"On time","Late"))))</f>
        <v/>
      </c>
      <c r="H1464" s="15"/>
      <c r="I1464" s="16"/>
      <c r="J1464" s="16"/>
      <c r="K1464" s="17" t="str">
        <f>IF(J1464="","",ROUND(J1464*Settings!$B$8,2))</f>
        <v/>
      </c>
      <c r="L1464" s="16"/>
      <c r="M1464" s="8" t="str">
        <f t="shared" si="22"/>
        <v/>
      </c>
      <c r="N1464" s="9"/>
    </row>
    <row r="1465" spans="1:14" ht="15.75">
      <c r="A1465" s="11"/>
      <c r="B1465" s="9"/>
      <c r="C1465" s="12" t="str">
        <f>IF(B1465="","",IFERROR(INDEX('Cashier Roster'!$C$5:$C$64,MATCH(B1465,'Cashier Roster'!$B$5:$B$64,0)),"Not on roster"))</f>
        <v/>
      </c>
      <c r="D1465" s="12" t="str">
        <f>IF(B1465="","",IFERROR(INDEX('Cashier Roster'!$D$5:$D$64,MATCH(B1465,'Cashier Roster'!$B$5:$B$64,0)),""))</f>
        <v/>
      </c>
      <c r="E1465" s="13"/>
      <c r="F1465" s="14"/>
      <c r="G1465" s="8" t="str">
        <f>IF(OR(B1465="",E1465=""),"",IF(E1465="No","Missed",IF(F1465="","",IF(F1465&lt;=Settings!$B$7,"On time","Late"))))</f>
        <v/>
      </c>
      <c r="H1465" s="15"/>
      <c r="I1465" s="16"/>
      <c r="J1465" s="16"/>
      <c r="K1465" s="17" t="str">
        <f>IF(J1465="","",ROUND(J1465*Settings!$B$8,2))</f>
        <v/>
      </c>
      <c r="L1465" s="16"/>
      <c r="M1465" s="8" t="str">
        <f t="shared" si="22"/>
        <v/>
      </c>
      <c r="N1465" s="9"/>
    </row>
    <row r="1466" spans="1:14" ht="15.75">
      <c r="A1466" s="11"/>
      <c r="B1466" s="9"/>
      <c r="C1466" s="12" t="str">
        <f>IF(B1466="","",IFERROR(INDEX('Cashier Roster'!$C$5:$C$64,MATCH(B1466,'Cashier Roster'!$B$5:$B$64,0)),"Not on roster"))</f>
        <v/>
      </c>
      <c r="D1466" s="12" t="str">
        <f>IF(B1466="","",IFERROR(INDEX('Cashier Roster'!$D$5:$D$64,MATCH(B1466,'Cashier Roster'!$B$5:$B$64,0)),""))</f>
        <v/>
      </c>
      <c r="E1466" s="13"/>
      <c r="F1466" s="14"/>
      <c r="G1466" s="8" t="str">
        <f>IF(OR(B1466="",E1466=""),"",IF(E1466="No","Missed",IF(F1466="","",IF(F1466&lt;=Settings!$B$7,"On time","Late"))))</f>
        <v/>
      </c>
      <c r="H1466" s="15"/>
      <c r="I1466" s="16"/>
      <c r="J1466" s="16"/>
      <c r="K1466" s="17" t="str">
        <f>IF(J1466="","",ROUND(J1466*Settings!$B$8,2))</f>
        <v/>
      </c>
      <c r="L1466" s="16"/>
      <c r="M1466" s="8" t="str">
        <f t="shared" si="22"/>
        <v/>
      </c>
      <c r="N1466" s="9"/>
    </row>
    <row r="1467" spans="1:14" ht="15.75">
      <c r="A1467" s="11"/>
      <c r="B1467" s="9"/>
      <c r="C1467" s="12" t="str">
        <f>IF(B1467="","",IFERROR(INDEX('Cashier Roster'!$C$5:$C$64,MATCH(B1467,'Cashier Roster'!$B$5:$B$64,0)),"Not on roster"))</f>
        <v/>
      </c>
      <c r="D1467" s="12" t="str">
        <f>IF(B1467="","",IFERROR(INDEX('Cashier Roster'!$D$5:$D$64,MATCH(B1467,'Cashier Roster'!$B$5:$B$64,0)),""))</f>
        <v/>
      </c>
      <c r="E1467" s="13"/>
      <c r="F1467" s="14"/>
      <c r="G1467" s="8" t="str">
        <f>IF(OR(B1467="",E1467=""),"",IF(E1467="No","Missed",IF(F1467="","",IF(F1467&lt;=Settings!$B$7,"On time","Late"))))</f>
        <v/>
      </c>
      <c r="H1467" s="15"/>
      <c r="I1467" s="16"/>
      <c r="J1467" s="16"/>
      <c r="K1467" s="17" t="str">
        <f>IF(J1467="","",ROUND(J1467*Settings!$B$8,2))</f>
        <v/>
      </c>
      <c r="L1467" s="16"/>
      <c r="M1467" s="8" t="str">
        <f t="shared" si="22"/>
        <v/>
      </c>
      <c r="N1467" s="9"/>
    </row>
    <row r="1468" spans="1:14" ht="15.75">
      <c r="A1468" s="11"/>
      <c r="B1468" s="9"/>
      <c r="C1468" s="12" t="str">
        <f>IF(B1468="","",IFERROR(INDEX('Cashier Roster'!$C$5:$C$64,MATCH(B1468,'Cashier Roster'!$B$5:$B$64,0)),"Not on roster"))</f>
        <v/>
      </c>
      <c r="D1468" s="12" t="str">
        <f>IF(B1468="","",IFERROR(INDEX('Cashier Roster'!$D$5:$D$64,MATCH(B1468,'Cashier Roster'!$B$5:$B$64,0)),""))</f>
        <v/>
      </c>
      <c r="E1468" s="13"/>
      <c r="F1468" s="14"/>
      <c r="G1468" s="8" t="str">
        <f>IF(OR(B1468="",E1468=""),"",IF(E1468="No","Missed",IF(F1468="","",IF(F1468&lt;=Settings!$B$7,"On time","Late"))))</f>
        <v/>
      </c>
      <c r="H1468" s="15"/>
      <c r="I1468" s="16"/>
      <c r="J1468" s="16"/>
      <c r="K1468" s="17" t="str">
        <f>IF(J1468="","",ROUND(J1468*Settings!$B$8,2))</f>
        <v/>
      </c>
      <c r="L1468" s="16"/>
      <c r="M1468" s="8" t="str">
        <f t="shared" si="22"/>
        <v/>
      </c>
      <c r="N1468" s="9"/>
    </row>
    <row r="1469" spans="1:14" ht="15.75">
      <c r="A1469" s="11"/>
      <c r="B1469" s="9"/>
      <c r="C1469" s="12" t="str">
        <f>IF(B1469="","",IFERROR(INDEX('Cashier Roster'!$C$5:$C$64,MATCH(B1469,'Cashier Roster'!$B$5:$B$64,0)),"Not on roster"))</f>
        <v/>
      </c>
      <c r="D1469" s="12" t="str">
        <f>IF(B1469="","",IFERROR(INDEX('Cashier Roster'!$D$5:$D$64,MATCH(B1469,'Cashier Roster'!$B$5:$B$64,0)),""))</f>
        <v/>
      </c>
      <c r="E1469" s="13"/>
      <c r="F1469" s="14"/>
      <c r="G1469" s="8" t="str">
        <f>IF(OR(B1469="",E1469=""),"",IF(E1469="No","Missed",IF(F1469="","",IF(F1469&lt;=Settings!$B$7,"On time","Late"))))</f>
        <v/>
      </c>
      <c r="H1469" s="15"/>
      <c r="I1469" s="16"/>
      <c r="J1469" s="16"/>
      <c r="K1469" s="17" t="str">
        <f>IF(J1469="","",ROUND(J1469*Settings!$B$8,2))</f>
        <v/>
      </c>
      <c r="L1469" s="16"/>
      <c r="M1469" s="8" t="str">
        <f t="shared" si="22"/>
        <v/>
      </c>
      <c r="N1469" s="9"/>
    </row>
    <row r="1470" spans="1:14" ht="15.75">
      <c r="A1470" s="11"/>
      <c r="B1470" s="9"/>
      <c r="C1470" s="12" t="str">
        <f>IF(B1470="","",IFERROR(INDEX('Cashier Roster'!$C$5:$C$64,MATCH(B1470,'Cashier Roster'!$B$5:$B$64,0)),"Not on roster"))</f>
        <v/>
      </c>
      <c r="D1470" s="12" t="str">
        <f>IF(B1470="","",IFERROR(INDEX('Cashier Roster'!$D$5:$D$64,MATCH(B1470,'Cashier Roster'!$B$5:$B$64,0)),""))</f>
        <v/>
      </c>
      <c r="E1470" s="13"/>
      <c r="F1470" s="14"/>
      <c r="G1470" s="8" t="str">
        <f>IF(OR(B1470="",E1470=""),"",IF(E1470="No","Missed",IF(F1470="","",IF(F1470&lt;=Settings!$B$7,"On time","Late"))))</f>
        <v/>
      </c>
      <c r="H1470" s="15"/>
      <c r="I1470" s="16"/>
      <c r="J1470" s="16"/>
      <c r="K1470" s="17" t="str">
        <f>IF(J1470="","",ROUND(J1470*Settings!$B$8,2))</f>
        <v/>
      </c>
      <c r="L1470" s="16"/>
      <c r="M1470" s="8" t="str">
        <f t="shared" si="22"/>
        <v/>
      </c>
      <c r="N1470" s="9"/>
    </row>
    <row r="1471" spans="1:14" ht="15.75">
      <c r="A1471" s="11"/>
      <c r="B1471" s="9"/>
      <c r="C1471" s="12" t="str">
        <f>IF(B1471="","",IFERROR(INDEX('Cashier Roster'!$C$5:$C$64,MATCH(B1471,'Cashier Roster'!$B$5:$B$64,0)),"Not on roster"))</f>
        <v/>
      </c>
      <c r="D1471" s="12" t="str">
        <f>IF(B1471="","",IFERROR(INDEX('Cashier Roster'!$D$5:$D$64,MATCH(B1471,'Cashier Roster'!$B$5:$B$64,0)),""))</f>
        <v/>
      </c>
      <c r="E1471" s="13"/>
      <c r="F1471" s="14"/>
      <c r="G1471" s="8" t="str">
        <f>IF(OR(B1471="",E1471=""),"",IF(E1471="No","Missed",IF(F1471="","",IF(F1471&lt;=Settings!$B$7,"On time","Late"))))</f>
        <v/>
      </c>
      <c r="H1471" s="15"/>
      <c r="I1471" s="16"/>
      <c r="J1471" s="16"/>
      <c r="K1471" s="17" t="str">
        <f>IF(J1471="","",ROUND(J1471*Settings!$B$8,2))</f>
        <v/>
      </c>
      <c r="L1471" s="16"/>
      <c r="M1471" s="8" t="str">
        <f t="shared" si="22"/>
        <v/>
      </c>
      <c r="N1471" s="9"/>
    </row>
    <row r="1472" spans="1:14" ht="15.75">
      <c r="A1472" s="11"/>
      <c r="B1472" s="9"/>
      <c r="C1472" s="12" t="str">
        <f>IF(B1472="","",IFERROR(INDEX('Cashier Roster'!$C$5:$C$64,MATCH(B1472,'Cashier Roster'!$B$5:$B$64,0)),"Not on roster"))</f>
        <v/>
      </c>
      <c r="D1472" s="12" t="str">
        <f>IF(B1472="","",IFERROR(INDEX('Cashier Roster'!$D$5:$D$64,MATCH(B1472,'Cashier Roster'!$B$5:$B$64,0)),""))</f>
        <v/>
      </c>
      <c r="E1472" s="13"/>
      <c r="F1472" s="14"/>
      <c r="G1472" s="8" t="str">
        <f>IF(OR(B1472="",E1472=""),"",IF(E1472="No","Missed",IF(F1472="","",IF(F1472&lt;=Settings!$B$7,"On time","Late"))))</f>
        <v/>
      </c>
      <c r="H1472" s="15"/>
      <c r="I1472" s="16"/>
      <c r="J1472" s="16"/>
      <c r="K1472" s="17" t="str">
        <f>IF(J1472="","",ROUND(J1472*Settings!$B$8,2))</f>
        <v/>
      </c>
      <c r="L1472" s="16"/>
      <c r="M1472" s="8" t="str">
        <f t="shared" si="22"/>
        <v/>
      </c>
      <c r="N1472" s="9"/>
    </row>
    <row r="1473" spans="1:14" ht="15.75">
      <c r="A1473" s="11"/>
      <c r="B1473" s="9"/>
      <c r="C1473" s="12" t="str">
        <f>IF(B1473="","",IFERROR(INDEX('Cashier Roster'!$C$5:$C$64,MATCH(B1473,'Cashier Roster'!$B$5:$B$64,0)),"Not on roster"))</f>
        <v/>
      </c>
      <c r="D1473" s="12" t="str">
        <f>IF(B1473="","",IFERROR(INDEX('Cashier Roster'!$D$5:$D$64,MATCH(B1473,'Cashier Roster'!$B$5:$B$64,0)),""))</f>
        <v/>
      </c>
      <c r="E1473" s="13"/>
      <c r="F1473" s="14"/>
      <c r="G1473" s="8" t="str">
        <f>IF(OR(B1473="",E1473=""),"",IF(E1473="No","Missed",IF(F1473="","",IF(F1473&lt;=Settings!$B$7,"On time","Late"))))</f>
        <v/>
      </c>
      <c r="H1473" s="15"/>
      <c r="I1473" s="16"/>
      <c r="J1473" s="16"/>
      <c r="K1473" s="17" t="str">
        <f>IF(J1473="","",ROUND(J1473*Settings!$B$8,2))</f>
        <v/>
      </c>
      <c r="L1473" s="16"/>
      <c r="M1473" s="8" t="str">
        <f t="shared" si="22"/>
        <v/>
      </c>
      <c r="N1473" s="9"/>
    </row>
    <row r="1474" spans="1:14" ht="15.75">
      <c r="A1474" s="11"/>
      <c r="B1474" s="9"/>
      <c r="C1474" s="12" t="str">
        <f>IF(B1474="","",IFERROR(INDEX('Cashier Roster'!$C$5:$C$64,MATCH(B1474,'Cashier Roster'!$B$5:$B$64,0)),"Not on roster"))</f>
        <v/>
      </c>
      <c r="D1474" s="12" t="str">
        <f>IF(B1474="","",IFERROR(INDEX('Cashier Roster'!$D$5:$D$64,MATCH(B1474,'Cashier Roster'!$B$5:$B$64,0)),""))</f>
        <v/>
      </c>
      <c r="E1474" s="13"/>
      <c r="F1474" s="14"/>
      <c r="G1474" s="8" t="str">
        <f>IF(OR(B1474="",E1474=""),"",IF(E1474="No","Missed",IF(F1474="","",IF(F1474&lt;=Settings!$B$7,"On time","Late"))))</f>
        <v/>
      </c>
      <c r="H1474" s="15"/>
      <c r="I1474" s="16"/>
      <c r="J1474" s="16"/>
      <c r="K1474" s="17" t="str">
        <f>IF(J1474="","",ROUND(J1474*Settings!$B$8,2))</f>
        <v/>
      </c>
      <c r="L1474" s="16"/>
      <c r="M1474" s="8" t="str">
        <f t="shared" si="22"/>
        <v/>
      </c>
      <c r="N1474" s="9"/>
    </row>
    <row r="1475" spans="1:14" ht="15.75">
      <c r="A1475" s="11"/>
      <c r="B1475" s="9"/>
      <c r="C1475" s="12" t="str">
        <f>IF(B1475="","",IFERROR(INDEX('Cashier Roster'!$C$5:$C$64,MATCH(B1475,'Cashier Roster'!$B$5:$B$64,0)),"Not on roster"))</f>
        <v/>
      </c>
      <c r="D1475" s="12" t="str">
        <f>IF(B1475="","",IFERROR(INDEX('Cashier Roster'!$D$5:$D$64,MATCH(B1475,'Cashier Roster'!$B$5:$B$64,0)),""))</f>
        <v/>
      </c>
      <c r="E1475" s="13"/>
      <c r="F1475" s="14"/>
      <c r="G1475" s="8" t="str">
        <f>IF(OR(B1475="",E1475=""),"",IF(E1475="No","Missed",IF(F1475="","",IF(F1475&lt;=Settings!$B$7,"On time","Late"))))</f>
        <v/>
      </c>
      <c r="H1475" s="15"/>
      <c r="I1475" s="16"/>
      <c r="J1475" s="16"/>
      <c r="K1475" s="17" t="str">
        <f>IF(J1475="","",ROUND(J1475*Settings!$B$8,2))</f>
        <v/>
      </c>
      <c r="L1475" s="16"/>
      <c r="M1475" s="8" t="str">
        <f t="shared" si="22"/>
        <v/>
      </c>
      <c r="N1475" s="9"/>
    </row>
    <row r="1476" spans="1:14" ht="15.75">
      <c r="A1476" s="11"/>
      <c r="B1476" s="9"/>
      <c r="C1476" s="12" t="str">
        <f>IF(B1476="","",IFERROR(INDEX('Cashier Roster'!$C$5:$C$64,MATCH(B1476,'Cashier Roster'!$B$5:$B$64,0)),"Not on roster"))</f>
        <v/>
      </c>
      <c r="D1476" s="12" t="str">
        <f>IF(B1476="","",IFERROR(INDEX('Cashier Roster'!$D$5:$D$64,MATCH(B1476,'Cashier Roster'!$B$5:$B$64,0)),""))</f>
        <v/>
      </c>
      <c r="E1476" s="13"/>
      <c r="F1476" s="14"/>
      <c r="G1476" s="8" t="str">
        <f>IF(OR(B1476="",E1476=""),"",IF(E1476="No","Missed",IF(F1476="","",IF(F1476&lt;=Settings!$B$7,"On time","Late"))))</f>
        <v/>
      </c>
      <c r="H1476" s="15"/>
      <c r="I1476" s="16"/>
      <c r="J1476" s="16"/>
      <c r="K1476" s="17" t="str">
        <f>IF(J1476="","",ROUND(J1476*Settings!$B$8,2))</f>
        <v/>
      </c>
      <c r="L1476" s="16"/>
      <c r="M1476" s="8" t="str">
        <f t="shared" si="22"/>
        <v/>
      </c>
      <c r="N1476" s="9"/>
    </row>
    <row r="1477" spans="1:14" ht="15.75">
      <c r="A1477" s="11"/>
      <c r="B1477" s="9"/>
      <c r="C1477" s="12" t="str">
        <f>IF(B1477="","",IFERROR(INDEX('Cashier Roster'!$C$5:$C$64,MATCH(B1477,'Cashier Roster'!$B$5:$B$64,0)),"Not on roster"))</f>
        <v/>
      </c>
      <c r="D1477" s="12" t="str">
        <f>IF(B1477="","",IFERROR(INDEX('Cashier Roster'!$D$5:$D$64,MATCH(B1477,'Cashier Roster'!$B$5:$B$64,0)),""))</f>
        <v/>
      </c>
      <c r="E1477" s="13"/>
      <c r="F1477" s="14"/>
      <c r="G1477" s="8" t="str">
        <f>IF(OR(B1477="",E1477=""),"",IF(E1477="No","Missed",IF(F1477="","",IF(F1477&lt;=Settings!$B$7,"On time","Late"))))</f>
        <v/>
      </c>
      <c r="H1477" s="15"/>
      <c r="I1477" s="16"/>
      <c r="J1477" s="16"/>
      <c r="K1477" s="17" t="str">
        <f>IF(J1477="","",ROUND(J1477*Settings!$B$8,2))</f>
        <v/>
      </c>
      <c r="L1477" s="16"/>
      <c r="M1477" s="8" t="str">
        <f t="shared" ref="M1477:M1540" si="23">IF(L1477="","",IF(L1477&lt;=0,"Yes","No"))</f>
        <v/>
      </c>
      <c r="N1477" s="9"/>
    </row>
    <row r="1478" spans="1:14" ht="15.75">
      <c r="A1478" s="11"/>
      <c r="B1478" s="9"/>
      <c r="C1478" s="12" t="str">
        <f>IF(B1478="","",IFERROR(INDEX('Cashier Roster'!$C$5:$C$64,MATCH(B1478,'Cashier Roster'!$B$5:$B$64,0)),"Not on roster"))</f>
        <v/>
      </c>
      <c r="D1478" s="12" t="str">
        <f>IF(B1478="","",IFERROR(INDEX('Cashier Roster'!$D$5:$D$64,MATCH(B1478,'Cashier Roster'!$B$5:$B$64,0)),""))</f>
        <v/>
      </c>
      <c r="E1478" s="13"/>
      <c r="F1478" s="14"/>
      <c r="G1478" s="8" t="str">
        <f>IF(OR(B1478="",E1478=""),"",IF(E1478="No","Missed",IF(F1478="","",IF(F1478&lt;=Settings!$B$7,"On time","Late"))))</f>
        <v/>
      </c>
      <c r="H1478" s="15"/>
      <c r="I1478" s="16"/>
      <c r="J1478" s="16"/>
      <c r="K1478" s="17" t="str">
        <f>IF(J1478="","",ROUND(J1478*Settings!$B$8,2))</f>
        <v/>
      </c>
      <c r="L1478" s="16"/>
      <c r="M1478" s="8" t="str">
        <f t="shared" si="23"/>
        <v/>
      </c>
      <c r="N1478" s="9"/>
    </row>
    <row r="1479" spans="1:14" ht="15.75">
      <c r="A1479" s="11"/>
      <c r="B1479" s="9"/>
      <c r="C1479" s="12" t="str">
        <f>IF(B1479="","",IFERROR(INDEX('Cashier Roster'!$C$5:$C$64,MATCH(B1479,'Cashier Roster'!$B$5:$B$64,0)),"Not on roster"))</f>
        <v/>
      </c>
      <c r="D1479" s="12" t="str">
        <f>IF(B1479="","",IFERROR(INDEX('Cashier Roster'!$D$5:$D$64,MATCH(B1479,'Cashier Roster'!$B$5:$B$64,0)),""))</f>
        <v/>
      </c>
      <c r="E1479" s="13"/>
      <c r="F1479" s="14"/>
      <c r="G1479" s="8" t="str">
        <f>IF(OR(B1479="",E1479=""),"",IF(E1479="No","Missed",IF(F1479="","",IF(F1479&lt;=Settings!$B$7,"On time","Late"))))</f>
        <v/>
      </c>
      <c r="H1479" s="15"/>
      <c r="I1479" s="16"/>
      <c r="J1479" s="16"/>
      <c r="K1479" s="17" t="str">
        <f>IF(J1479="","",ROUND(J1479*Settings!$B$8,2))</f>
        <v/>
      </c>
      <c r="L1479" s="16"/>
      <c r="M1479" s="8" t="str">
        <f t="shared" si="23"/>
        <v/>
      </c>
      <c r="N1479" s="9"/>
    </row>
    <row r="1480" spans="1:14" ht="15.75">
      <c r="A1480" s="11"/>
      <c r="B1480" s="9"/>
      <c r="C1480" s="12" t="str">
        <f>IF(B1480="","",IFERROR(INDEX('Cashier Roster'!$C$5:$C$64,MATCH(B1480,'Cashier Roster'!$B$5:$B$64,0)),"Not on roster"))</f>
        <v/>
      </c>
      <c r="D1480" s="12" t="str">
        <f>IF(B1480="","",IFERROR(INDEX('Cashier Roster'!$D$5:$D$64,MATCH(B1480,'Cashier Roster'!$B$5:$B$64,0)),""))</f>
        <v/>
      </c>
      <c r="E1480" s="13"/>
      <c r="F1480" s="14"/>
      <c r="G1480" s="8" t="str">
        <f>IF(OR(B1480="",E1480=""),"",IF(E1480="No","Missed",IF(F1480="","",IF(F1480&lt;=Settings!$B$7,"On time","Late"))))</f>
        <v/>
      </c>
      <c r="H1480" s="15"/>
      <c r="I1480" s="16"/>
      <c r="J1480" s="16"/>
      <c r="K1480" s="17" t="str">
        <f>IF(J1480="","",ROUND(J1480*Settings!$B$8,2))</f>
        <v/>
      </c>
      <c r="L1480" s="16"/>
      <c r="M1480" s="8" t="str">
        <f t="shared" si="23"/>
        <v/>
      </c>
      <c r="N1480" s="9"/>
    </row>
    <row r="1481" spans="1:14" ht="15.75">
      <c r="A1481" s="11"/>
      <c r="B1481" s="9"/>
      <c r="C1481" s="12" t="str">
        <f>IF(B1481="","",IFERROR(INDEX('Cashier Roster'!$C$5:$C$64,MATCH(B1481,'Cashier Roster'!$B$5:$B$64,0)),"Not on roster"))</f>
        <v/>
      </c>
      <c r="D1481" s="12" t="str">
        <f>IF(B1481="","",IFERROR(INDEX('Cashier Roster'!$D$5:$D$64,MATCH(B1481,'Cashier Roster'!$B$5:$B$64,0)),""))</f>
        <v/>
      </c>
      <c r="E1481" s="13"/>
      <c r="F1481" s="14"/>
      <c r="G1481" s="8" t="str">
        <f>IF(OR(B1481="",E1481=""),"",IF(E1481="No","Missed",IF(F1481="","",IF(F1481&lt;=Settings!$B$7,"On time","Late"))))</f>
        <v/>
      </c>
      <c r="H1481" s="15"/>
      <c r="I1481" s="16"/>
      <c r="J1481" s="16"/>
      <c r="K1481" s="17" t="str">
        <f>IF(J1481="","",ROUND(J1481*Settings!$B$8,2))</f>
        <v/>
      </c>
      <c r="L1481" s="16"/>
      <c r="M1481" s="8" t="str">
        <f t="shared" si="23"/>
        <v/>
      </c>
      <c r="N1481" s="9"/>
    </row>
    <row r="1482" spans="1:14" ht="15.75">
      <c r="A1482" s="11"/>
      <c r="B1482" s="9"/>
      <c r="C1482" s="12" t="str">
        <f>IF(B1482="","",IFERROR(INDEX('Cashier Roster'!$C$5:$C$64,MATCH(B1482,'Cashier Roster'!$B$5:$B$64,0)),"Not on roster"))</f>
        <v/>
      </c>
      <c r="D1482" s="12" t="str">
        <f>IF(B1482="","",IFERROR(INDEX('Cashier Roster'!$D$5:$D$64,MATCH(B1482,'Cashier Roster'!$B$5:$B$64,0)),""))</f>
        <v/>
      </c>
      <c r="E1482" s="13"/>
      <c r="F1482" s="14"/>
      <c r="G1482" s="8" t="str">
        <f>IF(OR(B1482="",E1482=""),"",IF(E1482="No","Missed",IF(F1482="","",IF(F1482&lt;=Settings!$B$7,"On time","Late"))))</f>
        <v/>
      </c>
      <c r="H1482" s="15"/>
      <c r="I1482" s="16"/>
      <c r="J1482" s="16"/>
      <c r="K1482" s="17" t="str">
        <f>IF(J1482="","",ROUND(J1482*Settings!$B$8,2))</f>
        <v/>
      </c>
      <c r="L1482" s="16"/>
      <c r="M1482" s="8" t="str">
        <f t="shared" si="23"/>
        <v/>
      </c>
      <c r="N1482" s="9"/>
    </row>
    <row r="1483" spans="1:14" ht="15.75">
      <c r="A1483" s="11"/>
      <c r="B1483" s="9"/>
      <c r="C1483" s="12" t="str">
        <f>IF(B1483="","",IFERROR(INDEX('Cashier Roster'!$C$5:$C$64,MATCH(B1483,'Cashier Roster'!$B$5:$B$64,0)),"Not on roster"))</f>
        <v/>
      </c>
      <c r="D1483" s="12" t="str">
        <f>IF(B1483="","",IFERROR(INDEX('Cashier Roster'!$D$5:$D$64,MATCH(B1483,'Cashier Roster'!$B$5:$B$64,0)),""))</f>
        <v/>
      </c>
      <c r="E1483" s="13"/>
      <c r="F1483" s="14"/>
      <c r="G1483" s="8" t="str">
        <f>IF(OR(B1483="",E1483=""),"",IF(E1483="No","Missed",IF(F1483="","",IF(F1483&lt;=Settings!$B$7,"On time","Late"))))</f>
        <v/>
      </c>
      <c r="H1483" s="15"/>
      <c r="I1483" s="16"/>
      <c r="J1483" s="16"/>
      <c r="K1483" s="17" t="str">
        <f>IF(J1483="","",ROUND(J1483*Settings!$B$8,2))</f>
        <v/>
      </c>
      <c r="L1483" s="16"/>
      <c r="M1483" s="8" t="str">
        <f t="shared" si="23"/>
        <v/>
      </c>
      <c r="N1483" s="9"/>
    </row>
    <row r="1484" spans="1:14" ht="15.75">
      <c r="A1484" s="11"/>
      <c r="B1484" s="9"/>
      <c r="C1484" s="12" t="str">
        <f>IF(B1484="","",IFERROR(INDEX('Cashier Roster'!$C$5:$C$64,MATCH(B1484,'Cashier Roster'!$B$5:$B$64,0)),"Not on roster"))</f>
        <v/>
      </c>
      <c r="D1484" s="12" t="str">
        <f>IF(B1484="","",IFERROR(INDEX('Cashier Roster'!$D$5:$D$64,MATCH(B1484,'Cashier Roster'!$B$5:$B$64,0)),""))</f>
        <v/>
      </c>
      <c r="E1484" s="13"/>
      <c r="F1484" s="14"/>
      <c r="G1484" s="8" t="str">
        <f>IF(OR(B1484="",E1484=""),"",IF(E1484="No","Missed",IF(F1484="","",IF(F1484&lt;=Settings!$B$7,"On time","Late"))))</f>
        <v/>
      </c>
      <c r="H1484" s="15"/>
      <c r="I1484" s="16"/>
      <c r="J1484" s="16"/>
      <c r="K1484" s="17" t="str">
        <f>IF(J1484="","",ROUND(J1484*Settings!$B$8,2))</f>
        <v/>
      </c>
      <c r="L1484" s="16"/>
      <c r="M1484" s="8" t="str">
        <f t="shared" si="23"/>
        <v/>
      </c>
      <c r="N1484" s="9"/>
    </row>
    <row r="1485" spans="1:14" ht="15.75">
      <c r="A1485" s="11"/>
      <c r="B1485" s="9"/>
      <c r="C1485" s="12" t="str">
        <f>IF(B1485="","",IFERROR(INDEX('Cashier Roster'!$C$5:$C$64,MATCH(B1485,'Cashier Roster'!$B$5:$B$64,0)),"Not on roster"))</f>
        <v/>
      </c>
      <c r="D1485" s="12" t="str">
        <f>IF(B1485="","",IFERROR(INDEX('Cashier Roster'!$D$5:$D$64,MATCH(B1485,'Cashier Roster'!$B$5:$B$64,0)),""))</f>
        <v/>
      </c>
      <c r="E1485" s="13"/>
      <c r="F1485" s="14"/>
      <c r="G1485" s="8" t="str">
        <f>IF(OR(B1485="",E1485=""),"",IF(E1485="No","Missed",IF(F1485="","",IF(F1485&lt;=Settings!$B$7,"On time","Late"))))</f>
        <v/>
      </c>
      <c r="H1485" s="15"/>
      <c r="I1485" s="16"/>
      <c r="J1485" s="16"/>
      <c r="K1485" s="17" t="str">
        <f>IF(J1485="","",ROUND(J1485*Settings!$B$8,2))</f>
        <v/>
      </c>
      <c r="L1485" s="16"/>
      <c r="M1485" s="8" t="str">
        <f t="shared" si="23"/>
        <v/>
      </c>
      <c r="N1485" s="9"/>
    </row>
    <row r="1486" spans="1:14" ht="15.75">
      <c r="A1486" s="11"/>
      <c r="B1486" s="9"/>
      <c r="C1486" s="12" t="str">
        <f>IF(B1486="","",IFERROR(INDEX('Cashier Roster'!$C$5:$C$64,MATCH(B1486,'Cashier Roster'!$B$5:$B$64,0)),"Not on roster"))</f>
        <v/>
      </c>
      <c r="D1486" s="12" t="str">
        <f>IF(B1486="","",IFERROR(INDEX('Cashier Roster'!$D$5:$D$64,MATCH(B1486,'Cashier Roster'!$B$5:$B$64,0)),""))</f>
        <v/>
      </c>
      <c r="E1486" s="13"/>
      <c r="F1486" s="14"/>
      <c r="G1486" s="8" t="str">
        <f>IF(OR(B1486="",E1486=""),"",IF(E1486="No","Missed",IF(F1486="","",IF(F1486&lt;=Settings!$B$7,"On time","Late"))))</f>
        <v/>
      </c>
      <c r="H1486" s="15"/>
      <c r="I1486" s="16"/>
      <c r="J1486" s="16"/>
      <c r="K1486" s="17" t="str">
        <f>IF(J1486="","",ROUND(J1486*Settings!$B$8,2))</f>
        <v/>
      </c>
      <c r="L1486" s="16"/>
      <c r="M1486" s="8" t="str">
        <f t="shared" si="23"/>
        <v/>
      </c>
      <c r="N1486" s="9"/>
    </row>
    <row r="1487" spans="1:14" ht="15.75">
      <c r="A1487" s="11"/>
      <c r="B1487" s="9"/>
      <c r="C1487" s="12" t="str">
        <f>IF(B1487="","",IFERROR(INDEX('Cashier Roster'!$C$5:$C$64,MATCH(B1487,'Cashier Roster'!$B$5:$B$64,0)),"Not on roster"))</f>
        <v/>
      </c>
      <c r="D1487" s="12" t="str">
        <f>IF(B1487="","",IFERROR(INDEX('Cashier Roster'!$D$5:$D$64,MATCH(B1487,'Cashier Roster'!$B$5:$B$64,0)),""))</f>
        <v/>
      </c>
      <c r="E1487" s="13"/>
      <c r="F1487" s="14"/>
      <c r="G1487" s="8" t="str">
        <f>IF(OR(B1487="",E1487=""),"",IF(E1487="No","Missed",IF(F1487="","",IF(F1487&lt;=Settings!$B$7,"On time","Late"))))</f>
        <v/>
      </c>
      <c r="H1487" s="15"/>
      <c r="I1487" s="16"/>
      <c r="J1487" s="16"/>
      <c r="K1487" s="17" t="str">
        <f>IF(J1487="","",ROUND(J1487*Settings!$B$8,2))</f>
        <v/>
      </c>
      <c r="L1487" s="16"/>
      <c r="M1487" s="8" t="str">
        <f t="shared" si="23"/>
        <v/>
      </c>
      <c r="N1487" s="9"/>
    </row>
    <row r="1488" spans="1:14" ht="15.75">
      <c r="A1488" s="11"/>
      <c r="B1488" s="9"/>
      <c r="C1488" s="12" t="str">
        <f>IF(B1488="","",IFERROR(INDEX('Cashier Roster'!$C$5:$C$64,MATCH(B1488,'Cashier Roster'!$B$5:$B$64,0)),"Not on roster"))</f>
        <v/>
      </c>
      <c r="D1488" s="12" t="str">
        <f>IF(B1488="","",IFERROR(INDEX('Cashier Roster'!$D$5:$D$64,MATCH(B1488,'Cashier Roster'!$B$5:$B$64,0)),""))</f>
        <v/>
      </c>
      <c r="E1488" s="13"/>
      <c r="F1488" s="14"/>
      <c r="G1488" s="8" t="str">
        <f>IF(OR(B1488="",E1488=""),"",IF(E1488="No","Missed",IF(F1488="","",IF(F1488&lt;=Settings!$B$7,"On time","Late"))))</f>
        <v/>
      </c>
      <c r="H1488" s="15"/>
      <c r="I1488" s="16"/>
      <c r="J1488" s="16"/>
      <c r="K1488" s="17" t="str">
        <f>IF(J1488="","",ROUND(J1488*Settings!$B$8,2))</f>
        <v/>
      </c>
      <c r="L1488" s="16"/>
      <c r="M1488" s="8" t="str">
        <f t="shared" si="23"/>
        <v/>
      </c>
      <c r="N1488" s="9"/>
    </row>
    <row r="1489" spans="1:14" ht="15.75">
      <c r="A1489" s="11"/>
      <c r="B1489" s="9"/>
      <c r="C1489" s="12" t="str">
        <f>IF(B1489="","",IFERROR(INDEX('Cashier Roster'!$C$5:$C$64,MATCH(B1489,'Cashier Roster'!$B$5:$B$64,0)),"Not on roster"))</f>
        <v/>
      </c>
      <c r="D1489" s="12" t="str">
        <f>IF(B1489="","",IFERROR(INDEX('Cashier Roster'!$D$5:$D$64,MATCH(B1489,'Cashier Roster'!$B$5:$B$64,0)),""))</f>
        <v/>
      </c>
      <c r="E1489" s="13"/>
      <c r="F1489" s="14"/>
      <c r="G1489" s="8" t="str">
        <f>IF(OR(B1489="",E1489=""),"",IF(E1489="No","Missed",IF(F1489="","",IF(F1489&lt;=Settings!$B$7,"On time","Late"))))</f>
        <v/>
      </c>
      <c r="H1489" s="15"/>
      <c r="I1489" s="16"/>
      <c r="J1489" s="16"/>
      <c r="K1489" s="17" t="str">
        <f>IF(J1489="","",ROUND(J1489*Settings!$B$8,2))</f>
        <v/>
      </c>
      <c r="L1489" s="16"/>
      <c r="M1489" s="8" t="str">
        <f t="shared" si="23"/>
        <v/>
      </c>
      <c r="N1489" s="9"/>
    </row>
    <row r="1490" spans="1:14" ht="15.75">
      <c r="A1490" s="11"/>
      <c r="B1490" s="9"/>
      <c r="C1490" s="12" t="str">
        <f>IF(B1490="","",IFERROR(INDEX('Cashier Roster'!$C$5:$C$64,MATCH(B1490,'Cashier Roster'!$B$5:$B$64,0)),"Not on roster"))</f>
        <v/>
      </c>
      <c r="D1490" s="12" t="str">
        <f>IF(B1490="","",IFERROR(INDEX('Cashier Roster'!$D$5:$D$64,MATCH(B1490,'Cashier Roster'!$B$5:$B$64,0)),""))</f>
        <v/>
      </c>
      <c r="E1490" s="13"/>
      <c r="F1490" s="14"/>
      <c r="G1490" s="8" t="str">
        <f>IF(OR(B1490="",E1490=""),"",IF(E1490="No","Missed",IF(F1490="","",IF(F1490&lt;=Settings!$B$7,"On time","Late"))))</f>
        <v/>
      </c>
      <c r="H1490" s="15"/>
      <c r="I1490" s="16"/>
      <c r="J1490" s="16"/>
      <c r="K1490" s="17" t="str">
        <f>IF(J1490="","",ROUND(J1490*Settings!$B$8,2))</f>
        <v/>
      </c>
      <c r="L1490" s="16"/>
      <c r="M1490" s="8" t="str">
        <f t="shared" si="23"/>
        <v/>
      </c>
      <c r="N1490" s="9"/>
    </row>
    <row r="1491" spans="1:14" ht="15.75">
      <c r="A1491" s="11"/>
      <c r="B1491" s="9"/>
      <c r="C1491" s="12" t="str">
        <f>IF(B1491="","",IFERROR(INDEX('Cashier Roster'!$C$5:$C$64,MATCH(B1491,'Cashier Roster'!$B$5:$B$64,0)),"Not on roster"))</f>
        <v/>
      </c>
      <c r="D1491" s="12" t="str">
        <f>IF(B1491="","",IFERROR(INDEX('Cashier Roster'!$D$5:$D$64,MATCH(B1491,'Cashier Roster'!$B$5:$B$64,0)),""))</f>
        <v/>
      </c>
      <c r="E1491" s="13"/>
      <c r="F1491" s="14"/>
      <c r="G1491" s="8" t="str">
        <f>IF(OR(B1491="",E1491=""),"",IF(E1491="No","Missed",IF(F1491="","",IF(F1491&lt;=Settings!$B$7,"On time","Late"))))</f>
        <v/>
      </c>
      <c r="H1491" s="15"/>
      <c r="I1491" s="16"/>
      <c r="J1491" s="16"/>
      <c r="K1491" s="17" t="str">
        <f>IF(J1491="","",ROUND(J1491*Settings!$B$8,2))</f>
        <v/>
      </c>
      <c r="L1491" s="16"/>
      <c r="M1491" s="8" t="str">
        <f t="shared" si="23"/>
        <v/>
      </c>
      <c r="N1491" s="9"/>
    </row>
    <row r="1492" spans="1:14" ht="15.75">
      <c r="A1492" s="11"/>
      <c r="B1492" s="9"/>
      <c r="C1492" s="12" t="str">
        <f>IF(B1492="","",IFERROR(INDEX('Cashier Roster'!$C$5:$C$64,MATCH(B1492,'Cashier Roster'!$B$5:$B$64,0)),"Not on roster"))</f>
        <v/>
      </c>
      <c r="D1492" s="12" t="str">
        <f>IF(B1492="","",IFERROR(INDEX('Cashier Roster'!$D$5:$D$64,MATCH(B1492,'Cashier Roster'!$B$5:$B$64,0)),""))</f>
        <v/>
      </c>
      <c r="E1492" s="13"/>
      <c r="F1492" s="14"/>
      <c r="G1492" s="8" t="str">
        <f>IF(OR(B1492="",E1492=""),"",IF(E1492="No","Missed",IF(F1492="","",IF(F1492&lt;=Settings!$B$7,"On time","Late"))))</f>
        <v/>
      </c>
      <c r="H1492" s="15"/>
      <c r="I1492" s="16"/>
      <c r="J1492" s="16"/>
      <c r="K1492" s="17" t="str">
        <f>IF(J1492="","",ROUND(J1492*Settings!$B$8,2))</f>
        <v/>
      </c>
      <c r="L1492" s="16"/>
      <c r="M1492" s="8" t="str">
        <f t="shared" si="23"/>
        <v/>
      </c>
      <c r="N1492" s="9"/>
    </row>
    <row r="1493" spans="1:14" ht="15.75">
      <c r="A1493" s="11"/>
      <c r="B1493" s="9"/>
      <c r="C1493" s="12" t="str">
        <f>IF(B1493="","",IFERROR(INDEX('Cashier Roster'!$C$5:$C$64,MATCH(B1493,'Cashier Roster'!$B$5:$B$64,0)),"Not on roster"))</f>
        <v/>
      </c>
      <c r="D1493" s="12" t="str">
        <f>IF(B1493="","",IFERROR(INDEX('Cashier Roster'!$D$5:$D$64,MATCH(B1493,'Cashier Roster'!$B$5:$B$64,0)),""))</f>
        <v/>
      </c>
      <c r="E1493" s="13"/>
      <c r="F1493" s="14"/>
      <c r="G1493" s="8" t="str">
        <f>IF(OR(B1493="",E1493=""),"",IF(E1493="No","Missed",IF(F1493="","",IF(F1493&lt;=Settings!$B$7,"On time","Late"))))</f>
        <v/>
      </c>
      <c r="H1493" s="15"/>
      <c r="I1493" s="16"/>
      <c r="J1493" s="16"/>
      <c r="K1493" s="17" t="str">
        <f>IF(J1493="","",ROUND(J1493*Settings!$B$8,2))</f>
        <v/>
      </c>
      <c r="L1493" s="16"/>
      <c r="M1493" s="8" t="str">
        <f t="shared" si="23"/>
        <v/>
      </c>
      <c r="N1493" s="9"/>
    </row>
    <row r="1494" spans="1:14" ht="15.75">
      <c r="A1494" s="11"/>
      <c r="B1494" s="9"/>
      <c r="C1494" s="12" t="str">
        <f>IF(B1494="","",IFERROR(INDEX('Cashier Roster'!$C$5:$C$64,MATCH(B1494,'Cashier Roster'!$B$5:$B$64,0)),"Not on roster"))</f>
        <v/>
      </c>
      <c r="D1494" s="12" t="str">
        <f>IF(B1494="","",IFERROR(INDEX('Cashier Roster'!$D$5:$D$64,MATCH(B1494,'Cashier Roster'!$B$5:$B$64,0)),""))</f>
        <v/>
      </c>
      <c r="E1494" s="13"/>
      <c r="F1494" s="14"/>
      <c r="G1494" s="8" t="str">
        <f>IF(OR(B1494="",E1494=""),"",IF(E1494="No","Missed",IF(F1494="","",IF(F1494&lt;=Settings!$B$7,"On time","Late"))))</f>
        <v/>
      </c>
      <c r="H1494" s="15"/>
      <c r="I1494" s="16"/>
      <c r="J1494" s="16"/>
      <c r="K1494" s="17" t="str">
        <f>IF(J1494="","",ROUND(J1494*Settings!$B$8,2))</f>
        <v/>
      </c>
      <c r="L1494" s="16"/>
      <c r="M1494" s="8" t="str">
        <f t="shared" si="23"/>
        <v/>
      </c>
      <c r="N1494" s="9"/>
    </row>
    <row r="1495" spans="1:14" ht="15.75">
      <c r="A1495" s="11"/>
      <c r="B1495" s="9"/>
      <c r="C1495" s="12" t="str">
        <f>IF(B1495="","",IFERROR(INDEX('Cashier Roster'!$C$5:$C$64,MATCH(B1495,'Cashier Roster'!$B$5:$B$64,0)),"Not on roster"))</f>
        <v/>
      </c>
      <c r="D1495" s="12" t="str">
        <f>IF(B1495="","",IFERROR(INDEX('Cashier Roster'!$D$5:$D$64,MATCH(B1495,'Cashier Roster'!$B$5:$B$64,0)),""))</f>
        <v/>
      </c>
      <c r="E1495" s="13"/>
      <c r="F1495" s="14"/>
      <c r="G1495" s="8" t="str">
        <f>IF(OR(B1495="",E1495=""),"",IF(E1495="No","Missed",IF(F1495="","",IF(F1495&lt;=Settings!$B$7,"On time","Late"))))</f>
        <v/>
      </c>
      <c r="H1495" s="15"/>
      <c r="I1495" s="16"/>
      <c r="J1495" s="16"/>
      <c r="K1495" s="17" t="str">
        <f>IF(J1495="","",ROUND(J1495*Settings!$B$8,2))</f>
        <v/>
      </c>
      <c r="L1495" s="16"/>
      <c r="M1495" s="8" t="str">
        <f t="shared" si="23"/>
        <v/>
      </c>
      <c r="N1495" s="9"/>
    </row>
    <row r="1496" spans="1:14" ht="15.75">
      <c r="A1496" s="11"/>
      <c r="B1496" s="9"/>
      <c r="C1496" s="12" t="str">
        <f>IF(B1496="","",IFERROR(INDEX('Cashier Roster'!$C$5:$C$64,MATCH(B1496,'Cashier Roster'!$B$5:$B$64,0)),"Not on roster"))</f>
        <v/>
      </c>
      <c r="D1496" s="12" t="str">
        <f>IF(B1496="","",IFERROR(INDEX('Cashier Roster'!$D$5:$D$64,MATCH(B1496,'Cashier Roster'!$B$5:$B$64,0)),""))</f>
        <v/>
      </c>
      <c r="E1496" s="13"/>
      <c r="F1496" s="14"/>
      <c r="G1496" s="8" t="str">
        <f>IF(OR(B1496="",E1496=""),"",IF(E1496="No","Missed",IF(F1496="","",IF(F1496&lt;=Settings!$B$7,"On time","Late"))))</f>
        <v/>
      </c>
      <c r="H1496" s="15"/>
      <c r="I1496" s="16"/>
      <c r="J1496" s="16"/>
      <c r="K1496" s="17" t="str">
        <f>IF(J1496="","",ROUND(J1496*Settings!$B$8,2))</f>
        <v/>
      </c>
      <c r="L1496" s="16"/>
      <c r="M1496" s="8" t="str">
        <f t="shared" si="23"/>
        <v/>
      </c>
      <c r="N1496" s="9"/>
    </row>
    <row r="1497" spans="1:14" ht="15.75">
      <c r="A1497" s="11"/>
      <c r="B1497" s="9"/>
      <c r="C1497" s="12" t="str">
        <f>IF(B1497="","",IFERROR(INDEX('Cashier Roster'!$C$5:$C$64,MATCH(B1497,'Cashier Roster'!$B$5:$B$64,0)),"Not on roster"))</f>
        <v/>
      </c>
      <c r="D1497" s="12" t="str">
        <f>IF(B1497="","",IFERROR(INDEX('Cashier Roster'!$D$5:$D$64,MATCH(B1497,'Cashier Roster'!$B$5:$B$64,0)),""))</f>
        <v/>
      </c>
      <c r="E1497" s="13"/>
      <c r="F1497" s="14"/>
      <c r="G1497" s="8" t="str">
        <f>IF(OR(B1497="",E1497=""),"",IF(E1497="No","Missed",IF(F1497="","",IF(F1497&lt;=Settings!$B$7,"On time","Late"))))</f>
        <v/>
      </c>
      <c r="H1497" s="15"/>
      <c r="I1497" s="16"/>
      <c r="J1497" s="16"/>
      <c r="K1497" s="17" t="str">
        <f>IF(J1497="","",ROUND(J1497*Settings!$B$8,2))</f>
        <v/>
      </c>
      <c r="L1497" s="16"/>
      <c r="M1497" s="8" t="str">
        <f t="shared" si="23"/>
        <v/>
      </c>
      <c r="N1497" s="9"/>
    </row>
    <row r="1498" spans="1:14" ht="15.75">
      <c r="A1498" s="11"/>
      <c r="B1498" s="9"/>
      <c r="C1498" s="12" t="str">
        <f>IF(B1498="","",IFERROR(INDEX('Cashier Roster'!$C$5:$C$64,MATCH(B1498,'Cashier Roster'!$B$5:$B$64,0)),"Not on roster"))</f>
        <v/>
      </c>
      <c r="D1498" s="12" t="str">
        <f>IF(B1498="","",IFERROR(INDEX('Cashier Roster'!$D$5:$D$64,MATCH(B1498,'Cashier Roster'!$B$5:$B$64,0)),""))</f>
        <v/>
      </c>
      <c r="E1498" s="13"/>
      <c r="F1498" s="14"/>
      <c r="G1498" s="8" t="str">
        <f>IF(OR(B1498="",E1498=""),"",IF(E1498="No","Missed",IF(F1498="","",IF(F1498&lt;=Settings!$B$7,"On time","Late"))))</f>
        <v/>
      </c>
      <c r="H1498" s="15"/>
      <c r="I1498" s="16"/>
      <c r="J1498" s="16"/>
      <c r="K1498" s="17" t="str">
        <f>IF(J1498="","",ROUND(J1498*Settings!$B$8,2))</f>
        <v/>
      </c>
      <c r="L1498" s="16"/>
      <c r="M1498" s="8" t="str">
        <f t="shared" si="23"/>
        <v/>
      </c>
      <c r="N1498" s="9"/>
    </row>
    <row r="1499" spans="1:14" ht="15.75">
      <c r="A1499" s="11"/>
      <c r="B1499" s="9"/>
      <c r="C1499" s="12" t="str">
        <f>IF(B1499="","",IFERROR(INDEX('Cashier Roster'!$C$5:$C$64,MATCH(B1499,'Cashier Roster'!$B$5:$B$64,0)),"Not on roster"))</f>
        <v/>
      </c>
      <c r="D1499" s="12" t="str">
        <f>IF(B1499="","",IFERROR(INDEX('Cashier Roster'!$D$5:$D$64,MATCH(B1499,'Cashier Roster'!$B$5:$B$64,0)),""))</f>
        <v/>
      </c>
      <c r="E1499" s="13"/>
      <c r="F1499" s="14"/>
      <c r="G1499" s="8" t="str">
        <f>IF(OR(B1499="",E1499=""),"",IF(E1499="No","Missed",IF(F1499="","",IF(F1499&lt;=Settings!$B$7,"On time","Late"))))</f>
        <v/>
      </c>
      <c r="H1499" s="15"/>
      <c r="I1499" s="16"/>
      <c r="J1499" s="16"/>
      <c r="K1499" s="17" t="str">
        <f>IF(J1499="","",ROUND(J1499*Settings!$B$8,2))</f>
        <v/>
      </c>
      <c r="L1499" s="16"/>
      <c r="M1499" s="8" t="str">
        <f t="shared" si="23"/>
        <v/>
      </c>
      <c r="N1499" s="9"/>
    </row>
    <row r="1500" spans="1:14" ht="15.75">
      <c r="A1500" s="11"/>
      <c r="B1500" s="9"/>
      <c r="C1500" s="12" t="str">
        <f>IF(B1500="","",IFERROR(INDEX('Cashier Roster'!$C$5:$C$64,MATCH(B1500,'Cashier Roster'!$B$5:$B$64,0)),"Not on roster"))</f>
        <v/>
      </c>
      <c r="D1500" s="12" t="str">
        <f>IF(B1500="","",IFERROR(INDEX('Cashier Roster'!$D$5:$D$64,MATCH(B1500,'Cashier Roster'!$B$5:$B$64,0)),""))</f>
        <v/>
      </c>
      <c r="E1500" s="13"/>
      <c r="F1500" s="14"/>
      <c r="G1500" s="8" t="str">
        <f>IF(OR(B1500="",E1500=""),"",IF(E1500="No","Missed",IF(F1500="","",IF(F1500&lt;=Settings!$B$7,"On time","Late"))))</f>
        <v/>
      </c>
      <c r="H1500" s="15"/>
      <c r="I1500" s="16"/>
      <c r="J1500" s="16"/>
      <c r="K1500" s="17" t="str">
        <f>IF(J1500="","",ROUND(J1500*Settings!$B$8,2))</f>
        <v/>
      </c>
      <c r="L1500" s="16"/>
      <c r="M1500" s="8" t="str">
        <f t="shared" si="23"/>
        <v/>
      </c>
      <c r="N1500" s="9"/>
    </row>
    <row r="1501" spans="1:14" ht="15.75">
      <c r="A1501" s="11"/>
      <c r="B1501" s="9"/>
      <c r="C1501" s="12" t="str">
        <f>IF(B1501="","",IFERROR(INDEX('Cashier Roster'!$C$5:$C$64,MATCH(B1501,'Cashier Roster'!$B$5:$B$64,0)),"Not on roster"))</f>
        <v/>
      </c>
      <c r="D1501" s="12" t="str">
        <f>IF(B1501="","",IFERROR(INDEX('Cashier Roster'!$D$5:$D$64,MATCH(B1501,'Cashier Roster'!$B$5:$B$64,0)),""))</f>
        <v/>
      </c>
      <c r="E1501" s="13"/>
      <c r="F1501" s="14"/>
      <c r="G1501" s="8" t="str">
        <f>IF(OR(B1501="",E1501=""),"",IF(E1501="No","Missed",IF(F1501="","",IF(F1501&lt;=Settings!$B$7,"On time","Late"))))</f>
        <v/>
      </c>
      <c r="H1501" s="15"/>
      <c r="I1501" s="16"/>
      <c r="J1501" s="16"/>
      <c r="K1501" s="17" t="str">
        <f>IF(J1501="","",ROUND(J1501*Settings!$B$8,2))</f>
        <v/>
      </c>
      <c r="L1501" s="16"/>
      <c r="M1501" s="8" t="str">
        <f t="shared" si="23"/>
        <v/>
      </c>
      <c r="N1501" s="9"/>
    </row>
    <row r="1502" spans="1:14" ht="15.75">
      <c r="A1502" s="11"/>
      <c r="B1502" s="9"/>
      <c r="C1502" s="12" t="str">
        <f>IF(B1502="","",IFERROR(INDEX('Cashier Roster'!$C$5:$C$64,MATCH(B1502,'Cashier Roster'!$B$5:$B$64,0)),"Not on roster"))</f>
        <v/>
      </c>
      <c r="D1502" s="12" t="str">
        <f>IF(B1502="","",IFERROR(INDEX('Cashier Roster'!$D$5:$D$64,MATCH(B1502,'Cashier Roster'!$B$5:$B$64,0)),""))</f>
        <v/>
      </c>
      <c r="E1502" s="13"/>
      <c r="F1502" s="14"/>
      <c r="G1502" s="8" t="str">
        <f>IF(OR(B1502="",E1502=""),"",IF(E1502="No","Missed",IF(F1502="","",IF(F1502&lt;=Settings!$B$7,"On time","Late"))))</f>
        <v/>
      </c>
      <c r="H1502" s="15"/>
      <c r="I1502" s="16"/>
      <c r="J1502" s="16"/>
      <c r="K1502" s="17" t="str">
        <f>IF(J1502="","",ROUND(J1502*Settings!$B$8,2))</f>
        <v/>
      </c>
      <c r="L1502" s="16"/>
      <c r="M1502" s="8" t="str">
        <f t="shared" si="23"/>
        <v/>
      </c>
      <c r="N1502" s="9"/>
    </row>
    <row r="1503" spans="1:14" ht="15.75">
      <c r="A1503" s="11"/>
      <c r="B1503" s="9"/>
      <c r="C1503" s="12" t="str">
        <f>IF(B1503="","",IFERROR(INDEX('Cashier Roster'!$C$5:$C$64,MATCH(B1503,'Cashier Roster'!$B$5:$B$64,0)),"Not on roster"))</f>
        <v/>
      </c>
      <c r="D1503" s="12" t="str">
        <f>IF(B1503="","",IFERROR(INDEX('Cashier Roster'!$D$5:$D$64,MATCH(B1503,'Cashier Roster'!$B$5:$B$64,0)),""))</f>
        <v/>
      </c>
      <c r="E1503" s="13"/>
      <c r="F1503" s="14"/>
      <c r="G1503" s="8" t="str">
        <f>IF(OR(B1503="",E1503=""),"",IF(E1503="No","Missed",IF(F1503="","",IF(F1503&lt;=Settings!$B$7,"On time","Late"))))</f>
        <v/>
      </c>
      <c r="H1503" s="15"/>
      <c r="I1503" s="16"/>
      <c r="J1503" s="16"/>
      <c r="K1503" s="17" t="str">
        <f>IF(J1503="","",ROUND(J1503*Settings!$B$8,2))</f>
        <v/>
      </c>
      <c r="L1503" s="16"/>
      <c r="M1503" s="8" t="str">
        <f t="shared" si="23"/>
        <v/>
      </c>
      <c r="N1503" s="9"/>
    </row>
    <row r="1504" spans="1:14" ht="15.75">
      <c r="A1504" s="11"/>
      <c r="B1504" s="9"/>
      <c r="C1504" s="12" t="str">
        <f>IF(B1504="","",IFERROR(INDEX('Cashier Roster'!$C$5:$C$64,MATCH(B1504,'Cashier Roster'!$B$5:$B$64,0)),"Not on roster"))</f>
        <v/>
      </c>
      <c r="D1504" s="12" t="str">
        <f>IF(B1504="","",IFERROR(INDEX('Cashier Roster'!$D$5:$D$64,MATCH(B1504,'Cashier Roster'!$B$5:$B$64,0)),""))</f>
        <v/>
      </c>
      <c r="E1504" s="13"/>
      <c r="F1504" s="14"/>
      <c r="G1504" s="8" t="str">
        <f>IF(OR(B1504="",E1504=""),"",IF(E1504="No","Missed",IF(F1504="","",IF(F1504&lt;=Settings!$B$7,"On time","Late"))))</f>
        <v/>
      </c>
      <c r="H1504" s="15"/>
      <c r="I1504" s="16"/>
      <c r="J1504" s="16"/>
      <c r="K1504" s="17" t="str">
        <f>IF(J1504="","",ROUND(J1504*Settings!$B$8,2))</f>
        <v/>
      </c>
      <c r="L1504" s="16"/>
      <c r="M1504" s="8" t="str">
        <f t="shared" si="23"/>
        <v/>
      </c>
      <c r="N1504" s="9"/>
    </row>
    <row r="1505" spans="1:14" ht="15.75">
      <c r="A1505" s="11"/>
      <c r="B1505" s="9"/>
      <c r="C1505" s="12" t="str">
        <f>IF(B1505="","",IFERROR(INDEX('Cashier Roster'!$C$5:$C$64,MATCH(B1505,'Cashier Roster'!$B$5:$B$64,0)),"Not on roster"))</f>
        <v/>
      </c>
      <c r="D1505" s="12" t="str">
        <f>IF(B1505="","",IFERROR(INDEX('Cashier Roster'!$D$5:$D$64,MATCH(B1505,'Cashier Roster'!$B$5:$B$64,0)),""))</f>
        <v/>
      </c>
      <c r="E1505" s="13"/>
      <c r="F1505" s="14"/>
      <c r="G1505" s="8" t="str">
        <f>IF(OR(B1505="",E1505=""),"",IF(E1505="No","Missed",IF(F1505="","",IF(F1505&lt;=Settings!$B$7,"On time","Late"))))</f>
        <v/>
      </c>
      <c r="H1505" s="15"/>
      <c r="I1505" s="16"/>
      <c r="J1505" s="16"/>
      <c r="K1505" s="17" t="str">
        <f>IF(J1505="","",ROUND(J1505*Settings!$B$8,2))</f>
        <v/>
      </c>
      <c r="L1505" s="16"/>
      <c r="M1505" s="8" t="str">
        <f t="shared" si="23"/>
        <v/>
      </c>
      <c r="N1505" s="9"/>
    </row>
    <row r="1506" spans="1:14" ht="15.75">
      <c r="A1506" s="11"/>
      <c r="B1506" s="9"/>
      <c r="C1506" s="12" t="str">
        <f>IF(B1506="","",IFERROR(INDEX('Cashier Roster'!$C$5:$C$64,MATCH(B1506,'Cashier Roster'!$B$5:$B$64,0)),"Not on roster"))</f>
        <v/>
      </c>
      <c r="D1506" s="12" t="str">
        <f>IF(B1506="","",IFERROR(INDEX('Cashier Roster'!$D$5:$D$64,MATCH(B1506,'Cashier Roster'!$B$5:$B$64,0)),""))</f>
        <v/>
      </c>
      <c r="E1506" s="13"/>
      <c r="F1506" s="14"/>
      <c r="G1506" s="8" t="str">
        <f>IF(OR(B1506="",E1506=""),"",IF(E1506="No","Missed",IF(F1506="","",IF(F1506&lt;=Settings!$B$7,"On time","Late"))))</f>
        <v/>
      </c>
      <c r="H1506" s="15"/>
      <c r="I1506" s="16"/>
      <c r="J1506" s="16"/>
      <c r="K1506" s="17" t="str">
        <f>IF(J1506="","",ROUND(J1506*Settings!$B$8,2))</f>
        <v/>
      </c>
      <c r="L1506" s="16"/>
      <c r="M1506" s="8" t="str">
        <f t="shared" si="23"/>
        <v/>
      </c>
      <c r="N1506" s="9"/>
    </row>
    <row r="1507" spans="1:14" ht="15.75">
      <c r="A1507" s="11"/>
      <c r="B1507" s="9"/>
      <c r="C1507" s="12" t="str">
        <f>IF(B1507="","",IFERROR(INDEX('Cashier Roster'!$C$5:$C$64,MATCH(B1507,'Cashier Roster'!$B$5:$B$64,0)),"Not on roster"))</f>
        <v/>
      </c>
      <c r="D1507" s="12" t="str">
        <f>IF(B1507="","",IFERROR(INDEX('Cashier Roster'!$D$5:$D$64,MATCH(B1507,'Cashier Roster'!$B$5:$B$64,0)),""))</f>
        <v/>
      </c>
      <c r="E1507" s="13"/>
      <c r="F1507" s="14"/>
      <c r="G1507" s="8" t="str">
        <f>IF(OR(B1507="",E1507=""),"",IF(E1507="No","Missed",IF(F1507="","",IF(F1507&lt;=Settings!$B$7,"On time","Late"))))</f>
        <v/>
      </c>
      <c r="H1507" s="15"/>
      <c r="I1507" s="16"/>
      <c r="J1507" s="16"/>
      <c r="K1507" s="17" t="str">
        <f>IF(J1507="","",ROUND(J1507*Settings!$B$8,2))</f>
        <v/>
      </c>
      <c r="L1507" s="16"/>
      <c r="M1507" s="8" t="str">
        <f t="shared" si="23"/>
        <v/>
      </c>
      <c r="N1507" s="9"/>
    </row>
    <row r="1508" spans="1:14" ht="15.75">
      <c r="A1508" s="11"/>
      <c r="B1508" s="9"/>
      <c r="C1508" s="12" t="str">
        <f>IF(B1508="","",IFERROR(INDEX('Cashier Roster'!$C$5:$C$64,MATCH(B1508,'Cashier Roster'!$B$5:$B$64,0)),"Not on roster"))</f>
        <v/>
      </c>
      <c r="D1508" s="12" t="str">
        <f>IF(B1508="","",IFERROR(INDEX('Cashier Roster'!$D$5:$D$64,MATCH(B1508,'Cashier Roster'!$B$5:$B$64,0)),""))</f>
        <v/>
      </c>
      <c r="E1508" s="13"/>
      <c r="F1508" s="14"/>
      <c r="G1508" s="8" t="str">
        <f>IF(OR(B1508="",E1508=""),"",IF(E1508="No","Missed",IF(F1508="","",IF(F1508&lt;=Settings!$B$7,"On time","Late"))))</f>
        <v/>
      </c>
      <c r="H1508" s="15"/>
      <c r="I1508" s="16"/>
      <c r="J1508" s="16"/>
      <c r="K1508" s="17" t="str">
        <f>IF(J1508="","",ROUND(J1508*Settings!$B$8,2))</f>
        <v/>
      </c>
      <c r="L1508" s="16"/>
      <c r="M1508" s="8" t="str">
        <f t="shared" si="23"/>
        <v/>
      </c>
      <c r="N1508" s="9"/>
    </row>
    <row r="1509" spans="1:14" ht="15.75">
      <c r="A1509" s="11"/>
      <c r="B1509" s="9"/>
      <c r="C1509" s="12" t="str">
        <f>IF(B1509="","",IFERROR(INDEX('Cashier Roster'!$C$5:$C$64,MATCH(B1509,'Cashier Roster'!$B$5:$B$64,0)),"Not on roster"))</f>
        <v/>
      </c>
      <c r="D1509" s="12" t="str">
        <f>IF(B1509="","",IFERROR(INDEX('Cashier Roster'!$D$5:$D$64,MATCH(B1509,'Cashier Roster'!$B$5:$B$64,0)),""))</f>
        <v/>
      </c>
      <c r="E1509" s="13"/>
      <c r="F1509" s="14"/>
      <c r="G1509" s="8" t="str">
        <f>IF(OR(B1509="",E1509=""),"",IF(E1509="No","Missed",IF(F1509="","",IF(F1509&lt;=Settings!$B$7,"On time","Late"))))</f>
        <v/>
      </c>
      <c r="H1509" s="15"/>
      <c r="I1509" s="16"/>
      <c r="J1509" s="16"/>
      <c r="K1509" s="17" t="str">
        <f>IF(J1509="","",ROUND(J1509*Settings!$B$8,2))</f>
        <v/>
      </c>
      <c r="L1509" s="16"/>
      <c r="M1509" s="8" t="str">
        <f t="shared" si="23"/>
        <v/>
      </c>
      <c r="N1509" s="9"/>
    </row>
    <row r="1510" spans="1:14" ht="15.75">
      <c r="A1510" s="11"/>
      <c r="B1510" s="9"/>
      <c r="C1510" s="12" t="str">
        <f>IF(B1510="","",IFERROR(INDEX('Cashier Roster'!$C$5:$C$64,MATCH(B1510,'Cashier Roster'!$B$5:$B$64,0)),"Not on roster"))</f>
        <v/>
      </c>
      <c r="D1510" s="12" t="str">
        <f>IF(B1510="","",IFERROR(INDEX('Cashier Roster'!$D$5:$D$64,MATCH(B1510,'Cashier Roster'!$B$5:$B$64,0)),""))</f>
        <v/>
      </c>
      <c r="E1510" s="13"/>
      <c r="F1510" s="14"/>
      <c r="G1510" s="8" t="str">
        <f>IF(OR(B1510="",E1510=""),"",IF(E1510="No","Missed",IF(F1510="","",IF(F1510&lt;=Settings!$B$7,"On time","Late"))))</f>
        <v/>
      </c>
      <c r="H1510" s="15"/>
      <c r="I1510" s="16"/>
      <c r="J1510" s="16"/>
      <c r="K1510" s="17" t="str">
        <f>IF(J1510="","",ROUND(J1510*Settings!$B$8,2))</f>
        <v/>
      </c>
      <c r="L1510" s="16"/>
      <c r="M1510" s="8" t="str">
        <f t="shared" si="23"/>
        <v/>
      </c>
      <c r="N1510" s="9"/>
    </row>
    <row r="1511" spans="1:14" ht="15.75">
      <c r="A1511" s="11"/>
      <c r="B1511" s="9"/>
      <c r="C1511" s="12" t="str">
        <f>IF(B1511="","",IFERROR(INDEX('Cashier Roster'!$C$5:$C$64,MATCH(B1511,'Cashier Roster'!$B$5:$B$64,0)),"Not on roster"))</f>
        <v/>
      </c>
      <c r="D1511" s="12" t="str">
        <f>IF(B1511="","",IFERROR(INDEX('Cashier Roster'!$D$5:$D$64,MATCH(B1511,'Cashier Roster'!$B$5:$B$64,0)),""))</f>
        <v/>
      </c>
      <c r="E1511" s="13"/>
      <c r="F1511" s="14"/>
      <c r="G1511" s="8" t="str">
        <f>IF(OR(B1511="",E1511=""),"",IF(E1511="No","Missed",IF(F1511="","",IF(F1511&lt;=Settings!$B$7,"On time","Late"))))</f>
        <v/>
      </c>
      <c r="H1511" s="15"/>
      <c r="I1511" s="16"/>
      <c r="J1511" s="16"/>
      <c r="K1511" s="17" t="str">
        <f>IF(J1511="","",ROUND(J1511*Settings!$B$8,2))</f>
        <v/>
      </c>
      <c r="L1511" s="16"/>
      <c r="M1511" s="8" t="str">
        <f t="shared" si="23"/>
        <v/>
      </c>
      <c r="N1511" s="9"/>
    </row>
    <row r="1512" spans="1:14" ht="15.75">
      <c r="A1512" s="11"/>
      <c r="B1512" s="9"/>
      <c r="C1512" s="12" t="str">
        <f>IF(B1512="","",IFERROR(INDEX('Cashier Roster'!$C$5:$C$64,MATCH(B1512,'Cashier Roster'!$B$5:$B$64,0)),"Not on roster"))</f>
        <v/>
      </c>
      <c r="D1512" s="12" t="str">
        <f>IF(B1512="","",IFERROR(INDEX('Cashier Roster'!$D$5:$D$64,MATCH(B1512,'Cashier Roster'!$B$5:$B$64,0)),""))</f>
        <v/>
      </c>
      <c r="E1512" s="13"/>
      <c r="F1512" s="14"/>
      <c r="G1512" s="8" t="str">
        <f>IF(OR(B1512="",E1512=""),"",IF(E1512="No","Missed",IF(F1512="","",IF(F1512&lt;=Settings!$B$7,"On time","Late"))))</f>
        <v/>
      </c>
      <c r="H1512" s="15"/>
      <c r="I1512" s="16"/>
      <c r="J1512" s="16"/>
      <c r="K1512" s="17" t="str">
        <f>IF(J1512="","",ROUND(J1512*Settings!$B$8,2))</f>
        <v/>
      </c>
      <c r="L1512" s="16"/>
      <c r="M1512" s="8" t="str">
        <f t="shared" si="23"/>
        <v/>
      </c>
      <c r="N1512" s="9"/>
    </row>
    <row r="1513" spans="1:14" ht="15.75">
      <c r="A1513" s="11"/>
      <c r="B1513" s="9"/>
      <c r="C1513" s="12" t="str">
        <f>IF(B1513="","",IFERROR(INDEX('Cashier Roster'!$C$5:$C$64,MATCH(B1513,'Cashier Roster'!$B$5:$B$64,0)),"Not on roster"))</f>
        <v/>
      </c>
      <c r="D1513" s="12" t="str">
        <f>IF(B1513="","",IFERROR(INDEX('Cashier Roster'!$D$5:$D$64,MATCH(B1513,'Cashier Roster'!$B$5:$B$64,0)),""))</f>
        <v/>
      </c>
      <c r="E1513" s="13"/>
      <c r="F1513" s="14"/>
      <c r="G1513" s="8" t="str">
        <f>IF(OR(B1513="",E1513=""),"",IF(E1513="No","Missed",IF(F1513="","",IF(F1513&lt;=Settings!$B$7,"On time","Late"))))</f>
        <v/>
      </c>
      <c r="H1513" s="15"/>
      <c r="I1513" s="16"/>
      <c r="J1513" s="16"/>
      <c r="K1513" s="17" t="str">
        <f>IF(J1513="","",ROUND(J1513*Settings!$B$8,2))</f>
        <v/>
      </c>
      <c r="L1513" s="16"/>
      <c r="M1513" s="8" t="str">
        <f t="shared" si="23"/>
        <v/>
      </c>
      <c r="N1513" s="9"/>
    </row>
    <row r="1514" spans="1:14" ht="15.75">
      <c r="A1514" s="11"/>
      <c r="B1514" s="9"/>
      <c r="C1514" s="12" t="str">
        <f>IF(B1514="","",IFERROR(INDEX('Cashier Roster'!$C$5:$C$64,MATCH(B1514,'Cashier Roster'!$B$5:$B$64,0)),"Not on roster"))</f>
        <v/>
      </c>
      <c r="D1514" s="12" t="str">
        <f>IF(B1514="","",IFERROR(INDEX('Cashier Roster'!$D$5:$D$64,MATCH(B1514,'Cashier Roster'!$B$5:$B$64,0)),""))</f>
        <v/>
      </c>
      <c r="E1514" s="13"/>
      <c r="F1514" s="14"/>
      <c r="G1514" s="8" t="str">
        <f>IF(OR(B1514="",E1514=""),"",IF(E1514="No","Missed",IF(F1514="","",IF(F1514&lt;=Settings!$B$7,"On time","Late"))))</f>
        <v/>
      </c>
      <c r="H1514" s="15"/>
      <c r="I1514" s="16"/>
      <c r="J1514" s="16"/>
      <c r="K1514" s="17" t="str">
        <f>IF(J1514="","",ROUND(J1514*Settings!$B$8,2))</f>
        <v/>
      </c>
      <c r="L1514" s="16"/>
      <c r="M1514" s="8" t="str">
        <f t="shared" si="23"/>
        <v/>
      </c>
      <c r="N1514" s="9"/>
    </row>
    <row r="1515" spans="1:14" ht="15.75">
      <c r="A1515" s="11"/>
      <c r="B1515" s="9"/>
      <c r="C1515" s="12" t="str">
        <f>IF(B1515="","",IFERROR(INDEX('Cashier Roster'!$C$5:$C$64,MATCH(B1515,'Cashier Roster'!$B$5:$B$64,0)),"Not on roster"))</f>
        <v/>
      </c>
      <c r="D1515" s="12" t="str">
        <f>IF(B1515="","",IFERROR(INDEX('Cashier Roster'!$D$5:$D$64,MATCH(B1515,'Cashier Roster'!$B$5:$B$64,0)),""))</f>
        <v/>
      </c>
      <c r="E1515" s="13"/>
      <c r="F1515" s="14"/>
      <c r="G1515" s="8" t="str">
        <f>IF(OR(B1515="",E1515=""),"",IF(E1515="No","Missed",IF(F1515="","",IF(F1515&lt;=Settings!$B$7,"On time","Late"))))</f>
        <v/>
      </c>
      <c r="H1515" s="15"/>
      <c r="I1515" s="16"/>
      <c r="J1515" s="16"/>
      <c r="K1515" s="17" t="str">
        <f>IF(J1515="","",ROUND(J1515*Settings!$B$8,2))</f>
        <v/>
      </c>
      <c r="L1515" s="16"/>
      <c r="M1515" s="8" t="str">
        <f t="shared" si="23"/>
        <v/>
      </c>
      <c r="N1515" s="9"/>
    </row>
    <row r="1516" spans="1:14" ht="15.75">
      <c r="A1516" s="11"/>
      <c r="B1516" s="9"/>
      <c r="C1516" s="12" t="str">
        <f>IF(B1516="","",IFERROR(INDEX('Cashier Roster'!$C$5:$C$64,MATCH(B1516,'Cashier Roster'!$B$5:$B$64,0)),"Not on roster"))</f>
        <v/>
      </c>
      <c r="D1516" s="12" t="str">
        <f>IF(B1516="","",IFERROR(INDEX('Cashier Roster'!$D$5:$D$64,MATCH(B1516,'Cashier Roster'!$B$5:$B$64,0)),""))</f>
        <v/>
      </c>
      <c r="E1516" s="13"/>
      <c r="F1516" s="14"/>
      <c r="G1516" s="8" t="str">
        <f>IF(OR(B1516="",E1516=""),"",IF(E1516="No","Missed",IF(F1516="","",IF(F1516&lt;=Settings!$B$7,"On time","Late"))))</f>
        <v/>
      </c>
      <c r="H1516" s="15"/>
      <c r="I1516" s="16"/>
      <c r="J1516" s="16"/>
      <c r="K1516" s="17" t="str">
        <f>IF(J1516="","",ROUND(J1516*Settings!$B$8,2))</f>
        <v/>
      </c>
      <c r="L1516" s="16"/>
      <c r="M1516" s="8" t="str">
        <f t="shared" si="23"/>
        <v/>
      </c>
      <c r="N1516" s="9"/>
    </row>
    <row r="1517" spans="1:14" ht="15.75">
      <c r="A1517" s="11"/>
      <c r="B1517" s="9"/>
      <c r="C1517" s="12" t="str">
        <f>IF(B1517="","",IFERROR(INDEX('Cashier Roster'!$C$5:$C$64,MATCH(B1517,'Cashier Roster'!$B$5:$B$64,0)),"Not on roster"))</f>
        <v/>
      </c>
      <c r="D1517" s="12" t="str">
        <f>IF(B1517="","",IFERROR(INDEX('Cashier Roster'!$D$5:$D$64,MATCH(B1517,'Cashier Roster'!$B$5:$B$64,0)),""))</f>
        <v/>
      </c>
      <c r="E1517" s="13"/>
      <c r="F1517" s="14"/>
      <c r="G1517" s="8" t="str">
        <f>IF(OR(B1517="",E1517=""),"",IF(E1517="No","Missed",IF(F1517="","",IF(F1517&lt;=Settings!$B$7,"On time","Late"))))</f>
        <v/>
      </c>
      <c r="H1517" s="15"/>
      <c r="I1517" s="16"/>
      <c r="J1517" s="16"/>
      <c r="K1517" s="17" t="str">
        <f>IF(J1517="","",ROUND(J1517*Settings!$B$8,2))</f>
        <v/>
      </c>
      <c r="L1517" s="16"/>
      <c r="M1517" s="8" t="str">
        <f t="shared" si="23"/>
        <v/>
      </c>
      <c r="N1517" s="9"/>
    </row>
    <row r="1518" spans="1:14" ht="15.75">
      <c r="A1518" s="11"/>
      <c r="B1518" s="9"/>
      <c r="C1518" s="12" t="str">
        <f>IF(B1518="","",IFERROR(INDEX('Cashier Roster'!$C$5:$C$64,MATCH(B1518,'Cashier Roster'!$B$5:$B$64,0)),"Not on roster"))</f>
        <v/>
      </c>
      <c r="D1518" s="12" t="str">
        <f>IF(B1518="","",IFERROR(INDEX('Cashier Roster'!$D$5:$D$64,MATCH(B1518,'Cashier Roster'!$B$5:$B$64,0)),""))</f>
        <v/>
      </c>
      <c r="E1518" s="13"/>
      <c r="F1518" s="14"/>
      <c r="G1518" s="8" t="str">
        <f>IF(OR(B1518="",E1518=""),"",IF(E1518="No","Missed",IF(F1518="","",IF(F1518&lt;=Settings!$B$7,"On time","Late"))))</f>
        <v/>
      </c>
      <c r="H1518" s="15"/>
      <c r="I1518" s="16"/>
      <c r="J1518" s="16"/>
      <c r="K1518" s="17" t="str">
        <f>IF(J1518="","",ROUND(J1518*Settings!$B$8,2))</f>
        <v/>
      </c>
      <c r="L1518" s="16"/>
      <c r="M1518" s="8" t="str">
        <f t="shared" si="23"/>
        <v/>
      </c>
      <c r="N1518" s="9"/>
    </row>
    <row r="1519" spans="1:14" ht="15.75">
      <c r="A1519" s="11"/>
      <c r="B1519" s="9"/>
      <c r="C1519" s="12" t="str">
        <f>IF(B1519="","",IFERROR(INDEX('Cashier Roster'!$C$5:$C$64,MATCH(B1519,'Cashier Roster'!$B$5:$B$64,0)),"Not on roster"))</f>
        <v/>
      </c>
      <c r="D1519" s="12" t="str">
        <f>IF(B1519="","",IFERROR(INDEX('Cashier Roster'!$D$5:$D$64,MATCH(B1519,'Cashier Roster'!$B$5:$B$64,0)),""))</f>
        <v/>
      </c>
      <c r="E1519" s="13"/>
      <c r="F1519" s="14"/>
      <c r="G1519" s="8" t="str">
        <f>IF(OR(B1519="",E1519=""),"",IF(E1519="No","Missed",IF(F1519="","",IF(F1519&lt;=Settings!$B$7,"On time","Late"))))</f>
        <v/>
      </c>
      <c r="H1519" s="15"/>
      <c r="I1519" s="16"/>
      <c r="J1519" s="16"/>
      <c r="K1519" s="17" t="str">
        <f>IF(J1519="","",ROUND(J1519*Settings!$B$8,2))</f>
        <v/>
      </c>
      <c r="L1519" s="16"/>
      <c r="M1519" s="8" t="str">
        <f t="shared" si="23"/>
        <v/>
      </c>
      <c r="N1519" s="9"/>
    </row>
    <row r="1520" spans="1:14" ht="15.75">
      <c r="A1520" s="11"/>
      <c r="B1520" s="9"/>
      <c r="C1520" s="12" t="str">
        <f>IF(B1520="","",IFERROR(INDEX('Cashier Roster'!$C$5:$C$64,MATCH(B1520,'Cashier Roster'!$B$5:$B$64,0)),"Not on roster"))</f>
        <v/>
      </c>
      <c r="D1520" s="12" t="str">
        <f>IF(B1520="","",IFERROR(INDEX('Cashier Roster'!$D$5:$D$64,MATCH(B1520,'Cashier Roster'!$B$5:$B$64,0)),""))</f>
        <v/>
      </c>
      <c r="E1520" s="13"/>
      <c r="F1520" s="14"/>
      <c r="G1520" s="8" t="str">
        <f>IF(OR(B1520="",E1520=""),"",IF(E1520="No","Missed",IF(F1520="","",IF(F1520&lt;=Settings!$B$7,"On time","Late"))))</f>
        <v/>
      </c>
      <c r="H1520" s="15"/>
      <c r="I1520" s="16"/>
      <c r="J1520" s="16"/>
      <c r="K1520" s="17" t="str">
        <f>IF(J1520="","",ROUND(J1520*Settings!$B$8,2))</f>
        <v/>
      </c>
      <c r="L1520" s="16"/>
      <c r="M1520" s="8" t="str">
        <f t="shared" si="23"/>
        <v/>
      </c>
      <c r="N1520" s="9"/>
    </row>
    <row r="1521" spans="1:14" ht="15.75">
      <c r="A1521" s="11"/>
      <c r="B1521" s="9"/>
      <c r="C1521" s="12" t="str">
        <f>IF(B1521="","",IFERROR(INDEX('Cashier Roster'!$C$5:$C$64,MATCH(B1521,'Cashier Roster'!$B$5:$B$64,0)),"Not on roster"))</f>
        <v/>
      </c>
      <c r="D1521" s="12" t="str">
        <f>IF(B1521="","",IFERROR(INDEX('Cashier Roster'!$D$5:$D$64,MATCH(B1521,'Cashier Roster'!$B$5:$B$64,0)),""))</f>
        <v/>
      </c>
      <c r="E1521" s="13"/>
      <c r="F1521" s="14"/>
      <c r="G1521" s="8" t="str">
        <f>IF(OR(B1521="",E1521=""),"",IF(E1521="No","Missed",IF(F1521="","",IF(F1521&lt;=Settings!$B$7,"On time","Late"))))</f>
        <v/>
      </c>
      <c r="H1521" s="15"/>
      <c r="I1521" s="16"/>
      <c r="J1521" s="16"/>
      <c r="K1521" s="17" t="str">
        <f>IF(J1521="","",ROUND(J1521*Settings!$B$8,2))</f>
        <v/>
      </c>
      <c r="L1521" s="16"/>
      <c r="M1521" s="8" t="str">
        <f t="shared" si="23"/>
        <v/>
      </c>
      <c r="N1521" s="9"/>
    </row>
    <row r="1522" spans="1:14" ht="15.75">
      <c r="A1522" s="11"/>
      <c r="B1522" s="9"/>
      <c r="C1522" s="12" t="str">
        <f>IF(B1522="","",IFERROR(INDEX('Cashier Roster'!$C$5:$C$64,MATCH(B1522,'Cashier Roster'!$B$5:$B$64,0)),"Not on roster"))</f>
        <v/>
      </c>
      <c r="D1522" s="12" t="str">
        <f>IF(B1522="","",IFERROR(INDEX('Cashier Roster'!$D$5:$D$64,MATCH(B1522,'Cashier Roster'!$B$5:$B$64,0)),""))</f>
        <v/>
      </c>
      <c r="E1522" s="13"/>
      <c r="F1522" s="14"/>
      <c r="G1522" s="8" t="str">
        <f>IF(OR(B1522="",E1522=""),"",IF(E1522="No","Missed",IF(F1522="","",IF(F1522&lt;=Settings!$B$7,"On time","Late"))))</f>
        <v/>
      </c>
      <c r="H1522" s="15"/>
      <c r="I1522" s="16"/>
      <c r="J1522" s="16"/>
      <c r="K1522" s="17" t="str">
        <f>IF(J1522="","",ROUND(J1522*Settings!$B$8,2))</f>
        <v/>
      </c>
      <c r="L1522" s="16"/>
      <c r="M1522" s="8" t="str">
        <f t="shared" si="23"/>
        <v/>
      </c>
      <c r="N1522" s="9"/>
    </row>
    <row r="1523" spans="1:14" ht="15.75">
      <c r="A1523" s="11"/>
      <c r="B1523" s="9"/>
      <c r="C1523" s="12" t="str">
        <f>IF(B1523="","",IFERROR(INDEX('Cashier Roster'!$C$5:$C$64,MATCH(B1523,'Cashier Roster'!$B$5:$B$64,0)),"Not on roster"))</f>
        <v/>
      </c>
      <c r="D1523" s="12" t="str">
        <f>IF(B1523="","",IFERROR(INDEX('Cashier Roster'!$D$5:$D$64,MATCH(B1523,'Cashier Roster'!$B$5:$B$64,0)),""))</f>
        <v/>
      </c>
      <c r="E1523" s="13"/>
      <c r="F1523" s="14"/>
      <c r="G1523" s="8" t="str">
        <f>IF(OR(B1523="",E1523=""),"",IF(E1523="No","Missed",IF(F1523="","",IF(F1523&lt;=Settings!$B$7,"On time","Late"))))</f>
        <v/>
      </c>
      <c r="H1523" s="15"/>
      <c r="I1523" s="16"/>
      <c r="J1523" s="16"/>
      <c r="K1523" s="17" t="str">
        <f>IF(J1523="","",ROUND(J1523*Settings!$B$8,2))</f>
        <v/>
      </c>
      <c r="L1523" s="16"/>
      <c r="M1523" s="8" t="str">
        <f t="shared" si="23"/>
        <v/>
      </c>
      <c r="N1523" s="9"/>
    </row>
    <row r="1524" spans="1:14" ht="15.75">
      <c r="A1524" s="11"/>
      <c r="B1524" s="9"/>
      <c r="C1524" s="12" t="str">
        <f>IF(B1524="","",IFERROR(INDEX('Cashier Roster'!$C$5:$C$64,MATCH(B1524,'Cashier Roster'!$B$5:$B$64,0)),"Not on roster"))</f>
        <v/>
      </c>
      <c r="D1524" s="12" t="str">
        <f>IF(B1524="","",IFERROR(INDEX('Cashier Roster'!$D$5:$D$64,MATCH(B1524,'Cashier Roster'!$B$5:$B$64,0)),""))</f>
        <v/>
      </c>
      <c r="E1524" s="13"/>
      <c r="F1524" s="14"/>
      <c r="G1524" s="8" t="str">
        <f>IF(OR(B1524="",E1524=""),"",IF(E1524="No","Missed",IF(F1524="","",IF(F1524&lt;=Settings!$B$7,"On time","Late"))))</f>
        <v/>
      </c>
      <c r="H1524" s="15"/>
      <c r="I1524" s="16"/>
      <c r="J1524" s="16"/>
      <c r="K1524" s="17" t="str">
        <f>IF(J1524="","",ROUND(J1524*Settings!$B$8,2))</f>
        <v/>
      </c>
      <c r="L1524" s="16"/>
      <c r="M1524" s="8" t="str">
        <f t="shared" si="23"/>
        <v/>
      </c>
      <c r="N1524" s="9"/>
    </row>
    <row r="1525" spans="1:14" ht="15.75">
      <c r="A1525" s="11"/>
      <c r="B1525" s="9"/>
      <c r="C1525" s="12" t="str">
        <f>IF(B1525="","",IFERROR(INDEX('Cashier Roster'!$C$5:$C$64,MATCH(B1525,'Cashier Roster'!$B$5:$B$64,0)),"Not on roster"))</f>
        <v/>
      </c>
      <c r="D1525" s="12" t="str">
        <f>IF(B1525="","",IFERROR(INDEX('Cashier Roster'!$D$5:$D$64,MATCH(B1525,'Cashier Roster'!$B$5:$B$64,0)),""))</f>
        <v/>
      </c>
      <c r="E1525" s="13"/>
      <c r="F1525" s="14"/>
      <c r="G1525" s="8" t="str">
        <f>IF(OR(B1525="",E1525=""),"",IF(E1525="No","Missed",IF(F1525="","",IF(F1525&lt;=Settings!$B$7,"On time","Late"))))</f>
        <v/>
      </c>
      <c r="H1525" s="15"/>
      <c r="I1525" s="16"/>
      <c r="J1525" s="16"/>
      <c r="K1525" s="17" t="str">
        <f>IF(J1525="","",ROUND(J1525*Settings!$B$8,2))</f>
        <v/>
      </c>
      <c r="L1525" s="16"/>
      <c r="M1525" s="8" t="str">
        <f t="shared" si="23"/>
        <v/>
      </c>
      <c r="N1525" s="9"/>
    </row>
    <row r="1526" spans="1:14" ht="15.75">
      <c r="A1526" s="11"/>
      <c r="B1526" s="9"/>
      <c r="C1526" s="12" t="str">
        <f>IF(B1526="","",IFERROR(INDEX('Cashier Roster'!$C$5:$C$64,MATCH(B1526,'Cashier Roster'!$B$5:$B$64,0)),"Not on roster"))</f>
        <v/>
      </c>
      <c r="D1526" s="12" t="str">
        <f>IF(B1526="","",IFERROR(INDEX('Cashier Roster'!$D$5:$D$64,MATCH(B1526,'Cashier Roster'!$B$5:$B$64,0)),""))</f>
        <v/>
      </c>
      <c r="E1526" s="13"/>
      <c r="F1526" s="14"/>
      <c r="G1526" s="8" t="str">
        <f>IF(OR(B1526="",E1526=""),"",IF(E1526="No","Missed",IF(F1526="","",IF(F1526&lt;=Settings!$B$7,"On time","Late"))))</f>
        <v/>
      </c>
      <c r="H1526" s="15"/>
      <c r="I1526" s="16"/>
      <c r="J1526" s="16"/>
      <c r="K1526" s="17" t="str">
        <f>IF(J1526="","",ROUND(J1526*Settings!$B$8,2))</f>
        <v/>
      </c>
      <c r="L1526" s="16"/>
      <c r="M1526" s="8" t="str">
        <f t="shared" si="23"/>
        <v/>
      </c>
      <c r="N1526" s="9"/>
    </row>
    <row r="1527" spans="1:14" ht="15.75">
      <c r="A1527" s="11"/>
      <c r="B1527" s="9"/>
      <c r="C1527" s="12" t="str">
        <f>IF(B1527="","",IFERROR(INDEX('Cashier Roster'!$C$5:$C$64,MATCH(B1527,'Cashier Roster'!$B$5:$B$64,0)),"Not on roster"))</f>
        <v/>
      </c>
      <c r="D1527" s="12" t="str">
        <f>IF(B1527="","",IFERROR(INDEX('Cashier Roster'!$D$5:$D$64,MATCH(B1527,'Cashier Roster'!$B$5:$B$64,0)),""))</f>
        <v/>
      </c>
      <c r="E1527" s="13"/>
      <c r="F1527" s="14"/>
      <c r="G1527" s="8" t="str">
        <f>IF(OR(B1527="",E1527=""),"",IF(E1527="No","Missed",IF(F1527="","",IF(F1527&lt;=Settings!$B$7,"On time","Late"))))</f>
        <v/>
      </c>
      <c r="H1527" s="15"/>
      <c r="I1527" s="16"/>
      <c r="J1527" s="16"/>
      <c r="K1527" s="17" t="str">
        <f>IF(J1527="","",ROUND(J1527*Settings!$B$8,2))</f>
        <v/>
      </c>
      <c r="L1527" s="16"/>
      <c r="M1527" s="8" t="str">
        <f t="shared" si="23"/>
        <v/>
      </c>
      <c r="N1527" s="9"/>
    </row>
    <row r="1528" spans="1:14" ht="15.75">
      <c r="A1528" s="11"/>
      <c r="B1528" s="9"/>
      <c r="C1528" s="12" t="str">
        <f>IF(B1528="","",IFERROR(INDEX('Cashier Roster'!$C$5:$C$64,MATCH(B1528,'Cashier Roster'!$B$5:$B$64,0)),"Not on roster"))</f>
        <v/>
      </c>
      <c r="D1528" s="12" t="str">
        <f>IF(B1528="","",IFERROR(INDEX('Cashier Roster'!$D$5:$D$64,MATCH(B1528,'Cashier Roster'!$B$5:$B$64,0)),""))</f>
        <v/>
      </c>
      <c r="E1528" s="13"/>
      <c r="F1528" s="14"/>
      <c r="G1528" s="8" t="str">
        <f>IF(OR(B1528="",E1528=""),"",IF(E1528="No","Missed",IF(F1528="","",IF(F1528&lt;=Settings!$B$7,"On time","Late"))))</f>
        <v/>
      </c>
      <c r="H1528" s="15"/>
      <c r="I1528" s="16"/>
      <c r="J1528" s="16"/>
      <c r="K1528" s="17" t="str">
        <f>IF(J1528="","",ROUND(J1528*Settings!$B$8,2))</f>
        <v/>
      </c>
      <c r="L1528" s="16"/>
      <c r="M1528" s="8" t="str">
        <f t="shared" si="23"/>
        <v/>
      </c>
      <c r="N1528" s="9"/>
    </row>
    <row r="1529" spans="1:14" ht="15.75">
      <c r="A1529" s="11"/>
      <c r="B1529" s="9"/>
      <c r="C1529" s="12" t="str">
        <f>IF(B1529="","",IFERROR(INDEX('Cashier Roster'!$C$5:$C$64,MATCH(B1529,'Cashier Roster'!$B$5:$B$64,0)),"Not on roster"))</f>
        <v/>
      </c>
      <c r="D1529" s="12" t="str">
        <f>IF(B1529="","",IFERROR(INDEX('Cashier Roster'!$D$5:$D$64,MATCH(B1529,'Cashier Roster'!$B$5:$B$64,0)),""))</f>
        <v/>
      </c>
      <c r="E1529" s="13"/>
      <c r="F1529" s="14"/>
      <c r="G1529" s="8" t="str">
        <f>IF(OR(B1529="",E1529=""),"",IF(E1529="No","Missed",IF(F1529="","",IF(F1529&lt;=Settings!$B$7,"On time","Late"))))</f>
        <v/>
      </c>
      <c r="H1529" s="15"/>
      <c r="I1529" s="16"/>
      <c r="J1529" s="16"/>
      <c r="K1529" s="17" t="str">
        <f>IF(J1529="","",ROUND(J1529*Settings!$B$8,2))</f>
        <v/>
      </c>
      <c r="L1529" s="16"/>
      <c r="M1529" s="8" t="str">
        <f t="shared" si="23"/>
        <v/>
      </c>
      <c r="N1529" s="9"/>
    </row>
    <row r="1530" spans="1:14" ht="15.75">
      <c r="A1530" s="11"/>
      <c r="B1530" s="9"/>
      <c r="C1530" s="12" t="str">
        <f>IF(B1530="","",IFERROR(INDEX('Cashier Roster'!$C$5:$C$64,MATCH(B1530,'Cashier Roster'!$B$5:$B$64,0)),"Not on roster"))</f>
        <v/>
      </c>
      <c r="D1530" s="12" t="str">
        <f>IF(B1530="","",IFERROR(INDEX('Cashier Roster'!$D$5:$D$64,MATCH(B1530,'Cashier Roster'!$B$5:$B$64,0)),""))</f>
        <v/>
      </c>
      <c r="E1530" s="13"/>
      <c r="F1530" s="14"/>
      <c r="G1530" s="8" t="str">
        <f>IF(OR(B1530="",E1530=""),"",IF(E1530="No","Missed",IF(F1530="","",IF(F1530&lt;=Settings!$B$7,"On time","Late"))))</f>
        <v/>
      </c>
      <c r="H1530" s="15"/>
      <c r="I1530" s="16"/>
      <c r="J1530" s="16"/>
      <c r="K1530" s="17" t="str">
        <f>IF(J1530="","",ROUND(J1530*Settings!$B$8,2))</f>
        <v/>
      </c>
      <c r="L1530" s="16"/>
      <c r="M1530" s="8" t="str">
        <f t="shared" si="23"/>
        <v/>
      </c>
      <c r="N1530" s="9"/>
    </row>
    <row r="1531" spans="1:14" ht="15.75">
      <c r="A1531" s="11"/>
      <c r="B1531" s="9"/>
      <c r="C1531" s="12" t="str">
        <f>IF(B1531="","",IFERROR(INDEX('Cashier Roster'!$C$5:$C$64,MATCH(B1531,'Cashier Roster'!$B$5:$B$64,0)),"Not on roster"))</f>
        <v/>
      </c>
      <c r="D1531" s="12" t="str">
        <f>IF(B1531="","",IFERROR(INDEX('Cashier Roster'!$D$5:$D$64,MATCH(B1531,'Cashier Roster'!$B$5:$B$64,0)),""))</f>
        <v/>
      </c>
      <c r="E1531" s="13"/>
      <c r="F1531" s="14"/>
      <c r="G1531" s="8" t="str">
        <f>IF(OR(B1531="",E1531=""),"",IF(E1531="No","Missed",IF(F1531="","",IF(F1531&lt;=Settings!$B$7,"On time","Late"))))</f>
        <v/>
      </c>
      <c r="H1531" s="15"/>
      <c r="I1531" s="16"/>
      <c r="J1531" s="16"/>
      <c r="K1531" s="17" t="str">
        <f>IF(J1531="","",ROUND(J1531*Settings!$B$8,2))</f>
        <v/>
      </c>
      <c r="L1531" s="16"/>
      <c r="M1531" s="8" t="str">
        <f t="shared" si="23"/>
        <v/>
      </c>
      <c r="N1531" s="9"/>
    </row>
    <row r="1532" spans="1:14" ht="15.75">
      <c r="A1532" s="11"/>
      <c r="B1532" s="9"/>
      <c r="C1532" s="12" t="str">
        <f>IF(B1532="","",IFERROR(INDEX('Cashier Roster'!$C$5:$C$64,MATCH(B1532,'Cashier Roster'!$B$5:$B$64,0)),"Not on roster"))</f>
        <v/>
      </c>
      <c r="D1532" s="12" t="str">
        <f>IF(B1532="","",IFERROR(INDEX('Cashier Roster'!$D$5:$D$64,MATCH(B1532,'Cashier Roster'!$B$5:$B$64,0)),""))</f>
        <v/>
      </c>
      <c r="E1532" s="13"/>
      <c r="F1532" s="14"/>
      <c r="G1532" s="8" t="str">
        <f>IF(OR(B1532="",E1532=""),"",IF(E1532="No","Missed",IF(F1532="","",IF(F1532&lt;=Settings!$B$7,"On time","Late"))))</f>
        <v/>
      </c>
      <c r="H1532" s="15"/>
      <c r="I1532" s="16"/>
      <c r="J1532" s="16"/>
      <c r="K1532" s="17" t="str">
        <f>IF(J1532="","",ROUND(J1532*Settings!$B$8,2))</f>
        <v/>
      </c>
      <c r="L1532" s="16"/>
      <c r="M1532" s="8" t="str">
        <f t="shared" si="23"/>
        <v/>
      </c>
      <c r="N1532" s="9"/>
    </row>
    <row r="1533" spans="1:14" ht="15.75">
      <c r="A1533" s="11"/>
      <c r="B1533" s="9"/>
      <c r="C1533" s="12" t="str">
        <f>IF(B1533="","",IFERROR(INDEX('Cashier Roster'!$C$5:$C$64,MATCH(B1533,'Cashier Roster'!$B$5:$B$64,0)),"Not on roster"))</f>
        <v/>
      </c>
      <c r="D1533" s="12" t="str">
        <f>IF(B1533="","",IFERROR(INDEX('Cashier Roster'!$D$5:$D$64,MATCH(B1533,'Cashier Roster'!$B$5:$B$64,0)),""))</f>
        <v/>
      </c>
      <c r="E1533" s="13"/>
      <c r="F1533" s="14"/>
      <c r="G1533" s="8" t="str">
        <f>IF(OR(B1533="",E1533=""),"",IF(E1533="No","Missed",IF(F1533="","",IF(F1533&lt;=Settings!$B$7,"On time","Late"))))</f>
        <v/>
      </c>
      <c r="H1533" s="15"/>
      <c r="I1533" s="16"/>
      <c r="J1533" s="16"/>
      <c r="K1533" s="17" t="str">
        <f>IF(J1533="","",ROUND(J1533*Settings!$B$8,2))</f>
        <v/>
      </c>
      <c r="L1533" s="16"/>
      <c r="M1533" s="8" t="str">
        <f t="shared" si="23"/>
        <v/>
      </c>
      <c r="N1533" s="9"/>
    </row>
    <row r="1534" spans="1:14" ht="15.75">
      <c r="A1534" s="11"/>
      <c r="B1534" s="9"/>
      <c r="C1534" s="12" t="str">
        <f>IF(B1534="","",IFERROR(INDEX('Cashier Roster'!$C$5:$C$64,MATCH(B1534,'Cashier Roster'!$B$5:$B$64,0)),"Not on roster"))</f>
        <v/>
      </c>
      <c r="D1534" s="12" t="str">
        <f>IF(B1534="","",IFERROR(INDEX('Cashier Roster'!$D$5:$D$64,MATCH(B1534,'Cashier Roster'!$B$5:$B$64,0)),""))</f>
        <v/>
      </c>
      <c r="E1534" s="13"/>
      <c r="F1534" s="14"/>
      <c r="G1534" s="8" t="str">
        <f>IF(OR(B1534="",E1534=""),"",IF(E1534="No","Missed",IF(F1534="","",IF(F1534&lt;=Settings!$B$7,"On time","Late"))))</f>
        <v/>
      </c>
      <c r="H1534" s="15"/>
      <c r="I1534" s="16"/>
      <c r="J1534" s="16"/>
      <c r="K1534" s="17" t="str">
        <f>IF(J1534="","",ROUND(J1534*Settings!$B$8,2))</f>
        <v/>
      </c>
      <c r="L1534" s="16"/>
      <c r="M1534" s="8" t="str">
        <f t="shared" si="23"/>
        <v/>
      </c>
      <c r="N1534" s="9"/>
    </row>
    <row r="1535" spans="1:14" ht="15.75">
      <c r="A1535" s="11"/>
      <c r="B1535" s="9"/>
      <c r="C1535" s="12" t="str">
        <f>IF(B1535="","",IFERROR(INDEX('Cashier Roster'!$C$5:$C$64,MATCH(B1535,'Cashier Roster'!$B$5:$B$64,0)),"Not on roster"))</f>
        <v/>
      </c>
      <c r="D1535" s="12" t="str">
        <f>IF(B1535="","",IFERROR(INDEX('Cashier Roster'!$D$5:$D$64,MATCH(B1535,'Cashier Roster'!$B$5:$B$64,0)),""))</f>
        <v/>
      </c>
      <c r="E1535" s="13"/>
      <c r="F1535" s="14"/>
      <c r="G1535" s="8" t="str">
        <f>IF(OR(B1535="",E1535=""),"",IF(E1535="No","Missed",IF(F1535="","",IF(F1535&lt;=Settings!$B$7,"On time","Late"))))</f>
        <v/>
      </c>
      <c r="H1535" s="15"/>
      <c r="I1535" s="16"/>
      <c r="J1535" s="16"/>
      <c r="K1535" s="17" t="str">
        <f>IF(J1535="","",ROUND(J1535*Settings!$B$8,2))</f>
        <v/>
      </c>
      <c r="L1535" s="16"/>
      <c r="M1535" s="8" t="str">
        <f t="shared" si="23"/>
        <v/>
      </c>
      <c r="N1535" s="9"/>
    </row>
    <row r="1536" spans="1:14" ht="15.75">
      <c r="A1536" s="11"/>
      <c r="B1536" s="9"/>
      <c r="C1536" s="12" t="str">
        <f>IF(B1536="","",IFERROR(INDEX('Cashier Roster'!$C$5:$C$64,MATCH(B1536,'Cashier Roster'!$B$5:$B$64,0)),"Not on roster"))</f>
        <v/>
      </c>
      <c r="D1536" s="12" t="str">
        <f>IF(B1536="","",IFERROR(INDEX('Cashier Roster'!$D$5:$D$64,MATCH(B1536,'Cashier Roster'!$B$5:$B$64,0)),""))</f>
        <v/>
      </c>
      <c r="E1536" s="13"/>
      <c r="F1536" s="14"/>
      <c r="G1536" s="8" t="str">
        <f>IF(OR(B1536="",E1536=""),"",IF(E1536="No","Missed",IF(F1536="","",IF(F1536&lt;=Settings!$B$7,"On time","Late"))))</f>
        <v/>
      </c>
      <c r="H1536" s="15"/>
      <c r="I1536" s="16"/>
      <c r="J1536" s="16"/>
      <c r="K1536" s="17" t="str">
        <f>IF(J1536="","",ROUND(J1536*Settings!$B$8,2))</f>
        <v/>
      </c>
      <c r="L1536" s="16"/>
      <c r="M1536" s="8" t="str">
        <f t="shared" si="23"/>
        <v/>
      </c>
      <c r="N1536" s="9"/>
    </row>
    <row r="1537" spans="1:14" ht="15.75">
      <c r="A1537" s="11"/>
      <c r="B1537" s="9"/>
      <c r="C1537" s="12" t="str">
        <f>IF(B1537="","",IFERROR(INDEX('Cashier Roster'!$C$5:$C$64,MATCH(B1537,'Cashier Roster'!$B$5:$B$64,0)),"Not on roster"))</f>
        <v/>
      </c>
      <c r="D1537" s="12" t="str">
        <f>IF(B1537="","",IFERROR(INDEX('Cashier Roster'!$D$5:$D$64,MATCH(B1537,'Cashier Roster'!$B$5:$B$64,0)),""))</f>
        <v/>
      </c>
      <c r="E1537" s="13"/>
      <c r="F1537" s="14"/>
      <c r="G1537" s="8" t="str">
        <f>IF(OR(B1537="",E1537=""),"",IF(E1537="No","Missed",IF(F1537="","",IF(F1537&lt;=Settings!$B$7,"On time","Late"))))</f>
        <v/>
      </c>
      <c r="H1537" s="15"/>
      <c r="I1537" s="16"/>
      <c r="J1537" s="16"/>
      <c r="K1537" s="17" t="str">
        <f>IF(J1537="","",ROUND(J1537*Settings!$B$8,2))</f>
        <v/>
      </c>
      <c r="L1537" s="16"/>
      <c r="M1537" s="8" t="str">
        <f t="shared" si="23"/>
        <v/>
      </c>
      <c r="N1537" s="9"/>
    </row>
    <row r="1538" spans="1:14" ht="15.75">
      <c r="A1538" s="11"/>
      <c r="B1538" s="9"/>
      <c r="C1538" s="12" t="str">
        <f>IF(B1538="","",IFERROR(INDEX('Cashier Roster'!$C$5:$C$64,MATCH(B1538,'Cashier Roster'!$B$5:$B$64,0)),"Not on roster"))</f>
        <v/>
      </c>
      <c r="D1538" s="12" t="str">
        <f>IF(B1538="","",IFERROR(INDEX('Cashier Roster'!$D$5:$D$64,MATCH(B1538,'Cashier Roster'!$B$5:$B$64,0)),""))</f>
        <v/>
      </c>
      <c r="E1538" s="13"/>
      <c r="F1538" s="14"/>
      <c r="G1538" s="8" t="str">
        <f>IF(OR(B1538="",E1538=""),"",IF(E1538="No","Missed",IF(F1538="","",IF(F1538&lt;=Settings!$B$7,"On time","Late"))))</f>
        <v/>
      </c>
      <c r="H1538" s="15"/>
      <c r="I1538" s="16"/>
      <c r="J1538" s="16"/>
      <c r="K1538" s="17" t="str">
        <f>IF(J1538="","",ROUND(J1538*Settings!$B$8,2))</f>
        <v/>
      </c>
      <c r="L1538" s="16"/>
      <c r="M1538" s="8" t="str">
        <f t="shared" si="23"/>
        <v/>
      </c>
      <c r="N1538" s="9"/>
    </row>
    <row r="1539" spans="1:14" ht="15.75">
      <c r="A1539" s="11"/>
      <c r="B1539" s="9"/>
      <c r="C1539" s="12" t="str">
        <f>IF(B1539="","",IFERROR(INDEX('Cashier Roster'!$C$5:$C$64,MATCH(B1539,'Cashier Roster'!$B$5:$B$64,0)),"Not on roster"))</f>
        <v/>
      </c>
      <c r="D1539" s="12" t="str">
        <f>IF(B1539="","",IFERROR(INDEX('Cashier Roster'!$D$5:$D$64,MATCH(B1539,'Cashier Roster'!$B$5:$B$64,0)),""))</f>
        <v/>
      </c>
      <c r="E1539" s="13"/>
      <c r="F1539" s="14"/>
      <c r="G1539" s="8" t="str">
        <f>IF(OR(B1539="",E1539=""),"",IF(E1539="No","Missed",IF(F1539="","",IF(F1539&lt;=Settings!$B$7,"On time","Late"))))</f>
        <v/>
      </c>
      <c r="H1539" s="15"/>
      <c r="I1539" s="16"/>
      <c r="J1539" s="16"/>
      <c r="K1539" s="17" t="str">
        <f>IF(J1539="","",ROUND(J1539*Settings!$B$8,2))</f>
        <v/>
      </c>
      <c r="L1539" s="16"/>
      <c r="M1539" s="8" t="str">
        <f t="shared" si="23"/>
        <v/>
      </c>
      <c r="N1539" s="9"/>
    </row>
    <row r="1540" spans="1:14" ht="15.75">
      <c r="A1540" s="11"/>
      <c r="B1540" s="9"/>
      <c r="C1540" s="12" t="str">
        <f>IF(B1540="","",IFERROR(INDEX('Cashier Roster'!$C$5:$C$64,MATCH(B1540,'Cashier Roster'!$B$5:$B$64,0)),"Not on roster"))</f>
        <v/>
      </c>
      <c r="D1540" s="12" t="str">
        <f>IF(B1540="","",IFERROR(INDEX('Cashier Roster'!$D$5:$D$64,MATCH(B1540,'Cashier Roster'!$B$5:$B$64,0)),""))</f>
        <v/>
      </c>
      <c r="E1540" s="13"/>
      <c r="F1540" s="14"/>
      <c r="G1540" s="8" t="str">
        <f>IF(OR(B1540="",E1540=""),"",IF(E1540="No","Missed",IF(F1540="","",IF(F1540&lt;=Settings!$B$7,"On time","Late"))))</f>
        <v/>
      </c>
      <c r="H1540" s="15"/>
      <c r="I1540" s="16"/>
      <c r="J1540" s="16"/>
      <c r="K1540" s="17" t="str">
        <f>IF(J1540="","",ROUND(J1540*Settings!$B$8,2))</f>
        <v/>
      </c>
      <c r="L1540" s="16"/>
      <c r="M1540" s="8" t="str">
        <f t="shared" si="23"/>
        <v/>
      </c>
      <c r="N1540" s="9"/>
    </row>
    <row r="1541" spans="1:14" ht="15.75">
      <c r="A1541" s="11"/>
      <c r="B1541" s="9"/>
      <c r="C1541" s="12" t="str">
        <f>IF(B1541="","",IFERROR(INDEX('Cashier Roster'!$C$5:$C$64,MATCH(B1541,'Cashier Roster'!$B$5:$B$64,0)),"Not on roster"))</f>
        <v/>
      </c>
      <c r="D1541" s="12" t="str">
        <f>IF(B1541="","",IFERROR(INDEX('Cashier Roster'!$D$5:$D$64,MATCH(B1541,'Cashier Roster'!$B$5:$B$64,0)),""))</f>
        <v/>
      </c>
      <c r="E1541" s="13"/>
      <c r="F1541" s="14"/>
      <c r="G1541" s="8" t="str">
        <f>IF(OR(B1541="",E1541=""),"",IF(E1541="No","Missed",IF(F1541="","",IF(F1541&lt;=Settings!$B$7,"On time","Late"))))</f>
        <v/>
      </c>
      <c r="H1541" s="15"/>
      <c r="I1541" s="16"/>
      <c r="J1541" s="16"/>
      <c r="K1541" s="17" t="str">
        <f>IF(J1541="","",ROUND(J1541*Settings!$B$8,2))</f>
        <v/>
      </c>
      <c r="L1541" s="16"/>
      <c r="M1541" s="8" t="str">
        <f t="shared" ref="M1541:M1604" si="24">IF(L1541="","",IF(L1541&lt;=0,"Yes","No"))</f>
        <v/>
      </c>
      <c r="N1541" s="9"/>
    </row>
    <row r="1542" spans="1:14" ht="15.75">
      <c r="A1542" s="11"/>
      <c r="B1542" s="9"/>
      <c r="C1542" s="12" t="str">
        <f>IF(B1542="","",IFERROR(INDEX('Cashier Roster'!$C$5:$C$64,MATCH(B1542,'Cashier Roster'!$B$5:$B$64,0)),"Not on roster"))</f>
        <v/>
      </c>
      <c r="D1542" s="12" t="str">
        <f>IF(B1542="","",IFERROR(INDEX('Cashier Roster'!$D$5:$D$64,MATCH(B1542,'Cashier Roster'!$B$5:$B$64,0)),""))</f>
        <v/>
      </c>
      <c r="E1542" s="13"/>
      <c r="F1542" s="14"/>
      <c r="G1542" s="8" t="str">
        <f>IF(OR(B1542="",E1542=""),"",IF(E1542="No","Missed",IF(F1542="","",IF(F1542&lt;=Settings!$B$7,"On time","Late"))))</f>
        <v/>
      </c>
      <c r="H1542" s="15"/>
      <c r="I1542" s="16"/>
      <c r="J1542" s="16"/>
      <c r="K1542" s="17" t="str">
        <f>IF(J1542="","",ROUND(J1542*Settings!$B$8,2))</f>
        <v/>
      </c>
      <c r="L1542" s="16"/>
      <c r="M1542" s="8" t="str">
        <f t="shared" si="24"/>
        <v/>
      </c>
      <c r="N1542" s="9"/>
    </row>
    <row r="1543" spans="1:14" ht="15.75">
      <c r="A1543" s="11"/>
      <c r="B1543" s="9"/>
      <c r="C1543" s="12" t="str">
        <f>IF(B1543="","",IFERROR(INDEX('Cashier Roster'!$C$5:$C$64,MATCH(B1543,'Cashier Roster'!$B$5:$B$64,0)),"Not on roster"))</f>
        <v/>
      </c>
      <c r="D1543" s="12" t="str">
        <f>IF(B1543="","",IFERROR(INDEX('Cashier Roster'!$D$5:$D$64,MATCH(B1543,'Cashier Roster'!$B$5:$B$64,0)),""))</f>
        <v/>
      </c>
      <c r="E1543" s="13"/>
      <c r="F1543" s="14"/>
      <c r="G1543" s="8" t="str">
        <f>IF(OR(B1543="",E1543=""),"",IF(E1543="No","Missed",IF(F1543="","",IF(F1543&lt;=Settings!$B$7,"On time","Late"))))</f>
        <v/>
      </c>
      <c r="H1543" s="15"/>
      <c r="I1543" s="16"/>
      <c r="J1543" s="16"/>
      <c r="K1543" s="17" t="str">
        <f>IF(J1543="","",ROUND(J1543*Settings!$B$8,2))</f>
        <v/>
      </c>
      <c r="L1543" s="16"/>
      <c r="M1543" s="8" t="str">
        <f t="shared" si="24"/>
        <v/>
      </c>
      <c r="N1543" s="9"/>
    </row>
    <row r="1544" spans="1:14" ht="15.75">
      <c r="A1544" s="11"/>
      <c r="B1544" s="9"/>
      <c r="C1544" s="12" t="str">
        <f>IF(B1544="","",IFERROR(INDEX('Cashier Roster'!$C$5:$C$64,MATCH(B1544,'Cashier Roster'!$B$5:$B$64,0)),"Not on roster"))</f>
        <v/>
      </c>
      <c r="D1544" s="12" t="str">
        <f>IF(B1544="","",IFERROR(INDEX('Cashier Roster'!$D$5:$D$64,MATCH(B1544,'Cashier Roster'!$B$5:$B$64,0)),""))</f>
        <v/>
      </c>
      <c r="E1544" s="13"/>
      <c r="F1544" s="14"/>
      <c r="G1544" s="8" t="str">
        <f>IF(OR(B1544="",E1544=""),"",IF(E1544="No","Missed",IF(F1544="","",IF(F1544&lt;=Settings!$B$7,"On time","Late"))))</f>
        <v/>
      </c>
      <c r="H1544" s="15"/>
      <c r="I1544" s="16"/>
      <c r="J1544" s="16"/>
      <c r="K1544" s="17" t="str">
        <f>IF(J1544="","",ROUND(J1544*Settings!$B$8,2))</f>
        <v/>
      </c>
      <c r="L1544" s="16"/>
      <c r="M1544" s="8" t="str">
        <f t="shared" si="24"/>
        <v/>
      </c>
      <c r="N1544" s="9"/>
    </row>
    <row r="1545" spans="1:14" ht="15.75">
      <c r="A1545" s="11"/>
      <c r="B1545" s="9"/>
      <c r="C1545" s="12" t="str">
        <f>IF(B1545="","",IFERROR(INDEX('Cashier Roster'!$C$5:$C$64,MATCH(B1545,'Cashier Roster'!$B$5:$B$64,0)),"Not on roster"))</f>
        <v/>
      </c>
      <c r="D1545" s="12" t="str">
        <f>IF(B1545="","",IFERROR(INDEX('Cashier Roster'!$D$5:$D$64,MATCH(B1545,'Cashier Roster'!$B$5:$B$64,0)),""))</f>
        <v/>
      </c>
      <c r="E1545" s="13"/>
      <c r="F1545" s="14"/>
      <c r="G1545" s="8" t="str">
        <f>IF(OR(B1545="",E1545=""),"",IF(E1545="No","Missed",IF(F1545="","",IF(F1545&lt;=Settings!$B$7,"On time","Late"))))</f>
        <v/>
      </c>
      <c r="H1545" s="15"/>
      <c r="I1545" s="16"/>
      <c r="J1545" s="16"/>
      <c r="K1545" s="17" t="str">
        <f>IF(J1545="","",ROUND(J1545*Settings!$B$8,2))</f>
        <v/>
      </c>
      <c r="L1545" s="16"/>
      <c r="M1545" s="8" t="str">
        <f t="shared" si="24"/>
        <v/>
      </c>
      <c r="N1545" s="9"/>
    </row>
    <row r="1546" spans="1:14" ht="15.75">
      <c r="A1546" s="11"/>
      <c r="B1546" s="9"/>
      <c r="C1546" s="12" t="str">
        <f>IF(B1546="","",IFERROR(INDEX('Cashier Roster'!$C$5:$C$64,MATCH(B1546,'Cashier Roster'!$B$5:$B$64,0)),"Not on roster"))</f>
        <v/>
      </c>
      <c r="D1546" s="12" t="str">
        <f>IF(B1546="","",IFERROR(INDEX('Cashier Roster'!$D$5:$D$64,MATCH(B1546,'Cashier Roster'!$B$5:$B$64,0)),""))</f>
        <v/>
      </c>
      <c r="E1546" s="13"/>
      <c r="F1546" s="14"/>
      <c r="G1546" s="8" t="str">
        <f>IF(OR(B1546="",E1546=""),"",IF(E1546="No","Missed",IF(F1546="","",IF(F1546&lt;=Settings!$B$7,"On time","Late"))))</f>
        <v/>
      </c>
      <c r="H1546" s="15"/>
      <c r="I1546" s="16"/>
      <c r="J1546" s="16"/>
      <c r="K1546" s="17" t="str">
        <f>IF(J1546="","",ROUND(J1546*Settings!$B$8,2))</f>
        <v/>
      </c>
      <c r="L1546" s="16"/>
      <c r="M1546" s="8" t="str">
        <f t="shared" si="24"/>
        <v/>
      </c>
      <c r="N1546" s="9"/>
    </row>
    <row r="1547" spans="1:14" ht="15.75">
      <c r="A1547" s="11"/>
      <c r="B1547" s="9"/>
      <c r="C1547" s="12" t="str">
        <f>IF(B1547="","",IFERROR(INDEX('Cashier Roster'!$C$5:$C$64,MATCH(B1547,'Cashier Roster'!$B$5:$B$64,0)),"Not on roster"))</f>
        <v/>
      </c>
      <c r="D1547" s="12" t="str">
        <f>IF(B1547="","",IFERROR(INDEX('Cashier Roster'!$D$5:$D$64,MATCH(B1547,'Cashier Roster'!$B$5:$B$64,0)),""))</f>
        <v/>
      </c>
      <c r="E1547" s="13"/>
      <c r="F1547" s="14"/>
      <c r="G1547" s="8" t="str">
        <f>IF(OR(B1547="",E1547=""),"",IF(E1547="No","Missed",IF(F1547="","",IF(F1547&lt;=Settings!$B$7,"On time","Late"))))</f>
        <v/>
      </c>
      <c r="H1547" s="15"/>
      <c r="I1547" s="16"/>
      <c r="J1547" s="16"/>
      <c r="K1547" s="17" t="str">
        <f>IF(J1547="","",ROUND(J1547*Settings!$B$8,2))</f>
        <v/>
      </c>
      <c r="L1547" s="16"/>
      <c r="M1547" s="8" t="str">
        <f t="shared" si="24"/>
        <v/>
      </c>
      <c r="N1547" s="9"/>
    </row>
    <row r="1548" spans="1:14" ht="15.75">
      <c r="A1548" s="11"/>
      <c r="B1548" s="9"/>
      <c r="C1548" s="12" t="str">
        <f>IF(B1548="","",IFERROR(INDEX('Cashier Roster'!$C$5:$C$64,MATCH(B1548,'Cashier Roster'!$B$5:$B$64,0)),"Not on roster"))</f>
        <v/>
      </c>
      <c r="D1548" s="12" t="str">
        <f>IF(B1548="","",IFERROR(INDEX('Cashier Roster'!$D$5:$D$64,MATCH(B1548,'Cashier Roster'!$B$5:$B$64,0)),""))</f>
        <v/>
      </c>
      <c r="E1548" s="13"/>
      <c r="F1548" s="14"/>
      <c r="G1548" s="8" t="str">
        <f>IF(OR(B1548="",E1548=""),"",IF(E1548="No","Missed",IF(F1548="","",IF(F1548&lt;=Settings!$B$7,"On time","Late"))))</f>
        <v/>
      </c>
      <c r="H1548" s="15"/>
      <c r="I1548" s="16"/>
      <c r="J1548" s="16"/>
      <c r="K1548" s="17" t="str">
        <f>IF(J1548="","",ROUND(J1548*Settings!$B$8,2))</f>
        <v/>
      </c>
      <c r="L1548" s="16"/>
      <c r="M1548" s="8" t="str">
        <f t="shared" si="24"/>
        <v/>
      </c>
      <c r="N1548" s="9"/>
    </row>
    <row r="1549" spans="1:14" ht="15.75">
      <c r="A1549" s="11"/>
      <c r="B1549" s="9"/>
      <c r="C1549" s="12" t="str">
        <f>IF(B1549="","",IFERROR(INDEX('Cashier Roster'!$C$5:$C$64,MATCH(B1549,'Cashier Roster'!$B$5:$B$64,0)),"Not on roster"))</f>
        <v/>
      </c>
      <c r="D1549" s="12" t="str">
        <f>IF(B1549="","",IFERROR(INDEX('Cashier Roster'!$D$5:$D$64,MATCH(B1549,'Cashier Roster'!$B$5:$B$64,0)),""))</f>
        <v/>
      </c>
      <c r="E1549" s="13"/>
      <c r="F1549" s="14"/>
      <c r="G1549" s="8" t="str">
        <f>IF(OR(B1549="",E1549=""),"",IF(E1549="No","Missed",IF(F1549="","",IF(F1549&lt;=Settings!$B$7,"On time","Late"))))</f>
        <v/>
      </c>
      <c r="H1549" s="15"/>
      <c r="I1549" s="16"/>
      <c r="J1549" s="16"/>
      <c r="K1549" s="17" t="str">
        <f>IF(J1549="","",ROUND(J1549*Settings!$B$8,2))</f>
        <v/>
      </c>
      <c r="L1549" s="16"/>
      <c r="M1549" s="8" t="str">
        <f t="shared" si="24"/>
        <v/>
      </c>
      <c r="N1549" s="9"/>
    </row>
    <row r="1550" spans="1:14" ht="15.75">
      <c r="A1550" s="11"/>
      <c r="B1550" s="9"/>
      <c r="C1550" s="12" t="str">
        <f>IF(B1550="","",IFERROR(INDEX('Cashier Roster'!$C$5:$C$64,MATCH(B1550,'Cashier Roster'!$B$5:$B$64,0)),"Not on roster"))</f>
        <v/>
      </c>
      <c r="D1550" s="12" t="str">
        <f>IF(B1550="","",IFERROR(INDEX('Cashier Roster'!$D$5:$D$64,MATCH(B1550,'Cashier Roster'!$B$5:$B$64,0)),""))</f>
        <v/>
      </c>
      <c r="E1550" s="13"/>
      <c r="F1550" s="14"/>
      <c r="G1550" s="8" t="str">
        <f>IF(OR(B1550="",E1550=""),"",IF(E1550="No","Missed",IF(F1550="","",IF(F1550&lt;=Settings!$B$7,"On time","Late"))))</f>
        <v/>
      </c>
      <c r="H1550" s="15"/>
      <c r="I1550" s="16"/>
      <c r="J1550" s="16"/>
      <c r="K1550" s="17" t="str">
        <f>IF(J1550="","",ROUND(J1550*Settings!$B$8,2))</f>
        <v/>
      </c>
      <c r="L1550" s="16"/>
      <c r="M1550" s="8" t="str">
        <f t="shared" si="24"/>
        <v/>
      </c>
      <c r="N1550" s="9"/>
    </row>
    <row r="1551" spans="1:14" ht="15.75">
      <c r="A1551" s="11"/>
      <c r="B1551" s="9"/>
      <c r="C1551" s="12" t="str">
        <f>IF(B1551="","",IFERROR(INDEX('Cashier Roster'!$C$5:$C$64,MATCH(B1551,'Cashier Roster'!$B$5:$B$64,0)),"Not on roster"))</f>
        <v/>
      </c>
      <c r="D1551" s="12" t="str">
        <f>IF(B1551="","",IFERROR(INDEX('Cashier Roster'!$D$5:$D$64,MATCH(B1551,'Cashier Roster'!$B$5:$B$64,0)),""))</f>
        <v/>
      </c>
      <c r="E1551" s="13"/>
      <c r="F1551" s="14"/>
      <c r="G1551" s="8" t="str">
        <f>IF(OR(B1551="",E1551=""),"",IF(E1551="No","Missed",IF(F1551="","",IF(F1551&lt;=Settings!$B$7,"On time","Late"))))</f>
        <v/>
      </c>
      <c r="H1551" s="15"/>
      <c r="I1551" s="16"/>
      <c r="J1551" s="16"/>
      <c r="K1551" s="17" t="str">
        <f>IF(J1551="","",ROUND(J1551*Settings!$B$8,2))</f>
        <v/>
      </c>
      <c r="L1551" s="16"/>
      <c r="M1551" s="8" t="str">
        <f t="shared" si="24"/>
        <v/>
      </c>
      <c r="N1551" s="9"/>
    </row>
    <row r="1552" spans="1:14" ht="15.75">
      <c r="A1552" s="11"/>
      <c r="B1552" s="9"/>
      <c r="C1552" s="12" t="str">
        <f>IF(B1552="","",IFERROR(INDEX('Cashier Roster'!$C$5:$C$64,MATCH(B1552,'Cashier Roster'!$B$5:$B$64,0)),"Not on roster"))</f>
        <v/>
      </c>
      <c r="D1552" s="12" t="str">
        <f>IF(B1552="","",IFERROR(INDEX('Cashier Roster'!$D$5:$D$64,MATCH(B1552,'Cashier Roster'!$B$5:$B$64,0)),""))</f>
        <v/>
      </c>
      <c r="E1552" s="13"/>
      <c r="F1552" s="14"/>
      <c r="G1552" s="8" t="str">
        <f>IF(OR(B1552="",E1552=""),"",IF(E1552="No","Missed",IF(F1552="","",IF(F1552&lt;=Settings!$B$7,"On time","Late"))))</f>
        <v/>
      </c>
      <c r="H1552" s="15"/>
      <c r="I1552" s="16"/>
      <c r="J1552" s="16"/>
      <c r="K1552" s="17" t="str">
        <f>IF(J1552="","",ROUND(J1552*Settings!$B$8,2))</f>
        <v/>
      </c>
      <c r="L1552" s="16"/>
      <c r="M1552" s="8" t="str">
        <f t="shared" si="24"/>
        <v/>
      </c>
      <c r="N1552" s="9"/>
    </row>
    <row r="1553" spans="1:14" ht="15.75">
      <c r="A1553" s="11"/>
      <c r="B1553" s="9"/>
      <c r="C1553" s="12" t="str">
        <f>IF(B1553="","",IFERROR(INDEX('Cashier Roster'!$C$5:$C$64,MATCH(B1553,'Cashier Roster'!$B$5:$B$64,0)),"Not on roster"))</f>
        <v/>
      </c>
      <c r="D1553" s="12" t="str">
        <f>IF(B1553="","",IFERROR(INDEX('Cashier Roster'!$D$5:$D$64,MATCH(B1553,'Cashier Roster'!$B$5:$B$64,0)),""))</f>
        <v/>
      </c>
      <c r="E1553" s="13"/>
      <c r="F1553" s="14"/>
      <c r="G1553" s="8" t="str">
        <f>IF(OR(B1553="",E1553=""),"",IF(E1553="No","Missed",IF(F1553="","",IF(F1553&lt;=Settings!$B$7,"On time","Late"))))</f>
        <v/>
      </c>
      <c r="H1553" s="15"/>
      <c r="I1553" s="16"/>
      <c r="J1553" s="16"/>
      <c r="K1553" s="17" t="str">
        <f>IF(J1553="","",ROUND(J1553*Settings!$B$8,2))</f>
        <v/>
      </c>
      <c r="L1553" s="16"/>
      <c r="M1553" s="8" t="str">
        <f t="shared" si="24"/>
        <v/>
      </c>
      <c r="N1553" s="9"/>
    </row>
    <row r="1554" spans="1:14" ht="15.75">
      <c r="A1554" s="11"/>
      <c r="B1554" s="9"/>
      <c r="C1554" s="12" t="str">
        <f>IF(B1554="","",IFERROR(INDEX('Cashier Roster'!$C$5:$C$64,MATCH(B1554,'Cashier Roster'!$B$5:$B$64,0)),"Not on roster"))</f>
        <v/>
      </c>
      <c r="D1554" s="12" t="str">
        <f>IF(B1554="","",IFERROR(INDEX('Cashier Roster'!$D$5:$D$64,MATCH(B1554,'Cashier Roster'!$B$5:$B$64,0)),""))</f>
        <v/>
      </c>
      <c r="E1554" s="13"/>
      <c r="F1554" s="14"/>
      <c r="G1554" s="8" t="str">
        <f>IF(OR(B1554="",E1554=""),"",IF(E1554="No","Missed",IF(F1554="","",IF(F1554&lt;=Settings!$B$7,"On time","Late"))))</f>
        <v/>
      </c>
      <c r="H1554" s="15"/>
      <c r="I1554" s="16"/>
      <c r="J1554" s="16"/>
      <c r="K1554" s="17" t="str">
        <f>IF(J1554="","",ROUND(J1554*Settings!$B$8,2))</f>
        <v/>
      </c>
      <c r="L1554" s="16"/>
      <c r="M1554" s="8" t="str">
        <f t="shared" si="24"/>
        <v/>
      </c>
      <c r="N1554" s="9"/>
    </row>
    <row r="1555" spans="1:14" ht="15.75">
      <c r="A1555" s="11"/>
      <c r="B1555" s="9"/>
      <c r="C1555" s="12" t="str">
        <f>IF(B1555="","",IFERROR(INDEX('Cashier Roster'!$C$5:$C$64,MATCH(B1555,'Cashier Roster'!$B$5:$B$64,0)),"Not on roster"))</f>
        <v/>
      </c>
      <c r="D1555" s="12" t="str">
        <f>IF(B1555="","",IFERROR(INDEX('Cashier Roster'!$D$5:$D$64,MATCH(B1555,'Cashier Roster'!$B$5:$B$64,0)),""))</f>
        <v/>
      </c>
      <c r="E1555" s="13"/>
      <c r="F1555" s="14"/>
      <c r="G1555" s="8" t="str">
        <f>IF(OR(B1555="",E1555=""),"",IF(E1555="No","Missed",IF(F1555="","",IF(F1555&lt;=Settings!$B$7,"On time","Late"))))</f>
        <v/>
      </c>
      <c r="H1555" s="15"/>
      <c r="I1555" s="16"/>
      <c r="J1555" s="16"/>
      <c r="K1555" s="17" t="str">
        <f>IF(J1555="","",ROUND(J1555*Settings!$B$8,2))</f>
        <v/>
      </c>
      <c r="L1555" s="16"/>
      <c r="M1555" s="8" t="str">
        <f t="shared" si="24"/>
        <v/>
      </c>
      <c r="N1555" s="9"/>
    </row>
    <row r="1556" spans="1:14" ht="15.75">
      <c r="A1556" s="11"/>
      <c r="B1556" s="9"/>
      <c r="C1556" s="12" t="str">
        <f>IF(B1556="","",IFERROR(INDEX('Cashier Roster'!$C$5:$C$64,MATCH(B1556,'Cashier Roster'!$B$5:$B$64,0)),"Not on roster"))</f>
        <v/>
      </c>
      <c r="D1556" s="12" t="str">
        <f>IF(B1556="","",IFERROR(INDEX('Cashier Roster'!$D$5:$D$64,MATCH(B1556,'Cashier Roster'!$B$5:$B$64,0)),""))</f>
        <v/>
      </c>
      <c r="E1556" s="13"/>
      <c r="F1556" s="14"/>
      <c r="G1556" s="8" t="str">
        <f>IF(OR(B1556="",E1556=""),"",IF(E1556="No","Missed",IF(F1556="","",IF(F1556&lt;=Settings!$B$7,"On time","Late"))))</f>
        <v/>
      </c>
      <c r="H1556" s="15"/>
      <c r="I1556" s="16"/>
      <c r="J1556" s="16"/>
      <c r="K1556" s="17" t="str">
        <f>IF(J1556="","",ROUND(J1556*Settings!$B$8,2))</f>
        <v/>
      </c>
      <c r="L1556" s="16"/>
      <c r="M1556" s="8" t="str">
        <f t="shared" si="24"/>
        <v/>
      </c>
      <c r="N1556" s="9"/>
    </row>
    <row r="1557" spans="1:14" ht="15.75">
      <c r="A1557" s="11"/>
      <c r="B1557" s="9"/>
      <c r="C1557" s="12" t="str">
        <f>IF(B1557="","",IFERROR(INDEX('Cashier Roster'!$C$5:$C$64,MATCH(B1557,'Cashier Roster'!$B$5:$B$64,0)),"Not on roster"))</f>
        <v/>
      </c>
      <c r="D1557" s="12" t="str">
        <f>IF(B1557="","",IFERROR(INDEX('Cashier Roster'!$D$5:$D$64,MATCH(B1557,'Cashier Roster'!$B$5:$B$64,0)),""))</f>
        <v/>
      </c>
      <c r="E1557" s="13"/>
      <c r="F1557" s="14"/>
      <c r="G1557" s="8" t="str">
        <f>IF(OR(B1557="",E1557=""),"",IF(E1557="No","Missed",IF(F1557="","",IF(F1557&lt;=Settings!$B$7,"On time","Late"))))</f>
        <v/>
      </c>
      <c r="H1557" s="15"/>
      <c r="I1557" s="16"/>
      <c r="J1557" s="16"/>
      <c r="K1557" s="17" t="str">
        <f>IF(J1557="","",ROUND(J1557*Settings!$B$8,2))</f>
        <v/>
      </c>
      <c r="L1557" s="16"/>
      <c r="M1557" s="8" t="str">
        <f t="shared" si="24"/>
        <v/>
      </c>
      <c r="N1557" s="9"/>
    </row>
    <row r="1558" spans="1:14" ht="15.75">
      <c r="A1558" s="11"/>
      <c r="B1558" s="9"/>
      <c r="C1558" s="12" t="str">
        <f>IF(B1558="","",IFERROR(INDEX('Cashier Roster'!$C$5:$C$64,MATCH(B1558,'Cashier Roster'!$B$5:$B$64,0)),"Not on roster"))</f>
        <v/>
      </c>
      <c r="D1558" s="12" t="str">
        <f>IF(B1558="","",IFERROR(INDEX('Cashier Roster'!$D$5:$D$64,MATCH(B1558,'Cashier Roster'!$B$5:$B$64,0)),""))</f>
        <v/>
      </c>
      <c r="E1558" s="13"/>
      <c r="F1558" s="14"/>
      <c r="G1558" s="8" t="str">
        <f>IF(OR(B1558="",E1558=""),"",IF(E1558="No","Missed",IF(F1558="","",IF(F1558&lt;=Settings!$B$7,"On time","Late"))))</f>
        <v/>
      </c>
      <c r="H1558" s="15"/>
      <c r="I1558" s="16"/>
      <c r="J1558" s="16"/>
      <c r="K1558" s="17" t="str">
        <f>IF(J1558="","",ROUND(J1558*Settings!$B$8,2))</f>
        <v/>
      </c>
      <c r="L1558" s="16"/>
      <c r="M1558" s="8" t="str">
        <f t="shared" si="24"/>
        <v/>
      </c>
      <c r="N1558" s="9"/>
    </row>
    <row r="1559" spans="1:14" ht="15.75">
      <c r="A1559" s="11"/>
      <c r="B1559" s="9"/>
      <c r="C1559" s="12" t="str">
        <f>IF(B1559="","",IFERROR(INDEX('Cashier Roster'!$C$5:$C$64,MATCH(B1559,'Cashier Roster'!$B$5:$B$64,0)),"Not on roster"))</f>
        <v/>
      </c>
      <c r="D1559" s="12" t="str">
        <f>IF(B1559="","",IFERROR(INDEX('Cashier Roster'!$D$5:$D$64,MATCH(B1559,'Cashier Roster'!$B$5:$B$64,0)),""))</f>
        <v/>
      </c>
      <c r="E1559" s="13"/>
      <c r="F1559" s="14"/>
      <c r="G1559" s="8" t="str">
        <f>IF(OR(B1559="",E1559=""),"",IF(E1559="No","Missed",IF(F1559="","",IF(F1559&lt;=Settings!$B$7,"On time","Late"))))</f>
        <v/>
      </c>
      <c r="H1559" s="15"/>
      <c r="I1559" s="16"/>
      <c r="J1559" s="16"/>
      <c r="K1559" s="17" t="str">
        <f>IF(J1559="","",ROUND(J1559*Settings!$B$8,2))</f>
        <v/>
      </c>
      <c r="L1559" s="16"/>
      <c r="M1559" s="8" t="str">
        <f t="shared" si="24"/>
        <v/>
      </c>
      <c r="N1559" s="9"/>
    </row>
    <row r="1560" spans="1:14" ht="15.75">
      <c r="A1560" s="11"/>
      <c r="B1560" s="9"/>
      <c r="C1560" s="12" t="str">
        <f>IF(B1560="","",IFERROR(INDEX('Cashier Roster'!$C$5:$C$64,MATCH(B1560,'Cashier Roster'!$B$5:$B$64,0)),"Not on roster"))</f>
        <v/>
      </c>
      <c r="D1560" s="12" t="str">
        <f>IF(B1560="","",IFERROR(INDEX('Cashier Roster'!$D$5:$D$64,MATCH(B1560,'Cashier Roster'!$B$5:$B$64,0)),""))</f>
        <v/>
      </c>
      <c r="E1560" s="13"/>
      <c r="F1560" s="14"/>
      <c r="G1560" s="8" t="str">
        <f>IF(OR(B1560="",E1560=""),"",IF(E1560="No","Missed",IF(F1560="","",IF(F1560&lt;=Settings!$B$7,"On time","Late"))))</f>
        <v/>
      </c>
      <c r="H1560" s="15"/>
      <c r="I1560" s="16"/>
      <c r="J1560" s="16"/>
      <c r="K1560" s="17" t="str">
        <f>IF(J1560="","",ROUND(J1560*Settings!$B$8,2))</f>
        <v/>
      </c>
      <c r="L1560" s="16"/>
      <c r="M1560" s="8" t="str">
        <f t="shared" si="24"/>
        <v/>
      </c>
      <c r="N1560" s="9"/>
    </row>
    <row r="1561" spans="1:14" ht="15.75">
      <c r="A1561" s="11"/>
      <c r="B1561" s="9"/>
      <c r="C1561" s="12" t="str">
        <f>IF(B1561="","",IFERROR(INDEX('Cashier Roster'!$C$5:$C$64,MATCH(B1561,'Cashier Roster'!$B$5:$B$64,0)),"Not on roster"))</f>
        <v/>
      </c>
      <c r="D1561" s="12" t="str">
        <f>IF(B1561="","",IFERROR(INDEX('Cashier Roster'!$D$5:$D$64,MATCH(B1561,'Cashier Roster'!$B$5:$B$64,0)),""))</f>
        <v/>
      </c>
      <c r="E1561" s="13"/>
      <c r="F1561" s="14"/>
      <c r="G1561" s="8" t="str">
        <f>IF(OR(B1561="",E1561=""),"",IF(E1561="No","Missed",IF(F1561="","",IF(F1561&lt;=Settings!$B$7,"On time","Late"))))</f>
        <v/>
      </c>
      <c r="H1561" s="15"/>
      <c r="I1561" s="16"/>
      <c r="J1561" s="16"/>
      <c r="K1561" s="17" t="str">
        <f>IF(J1561="","",ROUND(J1561*Settings!$B$8,2))</f>
        <v/>
      </c>
      <c r="L1561" s="16"/>
      <c r="M1561" s="8" t="str">
        <f t="shared" si="24"/>
        <v/>
      </c>
      <c r="N1561" s="9"/>
    </row>
    <row r="1562" spans="1:14" ht="15.75">
      <c r="A1562" s="11"/>
      <c r="B1562" s="9"/>
      <c r="C1562" s="12" t="str">
        <f>IF(B1562="","",IFERROR(INDEX('Cashier Roster'!$C$5:$C$64,MATCH(B1562,'Cashier Roster'!$B$5:$B$64,0)),"Not on roster"))</f>
        <v/>
      </c>
      <c r="D1562" s="12" t="str">
        <f>IF(B1562="","",IFERROR(INDEX('Cashier Roster'!$D$5:$D$64,MATCH(B1562,'Cashier Roster'!$B$5:$B$64,0)),""))</f>
        <v/>
      </c>
      <c r="E1562" s="13"/>
      <c r="F1562" s="14"/>
      <c r="G1562" s="8" t="str">
        <f>IF(OR(B1562="",E1562=""),"",IF(E1562="No","Missed",IF(F1562="","",IF(F1562&lt;=Settings!$B$7,"On time","Late"))))</f>
        <v/>
      </c>
      <c r="H1562" s="15"/>
      <c r="I1562" s="16"/>
      <c r="J1562" s="16"/>
      <c r="K1562" s="17" t="str">
        <f>IF(J1562="","",ROUND(J1562*Settings!$B$8,2))</f>
        <v/>
      </c>
      <c r="L1562" s="16"/>
      <c r="M1562" s="8" t="str">
        <f t="shared" si="24"/>
        <v/>
      </c>
      <c r="N1562" s="9"/>
    </row>
    <row r="1563" spans="1:14" ht="15.75">
      <c r="A1563" s="11"/>
      <c r="B1563" s="9"/>
      <c r="C1563" s="12" t="str">
        <f>IF(B1563="","",IFERROR(INDEX('Cashier Roster'!$C$5:$C$64,MATCH(B1563,'Cashier Roster'!$B$5:$B$64,0)),"Not on roster"))</f>
        <v/>
      </c>
      <c r="D1563" s="12" t="str">
        <f>IF(B1563="","",IFERROR(INDEX('Cashier Roster'!$D$5:$D$64,MATCH(B1563,'Cashier Roster'!$B$5:$B$64,0)),""))</f>
        <v/>
      </c>
      <c r="E1563" s="13"/>
      <c r="F1563" s="14"/>
      <c r="G1563" s="8" t="str">
        <f>IF(OR(B1563="",E1563=""),"",IF(E1563="No","Missed",IF(F1563="","",IF(F1563&lt;=Settings!$B$7,"On time","Late"))))</f>
        <v/>
      </c>
      <c r="H1563" s="15"/>
      <c r="I1563" s="16"/>
      <c r="J1563" s="16"/>
      <c r="K1563" s="17" t="str">
        <f>IF(J1563="","",ROUND(J1563*Settings!$B$8,2))</f>
        <v/>
      </c>
      <c r="L1563" s="16"/>
      <c r="M1563" s="8" t="str">
        <f t="shared" si="24"/>
        <v/>
      </c>
      <c r="N1563" s="9"/>
    </row>
    <row r="1564" spans="1:14" ht="15.75">
      <c r="A1564" s="11"/>
      <c r="B1564" s="9"/>
      <c r="C1564" s="12" t="str">
        <f>IF(B1564="","",IFERROR(INDEX('Cashier Roster'!$C$5:$C$64,MATCH(B1564,'Cashier Roster'!$B$5:$B$64,0)),"Not on roster"))</f>
        <v/>
      </c>
      <c r="D1564" s="12" t="str">
        <f>IF(B1564="","",IFERROR(INDEX('Cashier Roster'!$D$5:$D$64,MATCH(B1564,'Cashier Roster'!$B$5:$B$64,0)),""))</f>
        <v/>
      </c>
      <c r="E1564" s="13"/>
      <c r="F1564" s="14"/>
      <c r="G1564" s="8" t="str">
        <f>IF(OR(B1564="",E1564=""),"",IF(E1564="No","Missed",IF(F1564="","",IF(F1564&lt;=Settings!$B$7,"On time","Late"))))</f>
        <v/>
      </c>
      <c r="H1564" s="15"/>
      <c r="I1564" s="16"/>
      <c r="J1564" s="16"/>
      <c r="K1564" s="17" t="str">
        <f>IF(J1564="","",ROUND(J1564*Settings!$B$8,2))</f>
        <v/>
      </c>
      <c r="L1564" s="16"/>
      <c r="M1564" s="8" t="str">
        <f t="shared" si="24"/>
        <v/>
      </c>
      <c r="N1564" s="9"/>
    </row>
    <row r="1565" spans="1:14" ht="15.75">
      <c r="A1565" s="11"/>
      <c r="B1565" s="9"/>
      <c r="C1565" s="12" t="str">
        <f>IF(B1565="","",IFERROR(INDEX('Cashier Roster'!$C$5:$C$64,MATCH(B1565,'Cashier Roster'!$B$5:$B$64,0)),"Not on roster"))</f>
        <v/>
      </c>
      <c r="D1565" s="12" t="str">
        <f>IF(B1565="","",IFERROR(INDEX('Cashier Roster'!$D$5:$D$64,MATCH(B1565,'Cashier Roster'!$B$5:$B$64,0)),""))</f>
        <v/>
      </c>
      <c r="E1565" s="13"/>
      <c r="F1565" s="14"/>
      <c r="G1565" s="8" t="str">
        <f>IF(OR(B1565="",E1565=""),"",IF(E1565="No","Missed",IF(F1565="","",IF(F1565&lt;=Settings!$B$7,"On time","Late"))))</f>
        <v/>
      </c>
      <c r="H1565" s="15"/>
      <c r="I1565" s="16"/>
      <c r="J1565" s="16"/>
      <c r="K1565" s="17" t="str">
        <f>IF(J1565="","",ROUND(J1565*Settings!$B$8,2))</f>
        <v/>
      </c>
      <c r="L1565" s="16"/>
      <c r="M1565" s="8" t="str">
        <f t="shared" si="24"/>
        <v/>
      </c>
      <c r="N1565" s="9"/>
    </row>
    <row r="1566" spans="1:14" ht="15.75">
      <c r="A1566" s="11"/>
      <c r="B1566" s="9"/>
      <c r="C1566" s="12" t="str">
        <f>IF(B1566="","",IFERROR(INDEX('Cashier Roster'!$C$5:$C$64,MATCH(B1566,'Cashier Roster'!$B$5:$B$64,0)),"Not on roster"))</f>
        <v/>
      </c>
      <c r="D1566" s="12" t="str">
        <f>IF(B1566="","",IFERROR(INDEX('Cashier Roster'!$D$5:$D$64,MATCH(B1566,'Cashier Roster'!$B$5:$B$64,0)),""))</f>
        <v/>
      </c>
      <c r="E1566" s="13"/>
      <c r="F1566" s="14"/>
      <c r="G1566" s="8" t="str">
        <f>IF(OR(B1566="",E1566=""),"",IF(E1566="No","Missed",IF(F1566="","",IF(F1566&lt;=Settings!$B$7,"On time","Late"))))</f>
        <v/>
      </c>
      <c r="H1566" s="15"/>
      <c r="I1566" s="16"/>
      <c r="J1566" s="16"/>
      <c r="K1566" s="17" t="str">
        <f>IF(J1566="","",ROUND(J1566*Settings!$B$8,2))</f>
        <v/>
      </c>
      <c r="L1566" s="16"/>
      <c r="M1566" s="8" t="str">
        <f t="shared" si="24"/>
        <v/>
      </c>
      <c r="N1566" s="9"/>
    </row>
    <row r="1567" spans="1:14" ht="15.75">
      <c r="A1567" s="11"/>
      <c r="B1567" s="9"/>
      <c r="C1567" s="12" t="str">
        <f>IF(B1567="","",IFERROR(INDEX('Cashier Roster'!$C$5:$C$64,MATCH(B1567,'Cashier Roster'!$B$5:$B$64,0)),"Not on roster"))</f>
        <v/>
      </c>
      <c r="D1567" s="12" t="str">
        <f>IF(B1567="","",IFERROR(INDEX('Cashier Roster'!$D$5:$D$64,MATCH(B1567,'Cashier Roster'!$B$5:$B$64,0)),""))</f>
        <v/>
      </c>
      <c r="E1567" s="13"/>
      <c r="F1567" s="14"/>
      <c r="G1567" s="8" t="str">
        <f>IF(OR(B1567="",E1567=""),"",IF(E1567="No","Missed",IF(F1567="","",IF(F1567&lt;=Settings!$B$7,"On time","Late"))))</f>
        <v/>
      </c>
      <c r="H1567" s="15"/>
      <c r="I1567" s="16"/>
      <c r="J1567" s="16"/>
      <c r="K1567" s="17" t="str">
        <f>IF(J1567="","",ROUND(J1567*Settings!$B$8,2))</f>
        <v/>
      </c>
      <c r="L1567" s="16"/>
      <c r="M1567" s="8" t="str">
        <f t="shared" si="24"/>
        <v/>
      </c>
      <c r="N1567" s="9"/>
    </row>
    <row r="1568" spans="1:14" ht="15.75">
      <c r="A1568" s="11"/>
      <c r="B1568" s="9"/>
      <c r="C1568" s="12" t="str">
        <f>IF(B1568="","",IFERROR(INDEX('Cashier Roster'!$C$5:$C$64,MATCH(B1568,'Cashier Roster'!$B$5:$B$64,0)),"Not on roster"))</f>
        <v/>
      </c>
      <c r="D1568" s="12" t="str">
        <f>IF(B1568="","",IFERROR(INDEX('Cashier Roster'!$D$5:$D$64,MATCH(B1568,'Cashier Roster'!$B$5:$B$64,0)),""))</f>
        <v/>
      </c>
      <c r="E1568" s="13"/>
      <c r="F1568" s="14"/>
      <c r="G1568" s="8" t="str">
        <f>IF(OR(B1568="",E1568=""),"",IF(E1568="No","Missed",IF(F1568="","",IF(F1568&lt;=Settings!$B$7,"On time","Late"))))</f>
        <v/>
      </c>
      <c r="H1568" s="15"/>
      <c r="I1568" s="16"/>
      <c r="J1568" s="16"/>
      <c r="K1568" s="17" t="str">
        <f>IF(J1568="","",ROUND(J1568*Settings!$B$8,2))</f>
        <v/>
      </c>
      <c r="L1568" s="16"/>
      <c r="M1568" s="8" t="str">
        <f t="shared" si="24"/>
        <v/>
      </c>
      <c r="N1568" s="9"/>
    </row>
    <row r="1569" spans="1:14" ht="15.75">
      <c r="A1569" s="11"/>
      <c r="B1569" s="9"/>
      <c r="C1569" s="12" t="str">
        <f>IF(B1569="","",IFERROR(INDEX('Cashier Roster'!$C$5:$C$64,MATCH(B1569,'Cashier Roster'!$B$5:$B$64,0)),"Not on roster"))</f>
        <v/>
      </c>
      <c r="D1569" s="12" t="str">
        <f>IF(B1569="","",IFERROR(INDEX('Cashier Roster'!$D$5:$D$64,MATCH(B1569,'Cashier Roster'!$B$5:$B$64,0)),""))</f>
        <v/>
      </c>
      <c r="E1569" s="13"/>
      <c r="F1569" s="14"/>
      <c r="G1569" s="8" t="str">
        <f>IF(OR(B1569="",E1569=""),"",IF(E1569="No","Missed",IF(F1569="","",IF(F1569&lt;=Settings!$B$7,"On time","Late"))))</f>
        <v/>
      </c>
      <c r="H1569" s="15"/>
      <c r="I1569" s="16"/>
      <c r="J1569" s="16"/>
      <c r="K1569" s="17" t="str">
        <f>IF(J1569="","",ROUND(J1569*Settings!$B$8,2))</f>
        <v/>
      </c>
      <c r="L1569" s="16"/>
      <c r="M1569" s="8" t="str">
        <f t="shared" si="24"/>
        <v/>
      </c>
      <c r="N1569" s="9"/>
    </row>
    <row r="1570" spans="1:14" ht="15.75">
      <c r="A1570" s="11"/>
      <c r="B1570" s="9"/>
      <c r="C1570" s="12" t="str">
        <f>IF(B1570="","",IFERROR(INDEX('Cashier Roster'!$C$5:$C$64,MATCH(B1570,'Cashier Roster'!$B$5:$B$64,0)),"Not on roster"))</f>
        <v/>
      </c>
      <c r="D1570" s="12" t="str">
        <f>IF(B1570="","",IFERROR(INDEX('Cashier Roster'!$D$5:$D$64,MATCH(B1570,'Cashier Roster'!$B$5:$B$64,0)),""))</f>
        <v/>
      </c>
      <c r="E1570" s="13"/>
      <c r="F1570" s="14"/>
      <c r="G1570" s="8" t="str">
        <f>IF(OR(B1570="",E1570=""),"",IF(E1570="No","Missed",IF(F1570="","",IF(F1570&lt;=Settings!$B$7,"On time","Late"))))</f>
        <v/>
      </c>
      <c r="H1570" s="15"/>
      <c r="I1570" s="16"/>
      <c r="J1570" s="16"/>
      <c r="K1570" s="17" t="str">
        <f>IF(J1570="","",ROUND(J1570*Settings!$B$8,2))</f>
        <v/>
      </c>
      <c r="L1570" s="16"/>
      <c r="M1570" s="8" t="str">
        <f t="shared" si="24"/>
        <v/>
      </c>
      <c r="N1570" s="9"/>
    </row>
    <row r="1571" spans="1:14" ht="15.75">
      <c r="A1571" s="11"/>
      <c r="B1571" s="9"/>
      <c r="C1571" s="12" t="str">
        <f>IF(B1571="","",IFERROR(INDEX('Cashier Roster'!$C$5:$C$64,MATCH(B1571,'Cashier Roster'!$B$5:$B$64,0)),"Not on roster"))</f>
        <v/>
      </c>
      <c r="D1571" s="12" t="str">
        <f>IF(B1571="","",IFERROR(INDEX('Cashier Roster'!$D$5:$D$64,MATCH(B1571,'Cashier Roster'!$B$5:$B$64,0)),""))</f>
        <v/>
      </c>
      <c r="E1571" s="13"/>
      <c r="F1571" s="14"/>
      <c r="G1571" s="8" t="str">
        <f>IF(OR(B1571="",E1571=""),"",IF(E1571="No","Missed",IF(F1571="","",IF(F1571&lt;=Settings!$B$7,"On time","Late"))))</f>
        <v/>
      </c>
      <c r="H1571" s="15"/>
      <c r="I1571" s="16"/>
      <c r="J1571" s="16"/>
      <c r="K1571" s="17" t="str">
        <f>IF(J1571="","",ROUND(J1571*Settings!$B$8,2))</f>
        <v/>
      </c>
      <c r="L1571" s="16"/>
      <c r="M1571" s="8" t="str">
        <f t="shared" si="24"/>
        <v/>
      </c>
      <c r="N1571" s="9"/>
    </row>
    <row r="1572" spans="1:14" ht="15.75">
      <c r="A1572" s="11"/>
      <c r="B1572" s="9"/>
      <c r="C1572" s="12" t="str">
        <f>IF(B1572="","",IFERROR(INDEX('Cashier Roster'!$C$5:$C$64,MATCH(B1572,'Cashier Roster'!$B$5:$B$64,0)),"Not on roster"))</f>
        <v/>
      </c>
      <c r="D1572" s="12" t="str">
        <f>IF(B1572="","",IFERROR(INDEX('Cashier Roster'!$D$5:$D$64,MATCH(B1572,'Cashier Roster'!$B$5:$B$64,0)),""))</f>
        <v/>
      </c>
      <c r="E1572" s="13"/>
      <c r="F1572" s="14"/>
      <c r="G1572" s="8" t="str">
        <f>IF(OR(B1572="",E1572=""),"",IF(E1572="No","Missed",IF(F1572="","",IF(F1572&lt;=Settings!$B$7,"On time","Late"))))</f>
        <v/>
      </c>
      <c r="H1572" s="15"/>
      <c r="I1572" s="16"/>
      <c r="J1572" s="16"/>
      <c r="K1572" s="17" t="str">
        <f>IF(J1572="","",ROUND(J1572*Settings!$B$8,2))</f>
        <v/>
      </c>
      <c r="L1572" s="16"/>
      <c r="M1572" s="8" t="str">
        <f t="shared" si="24"/>
        <v/>
      </c>
      <c r="N1572" s="9"/>
    </row>
    <row r="1573" spans="1:14" ht="15.75">
      <c r="A1573" s="11"/>
      <c r="B1573" s="9"/>
      <c r="C1573" s="12" t="str">
        <f>IF(B1573="","",IFERROR(INDEX('Cashier Roster'!$C$5:$C$64,MATCH(B1573,'Cashier Roster'!$B$5:$B$64,0)),"Not on roster"))</f>
        <v/>
      </c>
      <c r="D1573" s="12" t="str">
        <f>IF(B1573="","",IFERROR(INDEX('Cashier Roster'!$D$5:$D$64,MATCH(B1573,'Cashier Roster'!$B$5:$B$64,0)),""))</f>
        <v/>
      </c>
      <c r="E1573" s="13"/>
      <c r="F1573" s="14"/>
      <c r="G1573" s="8" t="str">
        <f>IF(OR(B1573="",E1573=""),"",IF(E1573="No","Missed",IF(F1573="","",IF(F1573&lt;=Settings!$B$7,"On time","Late"))))</f>
        <v/>
      </c>
      <c r="H1573" s="15"/>
      <c r="I1573" s="16"/>
      <c r="J1573" s="16"/>
      <c r="K1573" s="17" t="str">
        <f>IF(J1573="","",ROUND(J1573*Settings!$B$8,2))</f>
        <v/>
      </c>
      <c r="L1573" s="16"/>
      <c r="M1573" s="8" t="str">
        <f t="shared" si="24"/>
        <v/>
      </c>
      <c r="N1573" s="9"/>
    </row>
    <row r="1574" spans="1:14" ht="15.75">
      <c r="A1574" s="11"/>
      <c r="B1574" s="9"/>
      <c r="C1574" s="12" t="str">
        <f>IF(B1574="","",IFERROR(INDEX('Cashier Roster'!$C$5:$C$64,MATCH(B1574,'Cashier Roster'!$B$5:$B$64,0)),"Not on roster"))</f>
        <v/>
      </c>
      <c r="D1574" s="12" t="str">
        <f>IF(B1574="","",IFERROR(INDEX('Cashier Roster'!$D$5:$D$64,MATCH(B1574,'Cashier Roster'!$B$5:$B$64,0)),""))</f>
        <v/>
      </c>
      <c r="E1574" s="13"/>
      <c r="F1574" s="14"/>
      <c r="G1574" s="8" t="str">
        <f>IF(OR(B1574="",E1574=""),"",IF(E1574="No","Missed",IF(F1574="","",IF(F1574&lt;=Settings!$B$7,"On time","Late"))))</f>
        <v/>
      </c>
      <c r="H1574" s="15"/>
      <c r="I1574" s="16"/>
      <c r="J1574" s="16"/>
      <c r="K1574" s="17" t="str">
        <f>IF(J1574="","",ROUND(J1574*Settings!$B$8,2))</f>
        <v/>
      </c>
      <c r="L1574" s="16"/>
      <c r="M1574" s="8" t="str">
        <f t="shared" si="24"/>
        <v/>
      </c>
      <c r="N1574" s="9"/>
    </row>
    <row r="1575" spans="1:14" ht="15.75">
      <c r="A1575" s="11"/>
      <c r="B1575" s="9"/>
      <c r="C1575" s="12" t="str">
        <f>IF(B1575="","",IFERROR(INDEX('Cashier Roster'!$C$5:$C$64,MATCH(B1575,'Cashier Roster'!$B$5:$B$64,0)),"Not on roster"))</f>
        <v/>
      </c>
      <c r="D1575" s="12" t="str">
        <f>IF(B1575="","",IFERROR(INDEX('Cashier Roster'!$D$5:$D$64,MATCH(B1575,'Cashier Roster'!$B$5:$B$64,0)),""))</f>
        <v/>
      </c>
      <c r="E1575" s="13"/>
      <c r="F1575" s="14"/>
      <c r="G1575" s="8" t="str">
        <f>IF(OR(B1575="",E1575=""),"",IF(E1575="No","Missed",IF(F1575="","",IF(F1575&lt;=Settings!$B$7,"On time","Late"))))</f>
        <v/>
      </c>
      <c r="H1575" s="15"/>
      <c r="I1575" s="16"/>
      <c r="J1575" s="16"/>
      <c r="K1575" s="17" t="str">
        <f>IF(J1575="","",ROUND(J1575*Settings!$B$8,2))</f>
        <v/>
      </c>
      <c r="L1575" s="16"/>
      <c r="M1575" s="8" t="str">
        <f t="shared" si="24"/>
        <v/>
      </c>
      <c r="N1575" s="9"/>
    </row>
    <row r="1576" spans="1:14" ht="15.75">
      <c r="A1576" s="11"/>
      <c r="B1576" s="9"/>
      <c r="C1576" s="12" t="str">
        <f>IF(B1576="","",IFERROR(INDEX('Cashier Roster'!$C$5:$C$64,MATCH(B1576,'Cashier Roster'!$B$5:$B$64,0)),"Not on roster"))</f>
        <v/>
      </c>
      <c r="D1576" s="12" t="str">
        <f>IF(B1576="","",IFERROR(INDEX('Cashier Roster'!$D$5:$D$64,MATCH(B1576,'Cashier Roster'!$B$5:$B$64,0)),""))</f>
        <v/>
      </c>
      <c r="E1576" s="13"/>
      <c r="F1576" s="14"/>
      <c r="G1576" s="8" t="str">
        <f>IF(OR(B1576="",E1576=""),"",IF(E1576="No","Missed",IF(F1576="","",IF(F1576&lt;=Settings!$B$7,"On time","Late"))))</f>
        <v/>
      </c>
      <c r="H1576" s="15"/>
      <c r="I1576" s="16"/>
      <c r="J1576" s="16"/>
      <c r="K1576" s="17" t="str">
        <f>IF(J1576="","",ROUND(J1576*Settings!$B$8,2))</f>
        <v/>
      </c>
      <c r="L1576" s="16"/>
      <c r="M1576" s="8" t="str">
        <f t="shared" si="24"/>
        <v/>
      </c>
      <c r="N1576" s="9"/>
    </row>
    <row r="1577" spans="1:14" ht="15.75">
      <c r="A1577" s="11"/>
      <c r="B1577" s="9"/>
      <c r="C1577" s="12" t="str">
        <f>IF(B1577="","",IFERROR(INDEX('Cashier Roster'!$C$5:$C$64,MATCH(B1577,'Cashier Roster'!$B$5:$B$64,0)),"Not on roster"))</f>
        <v/>
      </c>
      <c r="D1577" s="12" t="str">
        <f>IF(B1577="","",IFERROR(INDEX('Cashier Roster'!$D$5:$D$64,MATCH(B1577,'Cashier Roster'!$B$5:$B$64,0)),""))</f>
        <v/>
      </c>
      <c r="E1577" s="13"/>
      <c r="F1577" s="14"/>
      <c r="G1577" s="8" t="str">
        <f>IF(OR(B1577="",E1577=""),"",IF(E1577="No","Missed",IF(F1577="","",IF(F1577&lt;=Settings!$B$7,"On time","Late"))))</f>
        <v/>
      </c>
      <c r="H1577" s="15"/>
      <c r="I1577" s="16"/>
      <c r="J1577" s="16"/>
      <c r="K1577" s="17" t="str">
        <f>IF(J1577="","",ROUND(J1577*Settings!$B$8,2))</f>
        <v/>
      </c>
      <c r="L1577" s="16"/>
      <c r="M1577" s="8" t="str">
        <f t="shared" si="24"/>
        <v/>
      </c>
      <c r="N1577" s="9"/>
    </row>
    <row r="1578" spans="1:14" ht="15.75">
      <c r="A1578" s="11"/>
      <c r="B1578" s="9"/>
      <c r="C1578" s="12" t="str">
        <f>IF(B1578="","",IFERROR(INDEX('Cashier Roster'!$C$5:$C$64,MATCH(B1578,'Cashier Roster'!$B$5:$B$64,0)),"Not on roster"))</f>
        <v/>
      </c>
      <c r="D1578" s="12" t="str">
        <f>IF(B1578="","",IFERROR(INDEX('Cashier Roster'!$D$5:$D$64,MATCH(B1578,'Cashier Roster'!$B$5:$B$64,0)),""))</f>
        <v/>
      </c>
      <c r="E1578" s="13"/>
      <c r="F1578" s="14"/>
      <c r="G1578" s="8" t="str">
        <f>IF(OR(B1578="",E1578=""),"",IF(E1578="No","Missed",IF(F1578="","",IF(F1578&lt;=Settings!$B$7,"On time","Late"))))</f>
        <v/>
      </c>
      <c r="H1578" s="15"/>
      <c r="I1578" s="16"/>
      <c r="J1578" s="16"/>
      <c r="K1578" s="17" t="str">
        <f>IF(J1578="","",ROUND(J1578*Settings!$B$8,2))</f>
        <v/>
      </c>
      <c r="L1578" s="16"/>
      <c r="M1578" s="8" t="str">
        <f t="shared" si="24"/>
        <v/>
      </c>
      <c r="N1578" s="9"/>
    </row>
    <row r="1579" spans="1:14" ht="15.75">
      <c r="A1579" s="11"/>
      <c r="B1579" s="9"/>
      <c r="C1579" s="12" t="str">
        <f>IF(B1579="","",IFERROR(INDEX('Cashier Roster'!$C$5:$C$64,MATCH(B1579,'Cashier Roster'!$B$5:$B$64,0)),"Not on roster"))</f>
        <v/>
      </c>
      <c r="D1579" s="12" t="str">
        <f>IF(B1579="","",IFERROR(INDEX('Cashier Roster'!$D$5:$D$64,MATCH(B1579,'Cashier Roster'!$B$5:$B$64,0)),""))</f>
        <v/>
      </c>
      <c r="E1579" s="13"/>
      <c r="F1579" s="14"/>
      <c r="G1579" s="8" t="str">
        <f>IF(OR(B1579="",E1579=""),"",IF(E1579="No","Missed",IF(F1579="","",IF(F1579&lt;=Settings!$B$7,"On time","Late"))))</f>
        <v/>
      </c>
      <c r="H1579" s="15"/>
      <c r="I1579" s="16"/>
      <c r="J1579" s="16"/>
      <c r="K1579" s="17" t="str">
        <f>IF(J1579="","",ROUND(J1579*Settings!$B$8,2))</f>
        <v/>
      </c>
      <c r="L1579" s="16"/>
      <c r="M1579" s="8" t="str">
        <f t="shared" si="24"/>
        <v/>
      </c>
      <c r="N1579" s="9"/>
    </row>
    <row r="1580" spans="1:14" ht="15.75">
      <c r="A1580" s="11"/>
      <c r="B1580" s="9"/>
      <c r="C1580" s="12" t="str">
        <f>IF(B1580="","",IFERROR(INDEX('Cashier Roster'!$C$5:$C$64,MATCH(B1580,'Cashier Roster'!$B$5:$B$64,0)),"Not on roster"))</f>
        <v/>
      </c>
      <c r="D1580" s="12" t="str">
        <f>IF(B1580="","",IFERROR(INDEX('Cashier Roster'!$D$5:$D$64,MATCH(B1580,'Cashier Roster'!$B$5:$B$64,0)),""))</f>
        <v/>
      </c>
      <c r="E1580" s="13"/>
      <c r="F1580" s="14"/>
      <c r="G1580" s="8" t="str">
        <f>IF(OR(B1580="",E1580=""),"",IF(E1580="No","Missed",IF(F1580="","",IF(F1580&lt;=Settings!$B$7,"On time","Late"))))</f>
        <v/>
      </c>
      <c r="H1580" s="15"/>
      <c r="I1580" s="16"/>
      <c r="J1580" s="16"/>
      <c r="K1580" s="17" t="str">
        <f>IF(J1580="","",ROUND(J1580*Settings!$B$8,2))</f>
        <v/>
      </c>
      <c r="L1580" s="16"/>
      <c r="M1580" s="8" t="str">
        <f t="shared" si="24"/>
        <v/>
      </c>
      <c r="N1580" s="9"/>
    </row>
    <row r="1581" spans="1:14" ht="15.75">
      <c r="A1581" s="11"/>
      <c r="B1581" s="9"/>
      <c r="C1581" s="12" t="str">
        <f>IF(B1581="","",IFERROR(INDEX('Cashier Roster'!$C$5:$C$64,MATCH(B1581,'Cashier Roster'!$B$5:$B$64,0)),"Not on roster"))</f>
        <v/>
      </c>
      <c r="D1581" s="12" t="str">
        <f>IF(B1581="","",IFERROR(INDEX('Cashier Roster'!$D$5:$D$64,MATCH(B1581,'Cashier Roster'!$B$5:$B$64,0)),""))</f>
        <v/>
      </c>
      <c r="E1581" s="13"/>
      <c r="F1581" s="14"/>
      <c r="G1581" s="8" t="str">
        <f>IF(OR(B1581="",E1581=""),"",IF(E1581="No","Missed",IF(F1581="","",IF(F1581&lt;=Settings!$B$7,"On time","Late"))))</f>
        <v/>
      </c>
      <c r="H1581" s="15"/>
      <c r="I1581" s="16"/>
      <c r="J1581" s="16"/>
      <c r="K1581" s="17" t="str">
        <f>IF(J1581="","",ROUND(J1581*Settings!$B$8,2))</f>
        <v/>
      </c>
      <c r="L1581" s="16"/>
      <c r="M1581" s="8" t="str">
        <f t="shared" si="24"/>
        <v/>
      </c>
      <c r="N1581" s="9"/>
    </row>
    <row r="1582" spans="1:14" ht="15.75">
      <c r="A1582" s="11"/>
      <c r="B1582" s="9"/>
      <c r="C1582" s="12" t="str">
        <f>IF(B1582="","",IFERROR(INDEX('Cashier Roster'!$C$5:$C$64,MATCH(B1582,'Cashier Roster'!$B$5:$B$64,0)),"Not on roster"))</f>
        <v/>
      </c>
      <c r="D1582" s="12" t="str">
        <f>IF(B1582="","",IFERROR(INDEX('Cashier Roster'!$D$5:$D$64,MATCH(B1582,'Cashier Roster'!$B$5:$B$64,0)),""))</f>
        <v/>
      </c>
      <c r="E1582" s="13"/>
      <c r="F1582" s="14"/>
      <c r="G1582" s="8" t="str">
        <f>IF(OR(B1582="",E1582=""),"",IF(E1582="No","Missed",IF(F1582="","",IF(F1582&lt;=Settings!$B$7,"On time","Late"))))</f>
        <v/>
      </c>
      <c r="H1582" s="15"/>
      <c r="I1582" s="16"/>
      <c r="J1582" s="16"/>
      <c r="K1582" s="17" t="str">
        <f>IF(J1582="","",ROUND(J1582*Settings!$B$8,2))</f>
        <v/>
      </c>
      <c r="L1582" s="16"/>
      <c r="M1582" s="8" t="str">
        <f t="shared" si="24"/>
        <v/>
      </c>
      <c r="N1582" s="9"/>
    </row>
    <row r="1583" spans="1:14" ht="15.75">
      <c r="A1583" s="11"/>
      <c r="B1583" s="9"/>
      <c r="C1583" s="12" t="str">
        <f>IF(B1583="","",IFERROR(INDEX('Cashier Roster'!$C$5:$C$64,MATCH(B1583,'Cashier Roster'!$B$5:$B$64,0)),"Not on roster"))</f>
        <v/>
      </c>
      <c r="D1583" s="12" t="str">
        <f>IF(B1583="","",IFERROR(INDEX('Cashier Roster'!$D$5:$D$64,MATCH(B1583,'Cashier Roster'!$B$5:$B$64,0)),""))</f>
        <v/>
      </c>
      <c r="E1583" s="13"/>
      <c r="F1583" s="14"/>
      <c r="G1583" s="8" t="str">
        <f>IF(OR(B1583="",E1583=""),"",IF(E1583="No","Missed",IF(F1583="","",IF(F1583&lt;=Settings!$B$7,"On time","Late"))))</f>
        <v/>
      </c>
      <c r="H1583" s="15"/>
      <c r="I1583" s="16"/>
      <c r="J1583" s="16"/>
      <c r="K1583" s="17" t="str">
        <f>IF(J1583="","",ROUND(J1583*Settings!$B$8,2))</f>
        <v/>
      </c>
      <c r="L1583" s="16"/>
      <c r="M1583" s="8" t="str">
        <f t="shared" si="24"/>
        <v/>
      </c>
      <c r="N1583" s="9"/>
    </row>
    <row r="1584" spans="1:14" ht="15.75">
      <c r="A1584" s="11"/>
      <c r="B1584" s="9"/>
      <c r="C1584" s="12" t="str">
        <f>IF(B1584="","",IFERROR(INDEX('Cashier Roster'!$C$5:$C$64,MATCH(B1584,'Cashier Roster'!$B$5:$B$64,0)),"Not on roster"))</f>
        <v/>
      </c>
      <c r="D1584" s="12" t="str">
        <f>IF(B1584="","",IFERROR(INDEX('Cashier Roster'!$D$5:$D$64,MATCH(B1584,'Cashier Roster'!$B$5:$B$64,0)),""))</f>
        <v/>
      </c>
      <c r="E1584" s="13"/>
      <c r="F1584" s="14"/>
      <c r="G1584" s="8" t="str">
        <f>IF(OR(B1584="",E1584=""),"",IF(E1584="No","Missed",IF(F1584="","",IF(F1584&lt;=Settings!$B$7,"On time","Late"))))</f>
        <v/>
      </c>
      <c r="H1584" s="15"/>
      <c r="I1584" s="16"/>
      <c r="J1584" s="16"/>
      <c r="K1584" s="17" t="str">
        <f>IF(J1584="","",ROUND(J1584*Settings!$B$8,2))</f>
        <v/>
      </c>
      <c r="L1584" s="16"/>
      <c r="M1584" s="8" t="str">
        <f t="shared" si="24"/>
        <v/>
      </c>
      <c r="N1584" s="9"/>
    </row>
    <row r="1585" spans="1:14" ht="15.75">
      <c r="A1585" s="11"/>
      <c r="B1585" s="9"/>
      <c r="C1585" s="12" t="str">
        <f>IF(B1585="","",IFERROR(INDEX('Cashier Roster'!$C$5:$C$64,MATCH(B1585,'Cashier Roster'!$B$5:$B$64,0)),"Not on roster"))</f>
        <v/>
      </c>
      <c r="D1585" s="12" t="str">
        <f>IF(B1585="","",IFERROR(INDEX('Cashier Roster'!$D$5:$D$64,MATCH(B1585,'Cashier Roster'!$B$5:$B$64,0)),""))</f>
        <v/>
      </c>
      <c r="E1585" s="13"/>
      <c r="F1585" s="14"/>
      <c r="G1585" s="8" t="str">
        <f>IF(OR(B1585="",E1585=""),"",IF(E1585="No","Missed",IF(F1585="","",IF(F1585&lt;=Settings!$B$7,"On time","Late"))))</f>
        <v/>
      </c>
      <c r="H1585" s="15"/>
      <c r="I1585" s="16"/>
      <c r="J1585" s="16"/>
      <c r="K1585" s="17" t="str">
        <f>IF(J1585="","",ROUND(J1585*Settings!$B$8,2))</f>
        <v/>
      </c>
      <c r="L1585" s="16"/>
      <c r="M1585" s="8" t="str">
        <f t="shared" si="24"/>
        <v/>
      </c>
      <c r="N1585" s="9"/>
    </row>
    <row r="1586" spans="1:14" ht="15.75">
      <c r="A1586" s="11"/>
      <c r="B1586" s="9"/>
      <c r="C1586" s="12" t="str">
        <f>IF(B1586="","",IFERROR(INDEX('Cashier Roster'!$C$5:$C$64,MATCH(B1586,'Cashier Roster'!$B$5:$B$64,0)),"Not on roster"))</f>
        <v/>
      </c>
      <c r="D1586" s="12" t="str">
        <f>IF(B1586="","",IFERROR(INDEX('Cashier Roster'!$D$5:$D$64,MATCH(B1586,'Cashier Roster'!$B$5:$B$64,0)),""))</f>
        <v/>
      </c>
      <c r="E1586" s="13"/>
      <c r="F1586" s="14"/>
      <c r="G1586" s="8" t="str">
        <f>IF(OR(B1586="",E1586=""),"",IF(E1586="No","Missed",IF(F1586="","",IF(F1586&lt;=Settings!$B$7,"On time","Late"))))</f>
        <v/>
      </c>
      <c r="H1586" s="15"/>
      <c r="I1586" s="16"/>
      <c r="J1586" s="16"/>
      <c r="K1586" s="17" t="str">
        <f>IF(J1586="","",ROUND(J1586*Settings!$B$8,2))</f>
        <v/>
      </c>
      <c r="L1586" s="16"/>
      <c r="M1586" s="8" t="str">
        <f t="shared" si="24"/>
        <v/>
      </c>
      <c r="N1586" s="9"/>
    </row>
    <row r="1587" spans="1:14" ht="15.75">
      <c r="A1587" s="11"/>
      <c r="B1587" s="9"/>
      <c r="C1587" s="12" t="str">
        <f>IF(B1587="","",IFERROR(INDEX('Cashier Roster'!$C$5:$C$64,MATCH(B1587,'Cashier Roster'!$B$5:$B$64,0)),"Not on roster"))</f>
        <v/>
      </c>
      <c r="D1587" s="12" t="str">
        <f>IF(B1587="","",IFERROR(INDEX('Cashier Roster'!$D$5:$D$64,MATCH(B1587,'Cashier Roster'!$B$5:$B$64,0)),""))</f>
        <v/>
      </c>
      <c r="E1587" s="13"/>
      <c r="F1587" s="14"/>
      <c r="G1587" s="8" t="str">
        <f>IF(OR(B1587="",E1587=""),"",IF(E1587="No","Missed",IF(F1587="","",IF(F1587&lt;=Settings!$B$7,"On time","Late"))))</f>
        <v/>
      </c>
      <c r="H1587" s="15"/>
      <c r="I1587" s="16"/>
      <c r="J1587" s="16"/>
      <c r="K1587" s="17" t="str">
        <f>IF(J1587="","",ROUND(J1587*Settings!$B$8,2))</f>
        <v/>
      </c>
      <c r="L1587" s="16"/>
      <c r="M1587" s="8" t="str">
        <f t="shared" si="24"/>
        <v/>
      </c>
      <c r="N1587" s="9"/>
    </row>
    <row r="1588" spans="1:14" ht="15.75">
      <c r="A1588" s="11"/>
      <c r="B1588" s="9"/>
      <c r="C1588" s="12" t="str">
        <f>IF(B1588="","",IFERROR(INDEX('Cashier Roster'!$C$5:$C$64,MATCH(B1588,'Cashier Roster'!$B$5:$B$64,0)),"Not on roster"))</f>
        <v/>
      </c>
      <c r="D1588" s="12" t="str">
        <f>IF(B1588="","",IFERROR(INDEX('Cashier Roster'!$D$5:$D$64,MATCH(B1588,'Cashier Roster'!$B$5:$B$64,0)),""))</f>
        <v/>
      </c>
      <c r="E1588" s="13"/>
      <c r="F1588" s="14"/>
      <c r="G1588" s="8" t="str">
        <f>IF(OR(B1588="",E1588=""),"",IF(E1588="No","Missed",IF(F1588="","",IF(F1588&lt;=Settings!$B$7,"On time","Late"))))</f>
        <v/>
      </c>
      <c r="H1588" s="15"/>
      <c r="I1588" s="16"/>
      <c r="J1588" s="16"/>
      <c r="K1588" s="17" t="str">
        <f>IF(J1588="","",ROUND(J1588*Settings!$B$8,2))</f>
        <v/>
      </c>
      <c r="L1588" s="16"/>
      <c r="M1588" s="8" t="str">
        <f t="shared" si="24"/>
        <v/>
      </c>
      <c r="N1588" s="9"/>
    </row>
    <row r="1589" spans="1:14" ht="15.75">
      <c r="A1589" s="11"/>
      <c r="B1589" s="9"/>
      <c r="C1589" s="12" t="str">
        <f>IF(B1589="","",IFERROR(INDEX('Cashier Roster'!$C$5:$C$64,MATCH(B1589,'Cashier Roster'!$B$5:$B$64,0)),"Not on roster"))</f>
        <v/>
      </c>
      <c r="D1589" s="12" t="str">
        <f>IF(B1589="","",IFERROR(INDEX('Cashier Roster'!$D$5:$D$64,MATCH(B1589,'Cashier Roster'!$B$5:$B$64,0)),""))</f>
        <v/>
      </c>
      <c r="E1589" s="13"/>
      <c r="F1589" s="14"/>
      <c r="G1589" s="8" t="str">
        <f>IF(OR(B1589="",E1589=""),"",IF(E1589="No","Missed",IF(F1589="","",IF(F1589&lt;=Settings!$B$7,"On time","Late"))))</f>
        <v/>
      </c>
      <c r="H1589" s="15"/>
      <c r="I1589" s="16"/>
      <c r="J1589" s="16"/>
      <c r="K1589" s="17" t="str">
        <f>IF(J1589="","",ROUND(J1589*Settings!$B$8,2))</f>
        <v/>
      </c>
      <c r="L1589" s="16"/>
      <c r="M1589" s="8" t="str">
        <f t="shared" si="24"/>
        <v/>
      </c>
      <c r="N1589" s="9"/>
    </row>
    <row r="1590" spans="1:14" ht="15.75">
      <c r="A1590" s="11"/>
      <c r="B1590" s="9"/>
      <c r="C1590" s="12" t="str">
        <f>IF(B1590="","",IFERROR(INDEX('Cashier Roster'!$C$5:$C$64,MATCH(B1590,'Cashier Roster'!$B$5:$B$64,0)),"Not on roster"))</f>
        <v/>
      </c>
      <c r="D1590" s="12" t="str">
        <f>IF(B1590="","",IFERROR(INDEX('Cashier Roster'!$D$5:$D$64,MATCH(B1590,'Cashier Roster'!$B$5:$B$64,0)),""))</f>
        <v/>
      </c>
      <c r="E1590" s="13"/>
      <c r="F1590" s="14"/>
      <c r="G1590" s="8" t="str">
        <f>IF(OR(B1590="",E1590=""),"",IF(E1590="No","Missed",IF(F1590="","",IF(F1590&lt;=Settings!$B$7,"On time","Late"))))</f>
        <v/>
      </c>
      <c r="H1590" s="15"/>
      <c r="I1590" s="16"/>
      <c r="J1590" s="16"/>
      <c r="K1590" s="17" t="str">
        <f>IF(J1590="","",ROUND(J1590*Settings!$B$8,2))</f>
        <v/>
      </c>
      <c r="L1590" s="16"/>
      <c r="M1590" s="8" t="str">
        <f t="shared" si="24"/>
        <v/>
      </c>
      <c r="N1590" s="9"/>
    </row>
    <row r="1591" spans="1:14" ht="15.75">
      <c r="A1591" s="11"/>
      <c r="B1591" s="9"/>
      <c r="C1591" s="12" t="str">
        <f>IF(B1591="","",IFERROR(INDEX('Cashier Roster'!$C$5:$C$64,MATCH(B1591,'Cashier Roster'!$B$5:$B$64,0)),"Not on roster"))</f>
        <v/>
      </c>
      <c r="D1591" s="12" t="str">
        <f>IF(B1591="","",IFERROR(INDEX('Cashier Roster'!$D$5:$D$64,MATCH(B1591,'Cashier Roster'!$B$5:$B$64,0)),""))</f>
        <v/>
      </c>
      <c r="E1591" s="13"/>
      <c r="F1591" s="14"/>
      <c r="G1591" s="8" t="str">
        <f>IF(OR(B1591="",E1591=""),"",IF(E1591="No","Missed",IF(F1591="","",IF(F1591&lt;=Settings!$B$7,"On time","Late"))))</f>
        <v/>
      </c>
      <c r="H1591" s="15"/>
      <c r="I1591" s="16"/>
      <c r="J1591" s="16"/>
      <c r="K1591" s="17" t="str">
        <f>IF(J1591="","",ROUND(J1591*Settings!$B$8,2))</f>
        <v/>
      </c>
      <c r="L1591" s="16"/>
      <c r="M1591" s="8" t="str">
        <f t="shared" si="24"/>
        <v/>
      </c>
      <c r="N1591" s="9"/>
    </row>
    <row r="1592" spans="1:14" ht="15.75">
      <c r="A1592" s="11"/>
      <c r="B1592" s="9"/>
      <c r="C1592" s="12" t="str">
        <f>IF(B1592="","",IFERROR(INDEX('Cashier Roster'!$C$5:$C$64,MATCH(B1592,'Cashier Roster'!$B$5:$B$64,0)),"Not on roster"))</f>
        <v/>
      </c>
      <c r="D1592" s="12" t="str">
        <f>IF(B1592="","",IFERROR(INDEX('Cashier Roster'!$D$5:$D$64,MATCH(B1592,'Cashier Roster'!$B$5:$B$64,0)),""))</f>
        <v/>
      </c>
      <c r="E1592" s="13"/>
      <c r="F1592" s="14"/>
      <c r="G1592" s="8" t="str">
        <f>IF(OR(B1592="",E1592=""),"",IF(E1592="No","Missed",IF(F1592="","",IF(F1592&lt;=Settings!$B$7,"On time","Late"))))</f>
        <v/>
      </c>
      <c r="H1592" s="15"/>
      <c r="I1592" s="16"/>
      <c r="J1592" s="16"/>
      <c r="K1592" s="17" t="str">
        <f>IF(J1592="","",ROUND(J1592*Settings!$B$8,2))</f>
        <v/>
      </c>
      <c r="L1592" s="16"/>
      <c r="M1592" s="8" t="str">
        <f t="shared" si="24"/>
        <v/>
      </c>
      <c r="N1592" s="9"/>
    </row>
    <row r="1593" spans="1:14" ht="15.75">
      <c r="A1593" s="11"/>
      <c r="B1593" s="9"/>
      <c r="C1593" s="12" t="str">
        <f>IF(B1593="","",IFERROR(INDEX('Cashier Roster'!$C$5:$C$64,MATCH(B1593,'Cashier Roster'!$B$5:$B$64,0)),"Not on roster"))</f>
        <v/>
      </c>
      <c r="D1593" s="12" t="str">
        <f>IF(B1593="","",IFERROR(INDEX('Cashier Roster'!$D$5:$D$64,MATCH(B1593,'Cashier Roster'!$B$5:$B$64,0)),""))</f>
        <v/>
      </c>
      <c r="E1593" s="13"/>
      <c r="F1593" s="14"/>
      <c r="G1593" s="8" t="str">
        <f>IF(OR(B1593="",E1593=""),"",IF(E1593="No","Missed",IF(F1593="","",IF(F1593&lt;=Settings!$B$7,"On time","Late"))))</f>
        <v/>
      </c>
      <c r="H1593" s="15"/>
      <c r="I1593" s="16"/>
      <c r="J1593" s="16"/>
      <c r="K1593" s="17" t="str">
        <f>IF(J1593="","",ROUND(J1593*Settings!$B$8,2))</f>
        <v/>
      </c>
      <c r="L1593" s="16"/>
      <c r="M1593" s="8" t="str">
        <f t="shared" si="24"/>
        <v/>
      </c>
      <c r="N1593" s="9"/>
    </row>
    <row r="1594" spans="1:14" ht="15.75">
      <c r="A1594" s="11"/>
      <c r="B1594" s="9"/>
      <c r="C1594" s="12" t="str">
        <f>IF(B1594="","",IFERROR(INDEX('Cashier Roster'!$C$5:$C$64,MATCH(B1594,'Cashier Roster'!$B$5:$B$64,0)),"Not on roster"))</f>
        <v/>
      </c>
      <c r="D1594" s="12" t="str">
        <f>IF(B1594="","",IFERROR(INDEX('Cashier Roster'!$D$5:$D$64,MATCH(B1594,'Cashier Roster'!$B$5:$B$64,0)),""))</f>
        <v/>
      </c>
      <c r="E1594" s="13"/>
      <c r="F1594" s="14"/>
      <c r="G1594" s="8" t="str">
        <f>IF(OR(B1594="",E1594=""),"",IF(E1594="No","Missed",IF(F1594="","",IF(F1594&lt;=Settings!$B$7,"On time","Late"))))</f>
        <v/>
      </c>
      <c r="H1594" s="15"/>
      <c r="I1594" s="16"/>
      <c r="J1594" s="16"/>
      <c r="K1594" s="17" t="str">
        <f>IF(J1594="","",ROUND(J1594*Settings!$B$8,2))</f>
        <v/>
      </c>
      <c r="L1594" s="16"/>
      <c r="M1594" s="8" t="str">
        <f t="shared" si="24"/>
        <v/>
      </c>
      <c r="N1594" s="9"/>
    </row>
    <row r="1595" spans="1:14" ht="15.75">
      <c r="A1595" s="11"/>
      <c r="B1595" s="9"/>
      <c r="C1595" s="12" t="str">
        <f>IF(B1595="","",IFERROR(INDEX('Cashier Roster'!$C$5:$C$64,MATCH(B1595,'Cashier Roster'!$B$5:$B$64,0)),"Not on roster"))</f>
        <v/>
      </c>
      <c r="D1595" s="12" t="str">
        <f>IF(B1595="","",IFERROR(INDEX('Cashier Roster'!$D$5:$D$64,MATCH(B1595,'Cashier Roster'!$B$5:$B$64,0)),""))</f>
        <v/>
      </c>
      <c r="E1595" s="13"/>
      <c r="F1595" s="14"/>
      <c r="G1595" s="8" t="str">
        <f>IF(OR(B1595="",E1595=""),"",IF(E1595="No","Missed",IF(F1595="","",IF(F1595&lt;=Settings!$B$7,"On time","Late"))))</f>
        <v/>
      </c>
      <c r="H1595" s="15"/>
      <c r="I1595" s="16"/>
      <c r="J1595" s="16"/>
      <c r="K1595" s="17" t="str">
        <f>IF(J1595="","",ROUND(J1595*Settings!$B$8,2))</f>
        <v/>
      </c>
      <c r="L1595" s="16"/>
      <c r="M1595" s="8" t="str">
        <f t="shared" si="24"/>
        <v/>
      </c>
      <c r="N1595" s="9"/>
    </row>
    <row r="1596" spans="1:14" ht="15.75">
      <c r="A1596" s="11"/>
      <c r="B1596" s="9"/>
      <c r="C1596" s="12" t="str">
        <f>IF(B1596="","",IFERROR(INDEX('Cashier Roster'!$C$5:$C$64,MATCH(B1596,'Cashier Roster'!$B$5:$B$64,0)),"Not on roster"))</f>
        <v/>
      </c>
      <c r="D1596" s="12" t="str">
        <f>IF(B1596="","",IFERROR(INDEX('Cashier Roster'!$D$5:$D$64,MATCH(B1596,'Cashier Roster'!$B$5:$B$64,0)),""))</f>
        <v/>
      </c>
      <c r="E1596" s="13"/>
      <c r="F1596" s="14"/>
      <c r="G1596" s="8" t="str">
        <f>IF(OR(B1596="",E1596=""),"",IF(E1596="No","Missed",IF(F1596="","",IF(F1596&lt;=Settings!$B$7,"On time","Late"))))</f>
        <v/>
      </c>
      <c r="H1596" s="15"/>
      <c r="I1596" s="16"/>
      <c r="J1596" s="16"/>
      <c r="K1596" s="17" t="str">
        <f>IF(J1596="","",ROUND(J1596*Settings!$B$8,2))</f>
        <v/>
      </c>
      <c r="L1596" s="16"/>
      <c r="M1596" s="8" t="str">
        <f t="shared" si="24"/>
        <v/>
      </c>
      <c r="N1596" s="9"/>
    </row>
    <row r="1597" spans="1:14" ht="15.75">
      <c r="A1597" s="11"/>
      <c r="B1597" s="9"/>
      <c r="C1597" s="12" t="str">
        <f>IF(B1597="","",IFERROR(INDEX('Cashier Roster'!$C$5:$C$64,MATCH(B1597,'Cashier Roster'!$B$5:$B$64,0)),"Not on roster"))</f>
        <v/>
      </c>
      <c r="D1597" s="12" t="str">
        <f>IF(B1597="","",IFERROR(INDEX('Cashier Roster'!$D$5:$D$64,MATCH(B1597,'Cashier Roster'!$B$5:$B$64,0)),""))</f>
        <v/>
      </c>
      <c r="E1597" s="13"/>
      <c r="F1597" s="14"/>
      <c r="G1597" s="8" t="str">
        <f>IF(OR(B1597="",E1597=""),"",IF(E1597="No","Missed",IF(F1597="","",IF(F1597&lt;=Settings!$B$7,"On time","Late"))))</f>
        <v/>
      </c>
      <c r="H1597" s="15"/>
      <c r="I1597" s="16"/>
      <c r="J1597" s="16"/>
      <c r="K1597" s="17" t="str">
        <f>IF(J1597="","",ROUND(J1597*Settings!$B$8,2))</f>
        <v/>
      </c>
      <c r="L1597" s="16"/>
      <c r="M1597" s="8" t="str">
        <f t="shared" si="24"/>
        <v/>
      </c>
      <c r="N1597" s="9"/>
    </row>
    <row r="1598" spans="1:14" ht="15.75">
      <c r="A1598" s="11"/>
      <c r="B1598" s="9"/>
      <c r="C1598" s="12" t="str">
        <f>IF(B1598="","",IFERROR(INDEX('Cashier Roster'!$C$5:$C$64,MATCH(B1598,'Cashier Roster'!$B$5:$B$64,0)),"Not on roster"))</f>
        <v/>
      </c>
      <c r="D1598" s="12" t="str">
        <f>IF(B1598="","",IFERROR(INDEX('Cashier Roster'!$D$5:$D$64,MATCH(B1598,'Cashier Roster'!$B$5:$B$64,0)),""))</f>
        <v/>
      </c>
      <c r="E1598" s="13"/>
      <c r="F1598" s="14"/>
      <c r="G1598" s="8" t="str">
        <f>IF(OR(B1598="",E1598=""),"",IF(E1598="No","Missed",IF(F1598="","",IF(F1598&lt;=Settings!$B$7,"On time","Late"))))</f>
        <v/>
      </c>
      <c r="H1598" s="15"/>
      <c r="I1598" s="16"/>
      <c r="J1598" s="16"/>
      <c r="K1598" s="17" t="str">
        <f>IF(J1598="","",ROUND(J1598*Settings!$B$8,2))</f>
        <v/>
      </c>
      <c r="L1598" s="16"/>
      <c r="M1598" s="8" t="str">
        <f t="shared" si="24"/>
        <v/>
      </c>
      <c r="N1598" s="9"/>
    </row>
    <row r="1599" spans="1:14" ht="15.75">
      <c r="A1599" s="11"/>
      <c r="B1599" s="9"/>
      <c r="C1599" s="12" t="str">
        <f>IF(B1599="","",IFERROR(INDEX('Cashier Roster'!$C$5:$C$64,MATCH(B1599,'Cashier Roster'!$B$5:$B$64,0)),"Not on roster"))</f>
        <v/>
      </c>
      <c r="D1599" s="12" t="str">
        <f>IF(B1599="","",IFERROR(INDEX('Cashier Roster'!$D$5:$D$64,MATCH(B1599,'Cashier Roster'!$B$5:$B$64,0)),""))</f>
        <v/>
      </c>
      <c r="E1599" s="13"/>
      <c r="F1599" s="14"/>
      <c r="G1599" s="8" t="str">
        <f>IF(OR(B1599="",E1599=""),"",IF(E1599="No","Missed",IF(F1599="","",IF(F1599&lt;=Settings!$B$7,"On time","Late"))))</f>
        <v/>
      </c>
      <c r="H1599" s="15"/>
      <c r="I1599" s="16"/>
      <c r="J1599" s="16"/>
      <c r="K1599" s="17" t="str">
        <f>IF(J1599="","",ROUND(J1599*Settings!$B$8,2))</f>
        <v/>
      </c>
      <c r="L1599" s="16"/>
      <c r="M1599" s="8" t="str">
        <f t="shared" si="24"/>
        <v/>
      </c>
      <c r="N1599" s="9"/>
    </row>
    <row r="1600" spans="1:14" ht="15.75">
      <c r="A1600" s="11"/>
      <c r="B1600" s="9"/>
      <c r="C1600" s="12" t="str">
        <f>IF(B1600="","",IFERROR(INDEX('Cashier Roster'!$C$5:$C$64,MATCH(B1600,'Cashier Roster'!$B$5:$B$64,0)),"Not on roster"))</f>
        <v/>
      </c>
      <c r="D1600" s="12" t="str">
        <f>IF(B1600="","",IFERROR(INDEX('Cashier Roster'!$D$5:$D$64,MATCH(B1600,'Cashier Roster'!$B$5:$B$64,0)),""))</f>
        <v/>
      </c>
      <c r="E1600" s="13"/>
      <c r="F1600" s="14"/>
      <c r="G1600" s="8" t="str">
        <f>IF(OR(B1600="",E1600=""),"",IF(E1600="No","Missed",IF(F1600="","",IF(F1600&lt;=Settings!$B$7,"On time","Late"))))</f>
        <v/>
      </c>
      <c r="H1600" s="15"/>
      <c r="I1600" s="16"/>
      <c r="J1600" s="16"/>
      <c r="K1600" s="17" t="str">
        <f>IF(J1600="","",ROUND(J1600*Settings!$B$8,2))</f>
        <v/>
      </c>
      <c r="L1600" s="16"/>
      <c r="M1600" s="8" t="str">
        <f t="shared" si="24"/>
        <v/>
      </c>
      <c r="N1600" s="9"/>
    </row>
    <row r="1601" spans="1:14" ht="15.75">
      <c r="A1601" s="11"/>
      <c r="B1601" s="9"/>
      <c r="C1601" s="12" t="str">
        <f>IF(B1601="","",IFERROR(INDEX('Cashier Roster'!$C$5:$C$64,MATCH(B1601,'Cashier Roster'!$B$5:$B$64,0)),"Not on roster"))</f>
        <v/>
      </c>
      <c r="D1601" s="12" t="str">
        <f>IF(B1601="","",IFERROR(INDEX('Cashier Roster'!$D$5:$D$64,MATCH(B1601,'Cashier Roster'!$B$5:$B$64,0)),""))</f>
        <v/>
      </c>
      <c r="E1601" s="13"/>
      <c r="F1601" s="14"/>
      <c r="G1601" s="8" t="str">
        <f>IF(OR(B1601="",E1601=""),"",IF(E1601="No","Missed",IF(F1601="","",IF(F1601&lt;=Settings!$B$7,"On time","Late"))))</f>
        <v/>
      </c>
      <c r="H1601" s="15"/>
      <c r="I1601" s="16"/>
      <c r="J1601" s="16"/>
      <c r="K1601" s="17" t="str">
        <f>IF(J1601="","",ROUND(J1601*Settings!$B$8,2))</f>
        <v/>
      </c>
      <c r="L1601" s="16"/>
      <c r="M1601" s="8" t="str">
        <f t="shared" si="24"/>
        <v/>
      </c>
      <c r="N1601" s="9"/>
    </row>
    <row r="1602" spans="1:14" ht="15.75">
      <c r="A1602" s="11"/>
      <c r="B1602" s="9"/>
      <c r="C1602" s="12" t="str">
        <f>IF(B1602="","",IFERROR(INDEX('Cashier Roster'!$C$5:$C$64,MATCH(B1602,'Cashier Roster'!$B$5:$B$64,0)),"Not on roster"))</f>
        <v/>
      </c>
      <c r="D1602" s="12" t="str">
        <f>IF(B1602="","",IFERROR(INDEX('Cashier Roster'!$D$5:$D$64,MATCH(B1602,'Cashier Roster'!$B$5:$B$64,0)),""))</f>
        <v/>
      </c>
      <c r="E1602" s="13"/>
      <c r="F1602" s="14"/>
      <c r="G1602" s="8" t="str">
        <f>IF(OR(B1602="",E1602=""),"",IF(E1602="No","Missed",IF(F1602="","",IF(F1602&lt;=Settings!$B$7,"On time","Late"))))</f>
        <v/>
      </c>
      <c r="H1602" s="15"/>
      <c r="I1602" s="16"/>
      <c r="J1602" s="16"/>
      <c r="K1602" s="17" t="str">
        <f>IF(J1602="","",ROUND(J1602*Settings!$B$8,2))</f>
        <v/>
      </c>
      <c r="L1602" s="16"/>
      <c r="M1602" s="8" t="str">
        <f t="shared" si="24"/>
        <v/>
      </c>
      <c r="N1602" s="9"/>
    </row>
    <row r="1603" spans="1:14" ht="15.75">
      <c r="A1603" s="11"/>
      <c r="B1603" s="9"/>
      <c r="C1603" s="12" t="str">
        <f>IF(B1603="","",IFERROR(INDEX('Cashier Roster'!$C$5:$C$64,MATCH(B1603,'Cashier Roster'!$B$5:$B$64,0)),"Not on roster"))</f>
        <v/>
      </c>
      <c r="D1603" s="12" t="str">
        <f>IF(B1603="","",IFERROR(INDEX('Cashier Roster'!$D$5:$D$64,MATCH(B1603,'Cashier Roster'!$B$5:$B$64,0)),""))</f>
        <v/>
      </c>
      <c r="E1603" s="13"/>
      <c r="F1603" s="14"/>
      <c r="G1603" s="8" t="str">
        <f>IF(OR(B1603="",E1603=""),"",IF(E1603="No","Missed",IF(F1603="","",IF(F1603&lt;=Settings!$B$7,"On time","Late"))))</f>
        <v/>
      </c>
      <c r="H1603" s="15"/>
      <c r="I1603" s="16"/>
      <c r="J1603" s="16"/>
      <c r="K1603" s="17" t="str">
        <f>IF(J1603="","",ROUND(J1603*Settings!$B$8,2))</f>
        <v/>
      </c>
      <c r="L1603" s="16"/>
      <c r="M1603" s="8" t="str">
        <f t="shared" si="24"/>
        <v/>
      </c>
      <c r="N1603" s="9"/>
    </row>
    <row r="1604" spans="1:14" ht="15.75">
      <c r="A1604" s="11"/>
      <c r="B1604" s="9"/>
      <c r="C1604" s="12" t="str">
        <f>IF(B1604="","",IFERROR(INDEX('Cashier Roster'!$C$5:$C$64,MATCH(B1604,'Cashier Roster'!$B$5:$B$64,0)),"Not on roster"))</f>
        <v/>
      </c>
      <c r="D1604" s="12" t="str">
        <f>IF(B1604="","",IFERROR(INDEX('Cashier Roster'!$D$5:$D$64,MATCH(B1604,'Cashier Roster'!$B$5:$B$64,0)),""))</f>
        <v/>
      </c>
      <c r="E1604" s="13"/>
      <c r="F1604" s="14"/>
      <c r="G1604" s="8" t="str">
        <f>IF(OR(B1604="",E1604=""),"",IF(E1604="No","Missed",IF(F1604="","",IF(F1604&lt;=Settings!$B$7,"On time","Late"))))</f>
        <v/>
      </c>
      <c r="H1604" s="15"/>
      <c r="I1604" s="16"/>
      <c r="J1604" s="16"/>
      <c r="K1604" s="17" t="str">
        <f>IF(J1604="","",ROUND(J1604*Settings!$B$8,2))</f>
        <v/>
      </c>
      <c r="L1604" s="16"/>
      <c r="M1604" s="8" t="str">
        <f t="shared" si="24"/>
        <v/>
      </c>
      <c r="N1604" s="9"/>
    </row>
    <row r="1605" spans="1:14" ht="15.75">
      <c r="A1605" s="11"/>
      <c r="B1605" s="9"/>
      <c r="C1605" s="12" t="str">
        <f>IF(B1605="","",IFERROR(INDEX('Cashier Roster'!$C$5:$C$64,MATCH(B1605,'Cashier Roster'!$B$5:$B$64,0)),"Not on roster"))</f>
        <v/>
      </c>
      <c r="D1605" s="12" t="str">
        <f>IF(B1605="","",IFERROR(INDEX('Cashier Roster'!$D$5:$D$64,MATCH(B1605,'Cashier Roster'!$B$5:$B$64,0)),""))</f>
        <v/>
      </c>
      <c r="E1605" s="13"/>
      <c r="F1605" s="14"/>
      <c r="G1605" s="8" t="str">
        <f>IF(OR(B1605="",E1605=""),"",IF(E1605="No","Missed",IF(F1605="","",IF(F1605&lt;=Settings!$B$7,"On time","Late"))))</f>
        <v/>
      </c>
      <c r="H1605" s="15"/>
      <c r="I1605" s="16"/>
      <c r="J1605" s="16"/>
      <c r="K1605" s="17" t="str">
        <f>IF(J1605="","",ROUND(J1605*Settings!$B$8,2))</f>
        <v/>
      </c>
      <c r="L1605" s="16"/>
      <c r="M1605" s="8" t="str">
        <f t="shared" ref="M1605:M1668" si="25">IF(L1605="","",IF(L1605&lt;=0,"Yes","No"))</f>
        <v/>
      </c>
      <c r="N1605" s="9"/>
    </row>
    <row r="1606" spans="1:14" ht="15.75">
      <c r="A1606" s="11"/>
      <c r="B1606" s="9"/>
      <c r="C1606" s="12" t="str">
        <f>IF(B1606="","",IFERROR(INDEX('Cashier Roster'!$C$5:$C$64,MATCH(B1606,'Cashier Roster'!$B$5:$B$64,0)),"Not on roster"))</f>
        <v/>
      </c>
      <c r="D1606" s="12" t="str">
        <f>IF(B1606="","",IFERROR(INDEX('Cashier Roster'!$D$5:$D$64,MATCH(B1606,'Cashier Roster'!$B$5:$B$64,0)),""))</f>
        <v/>
      </c>
      <c r="E1606" s="13"/>
      <c r="F1606" s="14"/>
      <c r="G1606" s="8" t="str">
        <f>IF(OR(B1606="",E1606=""),"",IF(E1606="No","Missed",IF(F1606="","",IF(F1606&lt;=Settings!$B$7,"On time","Late"))))</f>
        <v/>
      </c>
      <c r="H1606" s="15"/>
      <c r="I1606" s="16"/>
      <c r="J1606" s="16"/>
      <c r="K1606" s="17" t="str">
        <f>IF(J1606="","",ROUND(J1606*Settings!$B$8,2))</f>
        <v/>
      </c>
      <c r="L1606" s="16"/>
      <c r="M1606" s="8" t="str">
        <f t="shared" si="25"/>
        <v/>
      </c>
      <c r="N1606" s="9"/>
    </row>
    <row r="1607" spans="1:14" ht="15.75">
      <c r="A1607" s="11"/>
      <c r="B1607" s="9"/>
      <c r="C1607" s="12" t="str">
        <f>IF(B1607="","",IFERROR(INDEX('Cashier Roster'!$C$5:$C$64,MATCH(B1607,'Cashier Roster'!$B$5:$B$64,0)),"Not on roster"))</f>
        <v/>
      </c>
      <c r="D1607" s="12" t="str">
        <f>IF(B1607="","",IFERROR(INDEX('Cashier Roster'!$D$5:$D$64,MATCH(B1607,'Cashier Roster'!$B$5:$B$64,0)),""))</f>
        <v/>
      </c>
      <c r="E1607" s="13"/>
      <c r="F1607" s="14"/>
      <c r="G1607" s="8" t="str">
        <f>IF(OR(B1607="",E1607=""),"",IF(E1607="No","Missed",IF(F1607="","",IF(F1607&lt;=Settings!$B$7,"On time","Late"))))</f>
        <v/>
      </c>
      <c r="H1607" s="15"/>
      <c r="I1607" s="16"/>
      <c r="J1607" s="16"/>
      <c r="K1607" s="17" t="str">
        <f>IF(J1607="","",ROUND(J1607*Settings!$B$8,2))</f>
        <v/>
      </c>
      <c r="L1607" s="16"/>
      <c r="M1607" s="8" t="str">
        <f t="shared" si="25"/>
        <v/>
      </c>
      <c r="N1607" s="9"/>
    </row>
    <row r="1608" spans="1:14" ht="15.75">
      <c r="A1608" s="11"/>
      <c r="B1608" s="9"/>
      <c r="C1608" s="12" t="str">
        <f>IF(B1608="","",IFERROR(INDEX('Cashier Roster'!$C$5:$C$64,MATCH(B1608,'Cashier Roster'!$B$5:$B$64,0)),"Not on roster"))</f>
        <v/>
      </c>
      <c r="D1608" s="12" t="str">
        <f>IF(B1608="","",IFERROR(INDEX('Cashier Roster'!$D$5:$D$64,MATCH(B1608,'Cashier Roster'!$B$5:$B$64,0)),""))</f>
        <v/>
      </c>
      <c r="E1608" s="13"/>
      <c r="F1608" s="14"/>
      <c r="G1608" s="8" t="str">
        <f>IF(OR(B1608="",E1608=""),"",IF(E1608="No","Missed",IF(F1608="","",IF(F1608&lt;=Settings!$B$7,"On time","Late"))))</f>
        <v/>
      </c>
      <c r="H1608" s="15"/>
      <c r="I1608" s="16"/>
      <c r="J1608" s="16"/>
      <c r="K1608" s="17" t="str">
        <f>IF(J1608="","",ROUND(J1608*Settings!$B$8,2))</f>
        <v/>
      </c>
      <c r="L1608" s="16"/>
      <c r="M1608" s="8" t="str">
        <f t="shared" si="25"/>
        <v/>
      </c>
      <c r="N1608" s="9"/>
    </row>
    <row r="1609" spans="1:14" ht="15.75">
      <c r="A1609" s="11"/>
      <c r="B1609" s="9"/>
      <c r="C1609" s="12" t="str">
        <f>IF(B1609="","",IFERROR(INDEX('Cashier Roster'!$C$5:$C$64,MATCH(B1609,'Cashier Roster'!$B$5:$B$64,0)),"Not on roster"))</f>
        <v/>
      </c>
      <c r="D1609" s="12" t="str">
        <f>IF(B1609="","",IFERROR(INDEX('Cashier Roster'!$D$5:$D$64,MATCH(B1609,'Cashier Roster'!$B$5:$B$64,0)),""))</f>
        <v/>
      </c>
      <c r="E1609" s="13"/>
      <c r="F1609" s="14"/>
      <c r="G1609" s="8" t="str">
        <f>IF(OR(B1609="",E1609=""),"",IF(E1609="No","Missed",IF(F1609="","",IF(F1609&lt;=Settings!$B$7,"On time","Late"))))</f>
        <v/>
      </c>
      <c r="H1609" s="15"/>
      <c r="I1609" s="16"/>
      <c r="J1609" s="16"/>
      <c r="K1609" s="17" t="str">
        <f>IF(J1609="","",ROUND(J1609*Settings!$B$8,2))</f>
        <v/>
      </c>
      <c r="L1609" s="16"/>
      <c r="M1609" s="8" t="str">
        <f t="shared" si="25"/>
        <v/>
      </c>
      <c r="N1609" s="9"/>
    </row>
    <row r="1610" spans="1:14" ht="15.75">
      <c r="A1610" s="11"/>
      <c r="B1610" s="9"/>
      <c r="C1610" s="12" t="str">
        <f>IF(B1610="","",IFERROR(INDEX('Cashier Roster'!$C$5:$C$64,MATCH(B1610,'Cashier Roster'!$B$5:$B$64,0)),"Not on roster"))</f>
        <v/>
      </c>
      <c r="D1610" s="12" t="str">
        <f>IF(B1610="","",IFERROR(INDEX('Cashier Roster'!$D$5:$D$64,MATCH(B1610,'Cashier Roster'!$B$5:$B$64,0)),""))</f>
        <v/>
      </c>
      <c r="E1610" s="13"/>
      <c r="F1610" s="14"/>
      <c r="G1610" s="8" t="str">
        <f>IF(OR(B1610="",E1610=""),"",IF(E1610="No","Missed",IF(F1610="","",IF(F1610&lt;=Settings!$B$7,"On time","Late"))))</f>
        <v/>
      </c>
      <c r="H1610" s="15"/>
      <c r="I1610" s="16"/>
      <c r="J1610" s="16"/>
      <c r="K1610" s="17" t="str">
        <f>IF(J1610="","",ROUND(J1610*Settings!$B$8,2))</f>
        <v/>
      </c>
      <c r="L1610" s="16"/>
      <c r="M1610" s="8" t="str">
        <f t="shared" si="25"/>
        <v/>
      </c>
      <c r="N1610" s="9"/>
    </row>
    <row r="1611" spans="1:14" ht="15.75">
      <c r="A1611" s="11"/>
      <c r="B1611" s="9"/>
      <c r="C1611" s="12" t="str">
        <f>IF(B1611="","",IFERROR(INDEX('Cashier Roster'!$C$5:$C$64,MATCH(B1611,'Cashier Roster'!$B$5:$B$64,0)),"Not on roster"))</f>
        <v/>
      </c>
      <c r="D1611" s="12" t="str">
        <f>IF(B1611="","",IFERROR(INDEX('Cashier Roster'!$D$5:$D$64,MATCH(B1611,'Cashier Roster'!$B$5:$B$64,0)),""))</f>
        <v/>
      </c>
      <c r="E1611" s="13"/>
      <c r="F1611" s="14"/>
      <c r="G1611" s="8" t="str">
        <f>IF(OR(B1611="",E1611=""),"",IF(E1611="No","Missed",IF(F1611="","",IF(F1611&lt;=Settings!$B$7,"On time","Late"))))</f>
        <v/>
      </c>
      <c r="H1611" s="15"/>
      <c r="I1611" s="16"/>
      <c r="J1611" s="16"/>
      <c r="K1611" s="17" t="str">
        <f>IF(J1611="","",ROUND(J1611*Settings!$B$8,2))</f>
        <v/>
      </c>
      <c r="L1611" s="16"/>
      <c r="M1611" s="8" t="str">
        <f t="shared" si="25"/>
        <v/>
      </c>
      <c r="N1611" s="9"/>
    </row>
    <row r="1612" spans="1:14" ht="15.75">
      <c r="A1612" s="11"/>
      <c r="B1612" s="9"/>
      <c r="C1612" s="12" t="str">
        <f>IF(B1612="","",IFERROR(INDEX('Cashier Roster'!$C$5:$C$64,MATCH(B1612,'Cashier Roster'!$B$5:$B$64,0)),"Not on roster"))</f>
        <v/>
      </c>
      <c r="D1612" s="12" t="str">
        <f>IF(B1612="","",IFERROR(INDEX('Cashier Roster'!$D$5:$D$64,MATCH(B1612,'Cashier Roster'!$B$5:$B$64,0)),""))</f>
        <v/>
      </c>
      <c r="E1612" s="13"/>
      <c r="F1612" s="14"/>
      <c r="G1612" s="8" t="str">
        <f>IF(OR(B1612="",E1612=""),"",IF(E1612="No","Missed",IF(F1612="","",IF(F1612&lt;=Settings!$B$7,"On time","Late"))))</f>
        <v/>
      </c>
      <c r="H1612" s="15"/>
      <c r="I1612" s="16"/>
      <c r="J1612" s="16"/>
      <c r="K1612" s="17" t="str">
        <f>IF(J1612="","",ROUND(J1612*Settings!$B$8,2))</f>
        <v/>
      </c>
      <c r="L1612" s="16"/>
      <c r="M1612" s="8" t="str">
        <f t="shared" si="25"/>
        <v/>
      </c>
      <c r="N1612" s="9"/>
    </row>
    <row r="1613" spans="1:14" ht="15.75">
      <c r="A1613" s="11"/>
      <c r="B1613" s="9"/>
      <c r="C1613" s="12" t="str">
        <f>IF(B1613="","",IFERROR(INDEX('Cashier Roster'!$C$5:$C$64,MATCH(B1613,'Cashier Roster'!$B$5:$B$64,0)),"Not on roster"))</f>
        <v/>
      </c>
      <c r="D1613" s="12" t="str">
        <f>IF(B1613="","",IFERROR(INDEX('Cashier Roster'!$D$5:$D$64,MATCH(B1613,'Cashier Roster'!$B$5:$B$64,0)),""))</f>
        <v/>
      </c>
      <c r="E1613" s="13"/>
      <c r="F1613" s="14"/>
      <c r="G1613" s="8" t="str">
        <f>IF(OR(B1613="",E1613=""),"",IF(E1613="No","Missed",IF(F1613="","",IF(F1613&lt;=Settings!$B$7,"On time","Late"))))</f>
        <v/>
      </c>
      <c r="H1613" s="15"/>
      <c r="I1613" s="16"/>
      <c r="J1613" s="16"/>
      <c r="K1613" s="17" t="str">
        <f>IF(J1613="","",ROUND(J1613*Settings!$B$8,2))</f>
        <v/>
      </c>
      <c r="L1613" s="16"/>
      <c r="M1613" s="8" t="str">
        <f t="shared" si="25"/>
        <v/>
      </c>
      <c r="N1613" s="9"/>
    </row>
    <row r="1614" spans="1:14" ht="15.75">
      <c r="A1614" s="11"/>
      <c r="B1614" s="9"/>
      <c r="C1614" s="12" t="str">
        <f>IF(B1614="","",IFERROR(INDEX('Cashier Roster'!$C$5:$C$64,MATCH(B1614,'Cashier Roster'!$B$5:$B$64,0)),"Not on roster"))</f>
        <v/>
      </c>
      <c r="D1614" s="12" t="str">
        <f>IF(B1614="","",IFERROR(INDEX('Cashier Roster'!$D$5:$D$64,MATCH(B1614,'Cashier Roster'!$B$5:$B$64,0)),""))</f>
        <v/>
      </c>
      <c r="E1614" s="13"/>
      <c r="F1614" s="14"/>
      <c r="G1614" s="8" t="str">
        <f>IF(OR(B1614="",E1614=""),"",IF(E1614="No","Missed",IF(F1614="","",IF(F1614&lt;=Settings!$B$7,"On time","Late"))))</f>
        <v/>
      </c>
      <c r="H1614" s="15"/>
      <c r="I1614" s="16"/>
      <c r="J1614" s="16"/>
      <c r="K1614" s="17" t="str">
        <f>IF(J1614="","",ROUND(J1614*Settings!$B$8,2))</f>
        <v/>
      </c>
      <c r="L1614" s="16"/>
      <c r="M1614" s="8" t="str">
        <f t="shared" si="25"/>
        <v/>
      </c>
      <c r="N1614" s="9"/>
    </row>
    <row r="1615" spans="1:14" ht="15.75">
      <c r="A1615" s="11"/>
      <c r="B1615" s="9"/>
      <c r="C1615" s="12" t="str">
        <f>IF(B1615="","",IFERROR(INDEX('Cashier Roster'!$C$5:$C$64,MATCH(B1615,'Cashier Roster'!$B$5:$B$64,0)),"Not on roster"))</f>
        <v/>
      </c>
      <c r="D1615" s="12" t="str">
        <f>IF(B1615="","",IFERROR(INDEX('Cashier Roster'!$D$5:$D$64,MATCH(B1615,'Cashier Roster'!$B$5:$B$64,0)),""))</f>
        <v/>
      </c>
      <c r="E1615" s="13"/>
      <c r="F1615" s="14"/>
      <c r="G1615" s="8" t="str">
        <f>IF(OR(B1615="",E1615=""),"",IF(E1615="No","Missed",IF(F1615="","",IF(F1615&lt;=Settings!$B$7,"On time","Late"))))</f>
        <v/>
      </c>
      <c r="H1615" s="15"/>
      <c r="I1615" s="16"/>
      <c r="J1615" s="16"/>
      <c r="K1615" s="17" t="str">
        <f>IF(J1615="","",ROUND(J1615*Settings!$B$8,2))</f>
        <v/>
      </c>
      <c r="L1615" s="16"/>
      <c r="M1615" s="8" t="str">
        <f t="shared" si="25"/>
        <v/>
      </c>
      <c r="N1615" s="9"/>
    </row>
    <row r="1616" spans="1:14" ht="15.75">
      <c r="A1616" s="11"/>
      <c r="B1616" s="9"/>
      <c r="C1616" s="12" t="str">
        <f>IF(B1616="","",IFERROR(INDEX('Cashier Roster'!$C$5:$C$64,MATCH(B1616,'Cashier Roster'!$B$5:$B$64,0)),"Not on roster"))</f>
        <v/>
      </c>
      <c r="D1616" s="12" t="str">
        <f>IF(B1616="","",IFERROR(INDEX('Cashier Roster'!$D$5:$D$64,MATCH(B1616,'Cashier Roster'!$B$5:$B$64,0)),""))</f>
        <v/>
      </c>
      <c r="E1616" s="13"/>
      <c r="F1616" s="14"/>
      <c r="G1616" s="8" t="str">
        <f>IF(OR(B1616="",E1616=""),"",IF(E1616="No","Missed",IF(F1616="","",IF(F1616&lt;=Settings!$B$7,"On time","Late"))))</f>
        <v/>
      </c>
      <c r="H1616" s="15"/>
      <c r="I1616" s="16"/>
      <c r="J1616" s="16"/>
      <c r="K1616" s="17" t="str">
        <f>IF(J1616="","",ROUND(J1616*Settings!$B$8,2))</f>
        <v/>
      </c>
      <c r="L1616" s="16"/>
      <c r="M1616" s="8" t="str">
        <f t="shared" si="25"/>
        <v/>
      </c>
      <c r="N1616" s="9"/>
    </row>
    <row r="1617" spans="1:14" ht="15.75">
      <c r="A1617" s="11"/>
      <c r="B1617" s="9"/>
      <c r="C1617" s="12" t="str">
        <f>IF(B1617="","",IFERROR(INDEX('Cashier Roster'!$C$5:$C$64,MATCH(B1617,'Cashier Roster'!$B$5:$B$64,0)),"Not on roster"))</f>
        <v/>
      </c>
      <c r="D1617" s="12" t="str">
        <f>IF(B1617="","",IFERROR(INDEX('Cashier Roster'!$D$5:$D$64,MATCH(B1617,'Cashier Roster'!$B$5:$B$64,0)),""))</f>
        <v/>
      </c>
      <c r="E1617" s="13"/>
      <c r="F1617" s="14"/>
      <c r="G1617" s="8" t="str">
        <f>IF(OR(B1617="",E1617=""),"",IF(E1617="No","Missed",IF(F1617="","",IF(F1617&lt;=Settings!$B$7,"On time","Late"))))</f>
        <v/>
      </c>
      <c r="H1617" s="15"/>
      <c r="I1617" s="16"/>
      <c r="J1617" s="16"/>
      <c r="K1617" s="17" t="str">
        <f>IF(J1617="","",ROUND(J1617*Settings!$B$8,2))</f>
        <v/>
      </c>
      <c r="L1617" s="16"/>
      <c r="M1617" s="8" t="str">
        <f t="shared" si="25"/>
        <v/>
      </c>
      <c r="N1617" s="9"/>
    </row>
    <row r="1618" spans="1:14" ht="15.75">
      <c r="A1618" s="11"/>
      <c r="B1618" s="9"/>
      <c r="C1618" s="12" t="str">
        <f>IF(B1618="","",IFERROR(INDEX('Cashier Roster'!$C$5:$C$64,MATCH(B1618,'Cashier Roster'!$B$5:$B$64,0)),"Not on roster"))</f>
        <v/>
      </c>
      <c r="D1618" s="12" t="str">
        <f>IF(B1618="","",IFERROR(INDEX('Cashier Roster'!$D$5:$D$64,MATCH(B1618,'Cashier Roster'!$B$5:$B$64,0)),""))</f>
        <v/>
      </c>
      <c r="E1618" s="13"/>
      <c r="F1618" s="14"/>
      <c r="G1618" s="8" t="str">
        <f>IF(OR(B1618="",E1618=""),"",IF(E1618="No","Missed",IF(F1618="","",IF(F1618&lt;=Settings!$B$7,"On time","Late"))))</f>
        <v/>
      </c>
      <c r="H1618" s="15"/>
      <c r="I1618" s="16"/>
      <c r="J1618" s="16"/>
      <c r="K1618" s="17" t="str">
        <f>IF(J1618="","",ROUND(J1618*Settings!$B$8,2))</f>
        <v/>
      </c>
      <c r="L1618" s="16"/>
      <c r="M1618" s="8" t="str">
        <f t="shared" si="25"/>
        <v/>
      </c>
      <c r="N1618" s="9"/>
    </row>
    <row r="1619" spans="1:14" ht="15.75">
      <c r="A1619" s="11"/>
      <c r="B1619" s="9"/>
      <c r="C1619" s="12" t="str">
        <f>IF(B1619="","",IFERROR(INDEX('Cashier Roster'!$C$5:$C$64,MATCH(B1619,'Cashier Roster'!$B$5:$B$64,0)),"Not on roster"))</f>
        <v/>
      </c>
      <c r="D1619" s="12" t="str">
        <f>IF(B1619="","",IFERROR(INDEX('Cashier Roster'!$D$5:$D$64,MATCH(B1619,'Cashier Roster'!$B$5:$B$64,0)),""))</f>
        <v/>
      </c>
      <c r="E1619" s="13"/>
      <c r="F1619" s="14"/>
      <c r="G1619" s="8" t="str">
        <f>IF(OR(B1619="",E1619=""),"",IF(E1619="No","Missed",IF(F1619="","",IF(F1619&lt;=Settings!$B$7,"On time","Late"))))</f>
        <v/>
      </c>
      <c r="H1619" s="15"/>
      <c r="I1619" s="16"/>
      <c r="J1619" s="16"/>
      <c r="K1619" s="17" t="str">
        <f>IF(J1619="","",ROUND(J1619*Settings!$B$8,2))</f>
        <v/>
      </c>
      <c r="L1619" s="16"/>
      <c r="M1619" s="8" t="str">
        <f t="shared" si="25"/>
        <v/>
      </c>
      <c r="N1619" s="9"/>
    </row>
    <row r="1620" spans="1:14" ht="15.75">
      <c r="A1620" s="11"/>
      <c r="B1620" s="9"/>
      <c r="C1620" s="12" t="str">
        <f>IF(B1620="","",IFERROR(INDEX('Cashier Roster'!$C$5:$C$64,MATCH(B1620,'Cashier Roster'!$B$5:$B$64,0)),"Not on roster"))</f>
        <v/>
      </c>
      <c r="D1620" s="12" t="str">
        <f>IF(B1620="","",IFERROR(INDEX('Cashier Roster'!$D$5:$D$64,MATCH(B1620,'Cashier Roster'!$B$5:$B$64,0)),""))</f>
        <v/>
      </c>
      <c r="E1620" s="13"/>
      <c r="F1620" s="14"/>
      <c r="G1620" s="8" t="str">
        <f>IF(OR(B1620="",E1620=""),"",IF(E1620="No","Missed",IF(F1620="","",IF(F1620&lt;=Settings!$B$7,"On time","Late"))))</f>
        <v/>
      </c>
      <c r="H1620" s="15"/>
      <c r="I1620" s="16"/>
      <c r="J1620" s="16"/>
      <c r="K1620" s="17" t="str">
        <f>IF(J1620="","",ROUND(J1620*Settings!$B$8,2))</f>
        <v/>
      </c>
      <c r="L1620" s="16"/>
      <c r="M1620" s="8" t="str">
        <f t="shared" si="25"/>
        <v/>
      </c>
      <c r="N1620" s="9"/>
    </row>
    <row r="1621" spans="1:14" ht="15.75">
      <c r="A1621" s="11"/>
      <c r="B1621" s="9"/>
      <c r="C1621" s="12" t="str">
        <f>IF(B1621="","",IFERROR(INDEX('Cashier Roster'!$C$5:$C$64,MATCH(B1621,'Cashier Roster'!$B$5:$B$64,0)),"Not on roster"))</f>
        <v/>
      </c>
      <c r="D1621" s="12" t="str">
        <f>IF(B1621="","",IFERROR(INDEX('Cashier Roster'!$D$5:$D$64,MATCH(B1621,'Cashier Roster'!$B$5:$B$64,0)),""))</f>
        <v/>
      </c>
      <c r="E1621" s="13"/>
      <c r="F1621" s="14"/>
      <c r="G1621" s="8" t="str">
        <f>IF(OR(B1621="",E1621=""),"",IF(E1621="No","Missed",IF(F1621="","",IF(F1621&lt;=Settings!$B$7,"On time","Late"))))</f>
        <v/>
      </c>
      <c r="H1621" s="15"/>
      <c r="I1621" s="16"/>
      <c r="J1621" s="16"/>
      <c r="K1621" s="17" t="str">
        <f>IF(J1621="","",ROUND(J1621*Settings!$B$8,2))</f>
        <v/>
      </c>
      <c r="L1621" s="16"/>
      <c r="M1621" s="8" t="str">
        <f t="shared" si="25"/>
        <v/>
      </c>
      <c r="N1621" s="9"/>
    </row>
    <row r="1622" spans="1:14" ht="15.75">
      <c r="A1622" s="11"/>
      <c r="B1622" s="9"/>
      <c r="C1622" s="12" t="str">
        <f>IF(B1622="","",IFERROR(INDEX('Cashier Roster'!$C$5:$C$64,MATCH(B1622,'Cashier Roster'!$B$5:$B$64,0)),"Not on roster"))</f>
        <v/>
      </c>
      <c r="D1622" s="12" t="str">
        <f>IF(B1622="","",IFERROR(INDEX('Cashier Roster'!$D$5:$D$64,MATCH(B1622,'Cashier Roster'!$B$5:$B$64,0)),""))</f>
        <v/>
      </c>
      <c r="E1622" s="13"/>
      <c r="F1622" s="14"/>
      <c r="G1622" s="8" t="str">
        <f>IF(OR(B1622="",E1622=""),"",IF(E1622="No","Missed",IF(F1622="","",IF(F1622&lt;=Settings!$B$7,"On time","Late"))))</f>
        <v/>
      </c>
      <c r="H1622" s="15"/>
      <c r="I1622" s="16"/>
      <c r="J1622" s="16"/>
      <c r="K1622" s="17" t="str">
        <f>IF(J1622="","",ROUND(J1622*Settings!$B$8,2))</f>
        <v/>
      </c>
      <c r="L1622" s="16"/>
      <c r="M1622" s="8" t="str">
        <f t="shared" si="25"/>
        <v/>
      </c>
      <c r="N1622" s="9"/>
    </row>
    <row r="1623" spans="1:14" ht="15.75">
      <c r="A1623" s="11"/>
      <c r="B1623" s="9"/>
      <c r="C1623" s="12" t="str">
        <f>IF(B1623="","",IFERROR(INDEX('Cashier Roster'!$C$5:$C$64,MATCH(B1623,'Cashier Roster'!$B$5:$B$64,0)),"Not on roster"))</f>
        <v/>
      </c>
      <c r="D1623" s="12" t="str">
        <f>IF(B1623="","",IFERROR(INDEX('Cashier Roster'!$D$5:$D$64,MATCH(B1623,'Cashier Roster'!$B$5:$B$64,0)),""))</f>
        <v/>
      </c>
      <c r="E1623" s="13"/>
      <c r="F1623" s="14"/>
      <c r="G1623" s="8" t="str">
        <f>IF(OR(B1623="",E1623=""),"",IF(E1623="No","Missed",IF(F1623="","",IF(F1623&lt;=Settings!$B$7,"On time","Late"))))</f>
        <v/>
      </c>
      <c r="H1623" s="15"/>
      <c r="I1623" s="16"/>
      <c r="J1623" s="16"/>
      <c r="K1623" s="17" t="str">
        <f>IF(J1623="","",ROUND(J1623*Settings!$B$8,2))</f>
        <v/>
      </c>
      <c r="L1623" s="16"/>
      <c r="M1623" s="8" t="str">
        <f t="shared" si="25"/>
        <v/>
      </c>
      <c r="N1623" s="9"/>
    </row>
    <row r="1624" spans="1:14" ht="15.75">
      <c r="A1624" s="11"/>
      <c r="B1624" s="9"/>
      <c r="C1624" s="12" t="str">
        <f>IF(B1624="","",IFERROR(INDEX('Cashier Roster'!$C$5:$C$64,MATCH(B1624,'Cashier Roster'!$B$5:$B$64,0)),"Not on roster"))</f>
        <v/>
      </c>
      <c r="D1624" s="12" t="str">
        <f>IF(B1624="","",IFERROR(INDEX('Cashier Roster'!$D$5:$D$64,MATCH(B1624,'Cashier Roster'!$B$5:$B$64,0)),""))</f>
        <v/>
      </c>
      <c r="E1624" s="13"/>
      <c r="F1624" s="14"/>
      <c r="G1624" s="8" t="str">
        <f>IF(OR(B1624="",E1624=""),"",IF(E1624="No","Missed",IF(F1624="","",IF(F1624&lt;=Settings!$B$7,"On time","Late"))))</f>
        <v/>
      </c>
      <c r="H1624" s="15"/>
      <c r="I1624" s="16"/>
      <c r="J1624" s="16"/>
      <c r="K1624" s="17" t="str">
        <f>IF(J1624="","",ROUND(J1624*Settings!$B$8,2))</f>
        <v/>
      </c>
      <c r="L1624" s="16"/>
      <c r="M1624" s="8" t="str">
        <f t="shared" si="25"/>
        <v/>
      </c>
      <c r="N1624" s="9"/>
    </row>
    <row r="1625" spans="1:14" ht="15.75">
      <c r="A1625" s="11"/>
      <c r="B1625" s="9"/>
      <c r="C1625" s="12" t="str">
        <f>IF(B1625="","",IFERROR(INDEX('Cashier Roster'!$C$5:$C$64,MATCH(B1625,'Cashier Roster'!$B$5:$B$64,0)),"Not on roster"))</f>
        <v/>
      </c>
      <c r="D1625" s="12" t="str">
        <f>IF(B1625="","",IFERROR(INDEX('Cashier Roster'!$D$5:$D$64,MATCH(B1625,'Cashier Roster'!$B$5:$B$64,0)),""))</f>
        <v/>
      </c>
      <c r="E1625" s="13"/>
      <c r="F1625" s="14"/>
      <c r="G1625" s="8" t="str">
        <f>IF(OR(B1625="",E1625=""),"",IF(E1625="No","Missed",IF(F1625="","",IF(F1625&lt;=Settings!$B$7,"On time","Late"))))</f>
        <v/>
      </c>
      <c r="H1625" s="15"/>
      <c r="I1625" s="16"/>
      <c r="J1625" s="16"/>
      <c r="K1625" s="17" t="str">
        <f>IF(J1625="","",ROUND(J1625*Settings!$B$8,2))</f>
        <v/>
      </c>
      <c r="L1625" s="16"/>
      <c r="M1625" s="8" t="str">
        <f t="shared" si="25"/>
        <v/>
      </c>
      <c r="N1625" s="9"/>
    </row>
    <row r="1626" spans="1:14" ht="15.75">
      <c r="A1626" s="11"/>
      <c r="B1626" s="9"/>
      <c r="C1626" s="12" t="str">
        <f>IF(B1626="","",IFERROR(INDEX('Cashier Roster'!$C$5:$C$64,MATCH(B1626,'Cashier Roster'!$B$5:$B$64,0)),"Not on roster"))</f>
        <v/>
      </c>
      <c r="D1626" s="12" t="str">
        <f>IF(B1626="","",IFERROR(INDEX('Cashier Roster'!$D$5:$D$64,MATCH(B1626,'Cashier Roster'!$B$5:$B$64,0)),""))</f>
        <v/>
      </c>
      <c r="E1626" s="13"/>
      <c r="F1626" s="14"/>
      <c r="G1626" s="8" t="str">
        <f>IF(OR(B1626="",E1626=""),"",IF(E1626="No","Missed",IF(F1626="","",IF(F1626&lt;=Settings!$B$7,"On time","Late"))))</f>
        <v/>
      </c>
      <c r="H1626" s="15"/>
      <c r="I1626" s="16"/>
      <c r="J1626" s="16"/>
      <c r="K1626" s="17" t="str">
        <f>IF(J1626="","",ROUND(J1626*Settings!$B$8,2))</f>
        <v/>
      </c>
      <c r="L1626" s="16"/>
      <c r="M1626" s="8" t="str">
        <f t="shared" si="25"/>
        <v/>
      </c>
      <c r="N1626" s="9"/>
    </row>
    <row r="1627" spans="1:14" ht="15.75">
      <c r="A1627" s="11"/>
      <c r="B1627" s="9"/>
      <c r="C1627" s="12" t="str">
        <f>IF(B1627="","",IFERROR(INDEX('Cashier Roster'!$C$5:$C$64,MATCH(B1627,'Cashier Roster'!$B$5:$B$64,0)),"Not on roster"))</f>
        <v/>
      </c>
      <c r="D1627" s="12" t="str">
        <f>IF(B1627="","",IFERROR(INDEX('Cashier Roster'!$D$5:$D$64,MATCH(B1627,'Cashier Roster'!$B$5:$B$64,0)),""))</f>
        <v/>
      </c>
      <c r="E1627" s="13"/>
      <c r="F1627" s="14"/>
      <c r="G1627" s="8" t="str">
        <f>IF(OR(B1627="",E1627=""),"",IF(E1627="No","Missed",IF(F1627="","",IF(F1627&lt;=Settings!$B$7,"On time","Late"))))</f>
        <v/>
      </c>
      <c r="H1627" s="15"/>
      <c r="I1627" s="16"/>
      <c r="J1627" s="16"/>
      <c r="K1627" s="17" t="str">
        <f>IF(J1627="","",ROUND(J1627*Settings!$B$8,2))</f>
        <v/>
      </c>
      <c r="L1627" s="16"/>
      <c r="M1627" s="8" t="str">
        <f t="shared" si="25"/>
        <v/>
      </c>
      <c r="N1627" s="9"/>
    </row>
    <row r="1628" spans="1:14" ht="15.75">
      <c r="A1628" s="11"/>
      <c r="B1628" s="9"/>
      <c r="C1628" s="12" t="str">
        <f>IF(B1628="","",IFERROR(INDEX('Cashier Roster'!$C$5:$C$64,MATCH(B1628,'Cashier Roster'!$B$5:$B$64,0)),"Not on roster"))</f>
        <v/>
      </c>
      <c r="D1628" s="12" t="str">
        <f>IF(B1628="","",IFERROR(INDEX('Cashier Roster'!$D$5:$D$64,MATCH(B1628,'Cashier Roster'!$B$5:$B$64,0)),""))</f>
        <v/>
      </c>
      <c r="E1628" s="13"/>
      <c r="F1628" s="14"/>
      <c r="G1628" s="8" t="str">
        <f>IF(OR(B1628="",E1628=""),"",IF(E1628="No","Missed",IF(F1628="","",IF(F1628&lt;=Settings!$B$7,"On time","Late"))))</f>
        <v/>
      </c>
      <c r="H1628" s="15"/>
      <c r="I1628" s="16"/>
      <c r="J1628" s="16"/>
      <c r="K1628" s="17" t="str">
        <f>IF(J1628="","",ROUND(J1628*Settings!$B$8,2))</f>
        <v/>
      </c>
      <c r="L1628" s="16"/>
      <c r="M1628" s="8" t="str">
        <f t="shared" si="25"/>
        <v/>
      </c>
      <c r="N1628" s="9"/>
    </row>
    <row r="1629" spans="1:14" ht="15.75">
      <c r="A1629" s="11"/>
      <c r="B1629" s="9"/>
      <c r="C1629" s="12" t="str">
        <f>IF(B1629="","",IFERROR(INDEX('Cashier Roster'!$C$5:$C$64,MATCH(B1629,'Cashier Roster'!$B$5:$B$64,0)),"Not on roster"))</f>
        <v/>
      </c>
      <c r="D1629" s="12" t="str">
        <f>IF(B1629="","",IFERROR(INDEX('Cashier Roster'!$D$5:$D$64,MATCH(B1629,'Cashier Roster'!$B$5:$B$64,0)),""))</f>
        <v/>
      </c>
      <c r="E1629" s="13"/>
      <c r="F1629" s="14"/>
      <c r="G1629" s="8" t="str">
        <f>IF(OR(B1629="",E1629=""),"",IF(E1629="No","Missed",IF(F1629="","",IF(F1629&lt;=Settings!$B$7,"On time","Late"))))</f>
        <v/>
      </c>
      <c r="H1629" s="15"/>
      <c r="I1629" s="16"/>
      <c r="J1629" s="16"/>
      <c r="K1629" s="17" t="str">
        <f>IF(J1629="","",ROUND(J1629*Settings!$B$8,2))</f>
        <v/>
      </c>
      <c r="L1629" s="16"/>
      <c r="M1629" s="8" t="str">
        <f t="shared" si="25"/>
        <v/>
      </c>
      <c r="N1629" s="9"/>
    </row>
    <row r="1630" spans="1:14" ht="15.75">
      <c r="A1630" s="11"/>
      <c r="B1630" s="9"/>
      <c r="C1630" s="12" t="str">
        <f>IF(B1630="","",IFERROR(INDEX('Cashier Roster'!$C$5:$C$64,MATCH(B1630,'Cashier Roster'!$B$5:$B$64,0)),"Not on roster"))</f>
        <v/>
      </c>
      <c r="D1630" s="12" t="str">
        <f>IF(B1630="","",IFERROR(INDEX('Cashier Roster'!$D$5:$D$64,MATCH(B1630,'Cashier Roster'!$B$5:$B$64,0)),""))</f>
        <v/>
      </c>
      <c r="E1630" s="13"/>
      <c r="F1630" s="14"/>
      <c r="G1630" s="8" t="str">
        <f>IF(OR(B1630="",E1630=""),"",IF(E1630="No","Missed",IF(F1630="","",IF(F1630&lt;=Settings!$B$7,"On time","Late"))))</f>
        <v/>
      </c>
      <c r="H1630" s="15"/>
      <c r="I1630" s="16"/>
      <c r="J1630" s="16"/>
      <c r="K1630" s="17" t="str">
        <f>IF(J1630="","",ROUND(J1630*Settings!$B$8,2))</f>
        <v/>
      </c>
      <c r="L1630" s="16"/>
      <c r="M1630" s="8" t="str">
        <f t="shared" si="25"/>
        <v/>
      </c>
      <c r="N1630" s="9"/>
    </row>
    <row r="1631" spans="1:14" ht="15.75">
      <c r="A1631" s="11"/>
      <c r="B1631" s="9"/>
      <c r="C1631" s="12" t="str">
        <f>IF(B1631="","",IFERROR(INDEX('Cashier Roster'!$C$5:$C$64,MATCH(B1631,'Cashier Roster'!$B$5:$B$64,0)),"Not on roster"))</f>
        <v/>
      </c>
      <c r="D1631" s="12" t="str">
        <f>IF(B1631="","",IFERROR(INDEX('Cashier Roster'!$D$5:$D$64,MATCH(B1631,'Cashier Roster'!$B$5:$B$64,0)),""))</f>
        <v/>
      </c>
      <c r="E1631" s="13"/>
      <c r="F1631" s="14"/>
      <c r="G1631" s="8" t="str">
        <f>IF(OR(B1631="",E1631=""),"",IF(E1631="No","Missed",IF(F1631="","",IF(F1631&lt;=Settings!$B$7,"On time","Late"))))</f>
        <v/>
      </c>
      <c r="H1631" s="15"/>
      <c r="I1631" s="16"/>
      <c r="J1631" s="16"/>
      <c r="K1631" s="17" t="str">
        <f>IF(J1631="","",ROUND(J1631*Settings!$B$8,2))</f>
        <v/>
      </c>
      <c r="L1631" s="16"/>
      <c r="M1631" s="8" t="str">
        <f t="shared" si="25"/>
        <v/>
      </c>
      <c r="N1631" s="9"/>
    </row>
    <row r="1632" spans="1:14" ht="15.75">
      <c r="A1632" s="11"/>
      <c r="B1632" s="9"/>
      <c r="C1632" s="12" t="str">
        <f>IF(B1632="","",IFERROR(INDEX('Cashier Roster'!$C$5:$C$64,MATCH(B1632,'Cashier Roster'!$B$5:$B$64,0)),"Not on roster"))</f>
        <v/>
      </c>
      <c r="D1632" s="12" t="str">
        <f>IF(B1632="","",IFERROR(INDEX('Cashier Roster'!$D$5:$D$64,MATCH(B1632,'Cashier Roster'!$B$5:$B$64,0)),""))</f>
        <v/>
      </c>
      <c r="E1632" s="13"/>
      <c r="F1632" s="14"/>
      <c r="G1632" s="8" t="str">
        <f>IF(OR(B1632="",E1632=""),"",IF(E1632="No","Missed",IF(F1632="","",IF(F1632&lt;=Settings!$B$7,"On time","Late"))))</f>
        <v/>
      </c>
      <c r="H1632" s="15"/>
      <c r="I1632" s="16"/>
      <c r="J1632" s="16"/>
      <c r="K1632" s="17" t="str">
        <f>IF(J1632="","",ROUND(J1632*Settings!$B$8,2))</f>
        <v/>
      </c>
      <c r="L1632" s="16"/>
      <c r="M1632" s="8" t="str">
        <f t="shared" si="25"/>
        <v/>
      </c>
      <c r="N1632" s="9"/>
    </row>
    <row r="1633" spans="1:14" ht="15.75">
      <c r="A1633" s="11"/>
      <c r="B1633" s="9"/>
      <c r="C1633" s="12" t="str">
        <f>IF(B1633="","",IFERROR(INDEX('Cashier Roster'!$C$5:$C$64,MATCH(B1633,'Cashier Roster'!$B$5:$B$64,0)),"Not on roster"))</f>
        <v/>
      </c>
      <c r="D1633" s="12" t="str">
        <f>IF(B1633="","",IFERROR(INDEX('Cashier Roster'!$D$5:$D$64,MATCH(B1633,'Cashier Roster'!$B$5:$B$64,0)),""))</f>
        <v/>
      </c>
      <c r="E1633" s="13"/>
      <c r="F1633" s="14"/>
      <c r="G1633" s="8" t="str">
        <f>IF(OR(B1633="",E1633=""),"",IF(E1633="No","Missed",IF(F1633="","",IF(F1633&lt;=Settings!$B$7,"On time","Late"))))</f>
        <v/>
      </c>
      <c r="H1633" s="15"/>
      <c r="I1633" s="16"/>
      <c r="J1633" s="16"/>
      <c r="K1633" s="17" t="str">
        <f>IF(J1633="","",ROUND(J1633*Settings!$B$8,2))</f>
        <v/>
      </c>
      <c r="L1633" s="16"/>
      <c r="M1633" s="8" t="str">
        <f t="shared" si="25"/>
        <v/>
      </c>
      <c r="N1633" s="9"/>
    </row>
    <row r="1634" spans="1:14" ht="15.75">
      <c r="A1634" s="11"/>
      <c r="B1634" s="9"/>
      <c r="C1634" s="12" t="str">
        <f>IF(B1634="","",IFERROR(INDEX('Cashier Roster'!$C$5:$C$64,MATCH(B1634,'Cashier Roster'!$B$5:$B$64,0)),"Not on roster"))</f>
        <v/>
      </c>
      <c r="D1634" s="12" t="str">
        <f>IF(B1634="","",IFERROR(INDEX('Cashier Roster'!$D$5:$D$64,MATCH(B1634,'Cashier Roster'!$B$5:$B$64,0)),""))</f>
        <v/>
      </c>
      <c r="E1634" s="13"/>
      <c r="F1634" s="14"/>
      <c r="G1634" s="8" t="str">
        <f>IF(OR(B1634="",E1634=""),"",IF(E1634="No","Missed",IF(F1634="","",IF(F1634&lt;=Settings!$B$7,"On time","Late"))))</f>
        <v/>
      </c>
      <c r="H1634" s="15"/>
      <c r="I1634" s="16"/>
      <c r="J1634" s="16"/>
      <c r="K1634" s="17" t="str">
        <f>IF(J1634="","",ROUND(J1634*Settings!$B$8,2))</f>
        <v/>
      </c>
      <c r="L1634" s="16"/>
      <c r="M1634" s="8" t="str">
        <f t="shared" si="25"/>
        <v/>
      </c>
      <c r="N1634" s="9"/>
    </row>
    <row r="1635" spans="1:14" ht="15.75">
      <c r="A1635" s="11"/>
      <c r="B1635" s="9"/>
      <c r="C1635" s="12" t="str">
        <f>IF(B1635="","",IFERROR(INDEX('Cashier Roster'!$C$5:$C$64,MATCH(B1635,'Cashier Roster'!$B$5:$B$64,0)),"Not on roster"))</f>
        <v/>
      </c>
      <c r="D1635" s="12" t="str">
        <f>IF(B1635="","",IFERROR(INDEX('Cashier Roster'!$D$5:$D$64,MATCH(B1635,'Cashier Roster'!$B$5:$B$64,0)),""))</f>
        <v/>
      </c>
      <c r="E1635" s="13"/>
      <c r="F1635" s="14"/>
      <c r="G1635" s="8" t="str">
        <f>IF(OR(B1635="",E1635=""),"",IF(E1635="No","Missed",IF(F1635="","",IF(F1635&lt;=Settings!$B$7,"On time","Late"))))</f>
        <v/>
      </c>
      <c r="H1635" s="15"/>
      <c r="I1635" s="16"/>
      <c r="J1635" s="16"/>
      <c r="K1635" s="17" t="str">
        <f>IF(J1635="","",ROUND(J1635*Settings!$B$8,2))</f>
        <v/>
      </c>
      <c r="L1635" s="16"/>
      <c r="M1635" s="8" t="str">
        <f t="shared" si="25"/>
        <v/>
      </c>
      <c r="N1635" s="9"/>
    </row>
    <row r="1636" spans="1:14" ht="15.75">
      <c r="A1636" s="11"/>
      <c r="B1636" s="9"/>
      <c r="C1636" s="12" t="str">
        <f>IF(B1636="","",IFERROR(INDEX('Cashier Roster'!$C$5:$C$64,MATCH(B1636,'Cashier Roster'!$B$5:$B$64,0)),"Not on roster"))</f>
        <v/>
      </c>
      <c r="D1636" s="12" t="str">
        <f>IF(B1636="","",IFERROR(INDEX('Cashier Roster'!$D$5:$D$64,MATCH(B1636,'Cashier Roster'!$B$5:$B$64,0)),""))</f>
        <v/>
      </c>
      <c r="E1636" s="13"/>
      <c r="F1636" s="14"/>
      <c r="G1636" s="8" t="str">
        <f>IF(OR(B1636="",E1636=""),"",IF(E1636="No","Missed",IF(F1636="","",IF(F1636&lt;=Settings!$B$7,"On time","Late"))))</f>
        <v/>
      </c>
      <c r="H1636" s="15"/>
      <c r="I1636" s="16"/>
      <c r="J1636" s="16"/>
      <c r="K1636" s="17" t="str">
        <f>IF(J1636="","",ROUND(J1636*Settings!$B$8,2))</f>
        <v/>
      </c>
      <c r="L1636" s="16"/>
      <c r="M1636" s="8" t="str">
        <f t="shared" si="25"/>
        <v/>
      </c>
      <c r="N1636" s="9"/>
    </row>
    <row r="1637" spans="1:14" ht="15.75">
      <c r="A1637" s="11"/>
      <c r="B1637" s="9"/>
      <c r="C1637" s="12" t="str">
        <f>IF(B1637="","",IFERROR(INDEX('Cashier Roster'!$C$5:$C$64,MATCH(B1637,'Cashier Roster'!$B$5:$B$64,0)),"Not on roster"))</f>
        <v/>
      </c>
      <c r="D1637" s="12" t="str">
        <f>IF(B1637="","",IFERROR(INDEX('Cashier Roster'!$D$5:$D$64,MATCH(B1637,'Cashier Roster'!$B$5:$B$64,0)),""))</f>
        <v/>
      </c>
      <c r="E1637" s="13"/>
      <c r="F1637" s="14"/>
      <c r="G1637" s="8" t="str">
        <f>IF(OR(B1637="",E1637=""),"",IF(E1637="No","Missed",IF(F1637="","",IF(F1637&lt;=Settings!$B$7,"On time","Late"))))</f>
        <v/>
      </c>
      <c r="H1637" s="15"/>
      <c r="I1637" s="16"/>
      <c r="J1637" s="16"/>
      <c r="K1637" s="17" t="str">
        <f>IF(J1637="","",ROUND(J1637*Settings!$B$8,2))</f>
        <v/>
      </c>
      <c r="L1637" s="16"/>
      <c r="M1637" s="8" t="str">
        <f t="shared" si="25"/>
        <v/>
      </c>
      <c r="N1637" s="9"/>
    </row>
    <row r="1638" spans="1:14" ht="15.75">
      <c r="A1638" s="11"/>
      <c r="B1638" s="9"/>
      <c r="C1638" s="12" t="str">
        <f>IF(B1638="","",IFERROR(INDEX('Cashier Roster'!$C$5:$C$64,MATCH(B1638,'Cashier Roster'!$B$5:$B$64,0)),"Not on roster"))</f>
        <v/>
      </c>
      <c r="D1638" s="12" t="str">
        <f>IF(B1638="","",IFERROR(INDEX('Cashier Roster'!$D$5:$D$64,MATCH(B1638,'Cashier Roster'!$B$5:$B$64,0)),""))</f>
        <v/>
      </c>
      <c r="E1638" s="13"/>
      <c r="F1638" s="14"/>
      <c r="G1638" s="8" t="str">
        <f>IF(OR(B1638="",E1638=""),"",IF(E1638="No","Missed",IF(F1638="","",IF(F1638&lt;=Settings!$B$7,"On time","Late"))))</f>
        <v/>
      </c>
      <c r="H1638" s="15"/>
      <c r="I1638" s="16"/>
      <c r="J1638" s="16"/>
      <c r="K1638" s="17" t="str">
        <f>IF(J1638="","",ROUND(J1638*Settings!$B$8,2))</f>
        <v/>
      </c>
      <c r="L1638" s="16"/>
      <c r="M1638" s="8" t="str">
        <f t="shared" si="25"/>
        <v/>
      </c>
      <c r="N1638" s="9"/>
    </row>
    <row r="1639" spans="1:14" ht="15.75">
      <c r="A1639" s="11"/>
      <c r="B1639" s="9"/>
      <c r="C1639" s="12" t="str">
        <f>IF(B1639="","",IFERROR(INDEX('Cashier Roster'!$C$5:$C$64,MATCH(B1639,'Cashier Roster'!$B$5:$B$64,0)),"Not on roster"))</f>
        <v/>
      </c>
      <c r="D1639" s="12" t="str">
        <f>IF(B1639="","",IFERROR(INDEX('Cashier Roster'!$D$5:$D$64,MATCH(B1639,'Cashier Roster'!$B$5:$B$64,0)),""))</f>
        <v/>
      </c>
      <c r="E1639" s="13"/>
      <c r="F1639" s="14"/>
      <c r="G1639" s="8" t="str">
        <f>IF(OR(B1639="",E1639=""),"",IF(E1639="No","Missed",IF(F1639="","",IF(F1639&lt;=Settings!$B$7,"On time","Late"))))</f>
        <v/>
      </c>
      <c r="H1639" s="15"/>
      <c r="I1639" s="16"/>
      <c r="J1639" s="16"/>
      <c r="K1639" s="17" t="str">
        <f>IF(J1639="","",ROUND(J1639*Settings!$B$8,2))</f>
        <v/>
      </c>
      <c r="L1639" s="16"/>
      <c r="M1639" s="8" t="str">
        <f t="shared" si="25"/>
        <v/>
      </c>
      <c r="N1639" s="9"/>
    </row>
    <row r="1640" spans="1:14" ht="15.75">
      <c r="A1640" s="11"/>
      <c r="B1640" s="9"/>
      <c r="C1640" s="12" t="str">
        <f>IF(B1640="","",IFERROR(INDEX('Cashier Roster'!$C$5:$C$64,MATCH(B1640,'Cashier Roster'!$B$5:$B$64,0)),"Not on roster"))</f>
        <v/>
      </c>
      <c r="D1640" s="12" t="str">
        <f>IF(B1640="","",IFERROR(INDEX('Cashier Roster'!$D$5:$D$64,MATCH(B1640,'Cashier Roster'!$B$5:$B$64,0)),""))</f>
        <v/>
      </c>
      <c r="E1640" s="13"/>
      <c r="F1640" s="14"/>
      <c r="G1640" s="8" t="str">
        <f>IF(OR(B1640="",E1640=""),"",IF(E1640="No","Missed",IF(F1640="","",IF(F1640&lt;=Settings!$B$7,"On time","Late"))))</f>
        <v/>
      </c>
      <c r="H1640" s="15"/>
      <c r="I1640" s="16"/>
      <c r="J1640" s="16"/>
      <c r="K1640" s="17" t="str">
        <f>IF(J1640="","",ROUND(J1640*Settings!$B$8,2))</f>
        <v/>
      </c>
      <c r="L1640" s="16"/>
      <c r="M1640" s="8" t="str">
        <f t="shared" si="25"/>
        <v/>
      </c>
      <c r="N1640" s="9"/>
    </row>
    <row r="1641" spans="1:14" ht="15.75">
      <c r="A1641" s="11"/>
      <c r="B1641" s="9"/>
      <c r="C1641" s="12" t="str">
        <f>IF(B1641="","",IFERROR(INDEX('Cashier Roster'!$C$5:$C$64,MATCH(B1641,'Cashier Roster'!$B$5:$B$64,0)),"Not on roster"))</f>
        <v/>
      </c>
      <c r="D1641" s="12" t="str">
        <f>IF(B1641="","",IFERROR(INDEX('Cashier Roster'!$D$5:$D$64,MATCH(B1641,'Cashier Roster'!$B$5:$B$64,0)),""))</f>
        <v/>
      </c>
      <c r="E1641" s="13"/>
      <c r="F1641" s="14"/>
      <c r="G1641" s="8" t="str">
        <f>IF(OR(B1641="",E1641=""),"",IF(E1641="No","Missed",IF(F1641="","",IF(F1641&lt;=Settings!$B$7,"On time","Late"))))</f>
        <v/>
      </c>
      <c r="H1641" s="15"/>
      <c r="I1641" s="16"/>
      <c r="J1641" s="16"/>
      <c r="K1641" s="17" t="str">
        <f>IF(J1641="","",ROUND(J1641*Settings!$B$8,2))</f>
        <v/>
      </c>
      <c r="L1641" s="16"/>
      <c r="M1641" s="8" t="str">
        <f t="shared" si="25"/>
        <v/>
      </c>
      <c r="N1641" s="9"/>
    </row>
    <row r="1642" spans="1:14" ht="15.75">
      <c r="A1642" s="11"/>
      <c r="B1642" s="9"/>
      <c r="C1642" s="12" t="str">
        <f>IF(B1642="","",IFERROR(INDEX('Cashier Roster'!$C$5:$C$64,MATCH(B1642,'Cashier Roster'!$B$5:$B$64,0)),"Not on roster"))</f>
        <v/>
      </c>
      <c r="D1642" s="12" t="str">
        <f>IF(B1642="","",IFERROR(INDEX('Cashier Roster'!$D$5:$D$64,MATCH(B1642,'Cashier Roster'!$B$5:$B$64,0)),""))</f>
        <v/>
      </c>
      <c r="E1642" s="13"/>
      <c r="F1642" s="14"/>
      <c r="G1642" s="8" t="str">
        <f>IF(OR(B1642="",E1642=""),"",IF(E1642="No","Missed",IF(F1642="","",IF(F1642&lt;=Settings!$B$7,"On time","Late"))))</f>
        <v/>
      </c>
      <c r="H1642" s="15"/>
      <c r="I1642" s="16"/>
      <c r="J1642" s="16"/>
      <c r="K1642" s="17" t="str">
        <f>IF(J1642="","",ROUND(J1642*Settings!$B$8,2))</f>
        <v/>
      </c>
      <c r="L1642" s="16"/>
      <c r="M1642" s="8" t="str">
        <f t="shared" si="25"/>
        <v/>
      </c>
      <c r="N1642" s="9"/>
    </row>
    <row r="1643" spans="1:14" ht="15.75">
      <c r="A1643" s="11"/>
      <c r="B1643" s="9"/>
      <c r="C1643" s="12" t="str">
        <f>IF(B1643="","",IFERROR(INDEX('Cashier Roster'!$C$5:$C$64,MATCH(B1643,'Cashier Roster'!$B$5:$B$64,0)),"Not on roster"))</f>
        <v/>
      </c>
      <c r="D1643" s="12" t="str">
        <f>IF(B1643="","",IFERROR(INDEX('Cashier Roster'!$D$5:$D$64,MATCH(B1643,'Cashier Roster'!$B$5:$B$64,0)),""))</f>
        <v/>
      </c>
      <c r="E1643" s="13"/>
      <c r="F1643" s="14"/>
      <c r="G1643" s="8" t="str">
        <f>IF(OR(B1643="",E1643=""),"",IF(E1643="No","Missed",IF(F1643="","",IF(F1643&lt;=Settings!$B$7,"On time","Late"))))</f>
        <v/>
      </c>
      <c r="H1643" s="15"/>
      <c r="I1643" s="16"/>
      <c r="J1643" s="16"/>
      <c r="K1643" s="17" t="str">
        <f>IF(J1643="","",ROUND(J1643*Settings!$B$8,2))</f>
        <v/>
      </c>
      <c r="L1643" s="16"/>
      <c r="M1643" s="8" t="str">
        <f t="shared" si="25"/>
        <v/>
      </c>
      <c r="N1643" s="9"/>
    </row>
    <row r="1644" spans="1:14" ht="15.75">
      <c r="A1644" s="11"/>
      <c r="B1644" s="9"/>
      <c r="C1644" s="12" t="str">
        <f>IF(B1644="","",IFERROR(INDEX('Cashier Roster'!$C$5:$C$64,MATCH(B1644,'Cashier Roster'!$B$5:$B$64,0)),"Not on roster"))</f>
        <v/>
      </c>
      <c r="D1644" s="12" t="str">
        <f>IF(B1644="","",IFERROR(INDEX('Cashier Roster'!$D$5:$D$64,MATCH(B1644,'Cashier Roster'!$B$5:$B$64,0)),""))</f>
        <v/>
      </c>
      <c r="E1644" s="13"/>
      <c r="F1644" s="14"/>
      <c r="G1644" s="8" t="str">
        <f>IF(OR(B1644="",E1644=""),"",IF(E1644="No","Missed",IF(F1644="","",IF(F1644&lt;=Settings!$B$7,"On time","Late"))))</f>
        <v/>
      </c>
      <c r="H1644" s="15"/>
      <c r="I1644" s="16"/>
      <c r="J1644" s="16"/>
      <c r="K1644" s="17" t="str">
        <f>IF(J1644="","",ROUND(J1644*Settings!$B$8,2))</f>
        <v/>
      </c>
      <c r="L1644" s="16"/>
      <c r="M1644" s="8" t="str">
        <f t="shared" si="25"/>
        <v/>
      </c>
      <c r="N1644" s="9"/>
    </row>
    <row r="1645" spans="1:14" ht="15.75">
      <c r="A1645" s="11"/>
      <c r="B1645" s="9"/>
      <c r="C1645" s="12" t="str">
        <f>IF(B1645="","",IFERROR(INDEX('Cashier Roster'!$C$5:$C$64,MATCH(B1645,'Cashier Roster'!$B$5:$B$64,0)),"Not on roster"))</f>
        <v/>
      </c>
      <c r="D1645" s="12" t="str">
        <f>IF(B1645="","",IFERROR(INDEX('Cashier Roster'!$D$5:$D$64,MATCH(B1645,'Cashier Roster'!$B$5:$B$64,0)),""))</f>
        <v/>
      </c>
      <c r="E1645" s="13"/>
      <c r="F1645" s="14"/>
      <c r="G1645" s="8" t="str">
        <f>IF(OR(B1645="",E1645=""),"",IF(E1645="No","Missed",IF(F1645="","",IF(F1645&lt;=Settings!$B$7,"On time","Late"))))</f>
        <v/>
      </c>
      <c r="H1645" s="15"/>
      <c r="I1645" s="16"/>
      <c r="J1645" s="16"/>
      <c r="K1645" s="17" t="str">
        <f>IF(J1645="","",ROUND(J1645*Settings!$B$8,2))</f>
        <v/>
      </c>
      <c r="L1645" s="16"/>
      <c r="M1645" s="8" t="str">
        <f t="shared" si="25"/>
        <v/>
      </c>
      <c r="N1645" s="9"/>
    </row>
    <row r="1646" spans="1:14" ht="15.75">
      <c r="A1646" s="11"/>
      <c r="B1646" s="9"/>
      <c r="C1646" s="12" t="str">
        <f>IF(B1646="","",IFERROR(INDEX('Cashier Roster'!$C$5:$C$64,MATCH(B1646,'Cashier Roster'!$B$5:$B$64,0)),"Not on roster"))</f>
        <v/>
      </c>
      <c r="D1646" s="12" t="str">
        <f>IF(B1646="","",IFERROR(INDEX('Cashier Roster'!$D$5:$D$64,MATCH(B1646,'Cashier Roster'!$B$5:$B$64,0)),""))</f>
        <v/>
      </c>
      <c r="E1646" s="13"/>
      <c r="F1646" s="14"/>
      <c r="G1646" s="8" t="str">
        <f>IF(OR(B1646="",E1646=""),"",IF(E1646="No","Missed",IF(F1646="","",IF(F1646&lt;=Settings!$B$7,"On time","Late"))))</f>
        <v/>
      </c>
      <c r="H1646" s="15"/>
      <c r="I1646" s="16"/>
      <c r="J1646" s="16"/>
      <c r="K1646" s="17" t="str">
        <f>IF(J1646="","",ROUND(J1646*Settings!$B$8,2))</f>
        <v/>
      </c>
      <c r="L1646" s="16"/>
      <c r="M1646" s="8" t="str">
        <f t="shared" si="25"/>
        <v/>
      </c>
      <c r="N1646" s="9"/>
    </row>
    <row r="1647" spans="1:14" ht="15.75">
      <c r="A1647" s="11"/>
      <c r="B1647" s="9"/>
      <c r="C1647" s="12" t="str">
        <f>IF(B1647="","",IFERROR(INDEX('Cashier Roster'!$C$5:$C$64,MATCH(B1647,'Cashier Roster'!$B$5:$B$64,0)),"Not on roster"))</f>
        <v/>
      </c>
      <c r="D1647" s="12" t="str">
        <f>IF(B1647="","",IFERROR(INDEX('Cashier Roster'!$D$5:$D$64,MATCH(B1647,'Cashier Roster'!$B$5:$B$64,0)),""))</f>
        <v/>
      </c>
      <c r="E1647" s="13"/>
      <c r="F1647" s="14"/>
      <c r="G1647" s="8" t="str">
        <f>IF(OR(B1647="",E1647=""),"",IF(E1647="No","Missed",IF(F1647="","",IF(F1647&lt;=Settings!$B$7,"On time","Late"))))</f>
        <v/>
      </c>
      <c r="H1647" s="15"/>
      <c r="I1647" s="16"/>
      <c r="J1647" s="16"/>
      <c r="K1647" s="17" t="str">
        <f>IF(J1647="","",ROUND(J1647*Settings!$B$8,2))</f>
        <v/>
      </c>
      <c r="L1647" s="16"/>
      <c r="M1647" s="8" t="str">
        <f t="shared" si="25"/>
        <v/>
      </c>
      <c r="N1647" s="9"/>
    </row>
    <row r="1648" spans="1:14" ht="15.75">
      <c r="A1648" s="11"/>
      <c r="B1648" s="9"/>
      <c r="C1648" s="12" t="str">
        <f>IF(B1648="","",IFERROR(INDEX('Cashier Roster'!$C$5:$C$64,MATCH(B1648,'Cashier Roster'!$B$5:$B$64,0)),"Not on roster"))</f>
        <v/>
      </c>
      <c r="D1648" s="12" t="str">
        <f>IF(B1648="","",IFERROR(INDEX('Cashier Roster'!$D$5:$D$64,MATCH(B1648,'Cashier Roster'!$B$5:$B$64,0)),""))</f>
        <v/>
      </c>
      <c r="E1648" s="13"/>
      <c r="F1648" s="14"/>
      <c r="G1648" s="8" t="str">
        <f>IF(OR(B1648="",E1648=""),"",IF(E1648="No","Missed",IF(F1648="","",IF(F1648&lt;=Settings!$B$7,"On time","Late"))))</f>
        <v/>
      </c>
      <c r="H1648" s="15"/>
      <c r="I1648" s="16"/>
      <c r="J1648" s="16"/>
      <c r="K1648" s="17" t="str">
        <f>IF(J1648="","",ROUND(J1648*Settings!$B$8,2))</f>
        <v/>
      </c>
      <c r="L1648" s="16"/>
      <c r="M1648" s="8" t="str">
        <f t="shared" si="25"/>
        <v/>
      </c>
      <c r="N1648" s="9"/>
    </row>
    <row r="1649" spans="1:14" ht="15.75">
      <c r="A1649" s="11"/>
      <c r="B1649" s="9"/>
      <c r="C1649" s="12" t="str">
        <f>IF(B1649="","",IFERROR(INDEX('Cashier Roster'!$C$5:$C$64,MATCH(B1649,'Cashier Roster'!$B$5:$B$64,0)),"Not on roster"))</f>
        <v/>
      </c>
      <c r="D1649" s="12" t="str">
        <f>IF(B1649="","",IFERROR(INDEX('Cashier Roster'!$D$5:$D$64,MATCH(B1649,'Cashier Roster'!$B$5:$B$64,0)),""))</f>
        <v/>
      </c>
      <c r="E1649" s="13"/>
      <c r="F1649" s="14"/>
      <c r="G1649" s="8" t="str">
        <f>IF(OR(B1649="",E1649=""),"",IF(E1649="No","Missed",IF(F1649="","",IF(F1649&lt;=Settings!$B$7,"On time","Late"))))</f>
        <v/>
      </c>
      <c r="H1649" s="15"/>
      <c r="I1649" s="16"/>
      <c r="J1649" s="16"/>
      <c r="K1649" s="17" t="str">
        <f>IF(J1649="","",ROUND(J1649*Settings!$B$8,2))</f>
        <v/>
      </c>
      <c r="L1649" s="16"/>
      <c r="M1649" s="8" t="str">
        <f t="shared" si="25"/>
        <v/>
      </c>
      <c r="N1649" s="9"/>
    </row>
    <row r="1650" spans="1:14" ht="15.75">
      <c r="A1650" s="11"/>
      <c r="B1650" s="9"/>
      <c r="C1650" s="12" t="str">
        <f>IF(B1650="","",IFERROR(INDEX('Cashier Roster'!$C$5:$C$64,MATCH(B1650,'Cashier Roster'!$B$5:$B$64,0)),"Not on roster"))</f>
        <v/>
      </c>
      <c r="D1650" s="12" t="str">
        <f>IF(B1650="","",IFERROR(INDEX('Cashier Roster'!$D$5:$D$64,MATCH(B1650,'Cashier Roster'!$B$5:$B$64,0)),""))</f>
        <v/>
      </c>
      <c r="E1650" s="13"/>
      <c r="F1650" s="14"/>
      <c r="G1650" s="8" t="str">
        <f>IF(OR(B1650="",E1650=""),"",IF(E1650="No","Missed",IF(F1650="","",IF(F1650&lt;=Settings!$B$7,"On time","Late"))))</f>
        <v/>
      </c>
      <c r="H1650" s="15"/>
      <c r="I1650" s="16"/>
      <c r="J1650" s="16"/>
      <c r="K1650" s="17" t="str">
        <f>IF(J1650="","",ROUND(J1650*Settings!$B$8,2))</f>
        <v/>
      </c>
      <c r="L1650" s="16"/>
      <c r="M1650" s="8" t="str">
        <f t="shared" si="25"/>
        <v/>
      </c>
      <c r="N1650" s="9"/>
    </row>
    <row r="1651" spans="1:14" ht="15.75">
      <c r="A1651" s="11"/>
      <c r="B1651" s="9"/>
      <c r="C1651" s="12" t="str">
        <f>IF(B1651="","",IFERROR(INDEX('Cashier Roster'!$C$5:$C$64,MATCH(B1651,'Cashier Roster'!$B$5:$B$64,0)),"Not on roster"))</f>
        <v/>
      </c>
      <c r="D1651" s="12" t="str">
        <f>IF(B1651="","",IFERROR(INDEX('Cashier Roster'!$D$5:$D$64,MATCH(B1651,'Cashier Roster'!$B$5:$B$64,0)),""))</f>
        <v/>
      </c>
      <c r="E1651" s="13"/>
      <c r="F1651" s="14"/>
      <c r="G1651" s="8" t="str">
        <f>IF(OR(B1651="",E1651=""),"",IF(E1651="No","Missed",IF(F1651="","",IF(F1651&lt;=Settings!$B$7,"On time","Late"))))</f>
        <v/>
      </c>
      <c r="H1651" s="15"/>
      <c r="I1651" s="16"/>
      <c r="J1651" s="16"/>
      <c r="K1651" s="17" t="str">
        <f>IF(J1651="","",ROUND(J1651*Settings!$B$8,2))</f>
        <v/>
      </c>
      <c r="L1651" s="16"/>
      <c r="M1651" s="8" t="str">
        <f t="shared" si="25"/>
        <v/>
      </c>
      <c r="N1651" s="9"/>
    </row>
    <row r="1652" spans="1:14" ht="15.75">
      <c r="A1652" s="11"/>
      <c r="B1652" s="9"/>
      <c r="C1652" s="12" t="str">
        <f>IF(B1652="","",IFERROR(INDEX('Cashier Roster'!$C$5:$C$64,MATCH(B1652,'Cashier Roster'!$B$5:$B$64,0)),"Not on roster"))</f>
        <v/>
      </c>
      <c r="D1652" s="12" t="str">
        <f>IF(B1652="","",IFERROR(INDEX('Cashier Roster'!$D$5:$D$64,MATCH(B1652,'Cashier Roster'!$B$5:$B$64,0)),""))</f>
        <v/>
      </c>
      <c r="E1652" s="13"/>
      <c r="F1652" s="14"/>
      <c r="G1652" s="8" t="str">
        <f>IF(OR(B1652="",E1652=""),"",IF(E1652="No","Missed",IF(F1652="","",IF(F1652&lt;=Settings!$B$7,"On time","Late"))))</f>
        <v/>
      </c>
      <c r="H1652" s="15"/>
      <c r="I1652" s="16"/>
      <c r="J1652" s="16"/>
      <c r="K1652" s="17" t="str">
        <f>IF(J1652="","",ROUND(J1652*Settings!$B$8,2))</f>
        <v/>
      </c>
      <c r="L1652" s="16"/>
      <c r="M1652" s="8" t="str">
        <f t="shared" si="25"/>
        <v/>
      </c>
      <c r="N1652" s="9"/>
    </row>
    <row r="1653" spans="1:14" ht="15.75">
      <c r="A1653" s="11"/>
      <c r="B1653" s="9"/>
      <c r="C1653" s="12" t="str">
        <f>IF(B1653="","",IFERROR(INDEX('Cashier Roster'!$C$5:$C$64,MATCH(B1653,'Cashier Roster'!$B$5:$B$64,0)),"Not on roster"))</f>
        <v/>
      </c>
      <c r="D1653" s="12" t="str">
        <f>IF(B1653="","",IFERROR(INDEX('Cashier Roster'!$D$5:$D$64,MATCH(B1653,'Cashier Roster'!$B$5:$B$64,0)),""))</f>
        <v/>
      </c>
      <c r="E1653" s="13"/>
      <c r="F1653" s="14"/>
      <c r="G1653" s="8" t="str">
        <f>IF(OR(B1653="",E1653=""),"",IF(E1653="No","Missed",IF(F1653="","",IF(F1653&lt;=Settings!$B$7,"On time","Late"))))</f>
        <v/>
      </c>
      <c r="H1653" s="15"/>
      <c r="I1653" s="16"/>
      <c r="J1653" s="16"/>
      <c r="K1653" s="17" t="str">
        <f>IF(J1653="","",ROUND(J1653*Settings!$B$8,2))</f>
        <v/>
      </c>
      <c r="L1653" s="16"/>
      <c r="M1653" s="8" t="str">
        <f t="shared" si="25"/>
        <v/>
      </c>
      <c r="N1653" s="9"/>
    </row>
    <row r="1654" spans="1:14" ht="15.75">
      <c r="A1654" s="11"/>
      <c r="B1654" s="9"/>
      <c r="C1654" s="12" t="str">
        <f>IF(B1654="","",IFERROR(INDEX('Cashier Roster'!$C$5:$C$64,MATCH(B1654,'Cashier Roster'!$B$5:$B$64,0)),"Not on roster"))</f>
        <v/>
      </c>
      <c r="D1654" s="12" t="str">
        <f>IF(B1654="","",IFERROR(INDEX('Cashier Roster'!$D$5:$D$64,MATCH(B1654,'Cashier Roster'!$B$5:$B$64,0)),""))</f>
        <v/>
      </c>
      <c r="E1654" s="13"/>
      <c r="F1654" s="14"/>
      <c r="G1654" s="8" t="str">
        <f>IF(OR(B1654="",E1654=""),"",IF(E1654="No","Missed",IF(F1654="","",IF(F1654&lt;=Settings!$B$7,"On time","Late"))))</f>
        <v/>
      </c>
      <c r="H1654" s="15"/>
      <c r="I1654" s="16"/>
      <c r="J1654" s="16"/>
      <c r="K1654" s="17" t="str">
        <f>IF(J1654="","",ROUND(J1654*Settings!$B$8,2))</f>
        <v/>
      </c>
      <c r="L1654" s="16"/>
      <c r="M1654" s="8" t="str">
        <f t="shared" si="25"/>
        <v/>
      </c>
      <c r="N1654" s="9"/>
    </row>
    <row r="1655" spans="1:14" ht="15.75">
      <c r="A1655" s="11"/>
      <c r="B1655" s="9"/>
      <c r="C1655" s="12" t="str">
        <f>IF(B1655="","",IFERROR(INDEX('Cashier Roster'!$C$5:$C$64,MATCH(B1655,'Cashier Roster'!$B$5:$B$64,0)),"Not on roster"))</f>
        <v/>
      </c>
      <c r="D1655" s="12" t="str">
        <f>IF(B1655="","",IFERROR(INDEX('Cashier Roster'!$D$5:$D$64,MATCH(B1655,'Cashier Roster'!$B$5:$B$64,0)),""))</f>
        <v/>
      </c>
      <c r="E1655" s="13"/>
      <c r="F1655" s="14"/>
      <c r="G1655" s="8" t="str">
        <f>IF(OR(B1655="",E1655=""),"",IF(E1655="No","Missed",IF(F1655="","",IF(F1655&lt;=Settings!$B$7,"On time","Late"))))</f>
        <v/>
      </c>
      <c r="H1655" s="15"/>
      <c r="I1655" s="16"/>
      <c r="J1655" s="16"/>
      <c r="K1655" s="17" t="str">
        <f>IF(J1655="","",ROUND(J1655*Settings!$B$8,2))</f>
        <v/>
      </c>
      <c r="L1655" s="16"/>
      <c r="M1655" s="8" t="str">
        <f t="shared" si="25"/>
        <v/>
      </c>
      <c r="N1655" s="9"/>
    </row>
    <row r="1656" spans="1:14" ht="15.75">
      <c r="A1656" s="11"/>
      <c r="B1656" s="9"/>
      <c r="C1656" s="12" t="str">
        <f>IF(B1656="","",IFERROR(INDEX('Cashier Roster'!$C$5:$C$64,MATCH(B1656,'Cashier Roster'!$B$5:$B$64,0)),"Not on roster"))</f>
        <v/>
      </c>
      <c r="D1656" s="12" t="str">
        <f>IF(B1656="","",IFERROR(INDEX('Cashier Roster'!$D$5:$D$64,MATCH(B1656,'Cashier Roster'!$B$5:$B$64,0)),""))</f>
        <v/>
      </c>
      <c r="E1656" s="13"/>
      <c r="F1656" s="14"/>
      <c r="G1656" s="8" t="str">
        <f>IF(OR(B1656="",E1656=""),"",IF(E1656="No","Missed",IF(F1656="","",IF(F1656&lt;=Settings!$B$7,"On time","Late"))))</f>
        <v/>
      </c>
      <c r="H1656" s="15"/>
      <c r="I1656" s="16"/>
      <c r="J1656" s="16"/>
      <c r="K1656" s="17" t="str">
        <f>IF(J1656="","",ROUND(J1656*Settings!$B$8,2))</f>
        <v/>
      </c>
      <c r="L1656" s="16"/>
      <c r="M1656" s="8" t="str">
        <f t="shared" si="25"/>
        <v/>
      </c>
      <c r="N1656" s="9"/>
    </row>
    <row r="1657" spans="1:14" ht="15.75">
      <c r="A1657" s="11"/>
      <c r="B1657" s="9"/>
      <c r="C1657" s="12" t="str">
        <f>IF(B1657="","",IFERROR(INDEX('Cashier Roster'!$C$5:$C$64,MATCH(B1657,'Cashier Roster'!$B$5:$B$64,0)),"Not on roster"))</f>
        <v/>
      </c>
      <c r="D1657" s="12" t="str">
        <f>IF(B1657="","",IFERROR(INDEX('Cashier Roster'!$D$5:$D$64,MATCH(B1657,'Cashier Roster'!$B$5:$B$64,0)),""))</f>
        <v/>
      </c>
      <c r="E1657" s="13"/>
      <c r="F1657" s="14"/>
      <c r="G1657" s="8" t="str">
        <f>IF(OR(B1657="",E1657=""),"",IF(E1657="No","Missed",IF(F1657="","",IF(F1657&lt;=Settings!$B$7,"On time","Late"))))</f>
        <v/>
      </c>
      <c r="H1657" s="15"/>
      <c r="I1657" s="16"/>
      <c r="J1657" s="16"/>
      <c r="K1657" s="17" t="str">
        <f>IF(J1657="","",ROUND(J1657*Settings!$B$8,2))</f>
        <v/>
      </c>
      <c r="L1657" s="16"/>
      <c r="M1657" s="8" t="str">
        <f t="shared" si="25"/>
        <v/>
      </c>
      <c r="N1657" s="9"/>
    </row>
    <row r="1658" spans="1:14" ht="15.75">
      <c r="A1658" s="11"/>
      <c r="B1658" s="9"/>
      <c r="C1658" s="12" t="str">
        <f>IF(B1658="","",IFERROR(INDEX('Cashier Roster'!$C$5:$C$64,MATCH(B1658,'Cashier Roster'!$B$5:$B$64,0)),"Not on roster"))</f>
        <v/>
      </c>
      <c r="D1658" s="12" t="str">
        <f>IF(B1658="","",IFERROR(INDEX('Cashier Roster'!$D$5:$D$64,MATCH(B1658,'Cashier Roster'!$B$5:$B$64,0)),""))</f>
        <v/>
      </c>
      <c r="E1658" s="13"/>
      <c r="F1658" s="14"/>
      <c r="G1658" s="8" t="str">
        <f>IF(OR(B1658="",E1658=""),"",IF(E1658="No","Missed",IF(F1658="","",IF(F1658&lt;=Settings!$B$7,"On time","Late"))))</f>
        <v/>
      </c>
      <c r="H1658" s="15"/>
      <c r="I1658" s="16"/>
      <c r="J1658" s="16"/>
      <c r="K1658" s="17" t="str">
        <f>IF(J1658="","",ROUND(J1658*Settings!$B$8,2))</f>
        <v/>
      </c>
      <c r="L1658" s="16"/>
      <c r="M1658" s="8" t="str">
        <f t="shared" si="25"/>
        <v/>
      </c>
      <c r="N1658" s="9"/>
    </row>
    <row r="1659" spans="1:14" ht="15.75">
      <c r="A1659" s="11"/>
      <c r="B1659" s="9"/>
      <c r="C1659" s="12" t="str">
        <f>IF(B1659="","",IFERROR(INDEX('Cashier Roster'!$C$5:$C$64,MATCH(B1659,'Cashier Roster'!$B$5:$B$64,0)),"Not on roster"))</f>
        <v/>
      </c>
      <c r="D1659" s="12" t="str">
        <f>IF(B1659="","",IFERROR(INDEX('Cashier Roster'!$D$5:$D$64,MATCH(B1659,'Cashier Roster'!$B$5:$B$64,0)),""))</f>
        <v/>
      </c>
      <c r="E1659" s="13"/>
      <c r="F1659" s="14"/>
      <c r="G1659" s="8" t="str">
        <f>IF(OR(B1659="",E1659=""),"",IF(E1659="No","Missed",IF(F1659="","",IF(F1659&lt;=Settings!$B$7,"On time","Late"))))</f>
        <v/>
      </c>
      <c r="H1659" s="15"/>
      <c r="I1659" s="16"/>
      <c r="J1659" s="16"/>
      <c r="K1659" s="17" t="str">
        <f>IF(J1659="","",ROUND(J1659*Settings!$B$8,2))</f>
        <v/>
      </c>
      <c r="L1659" s="16"/>
      <c r="M1659" s="8" t="str">
        <f t="shared" si="25"/>
        <v/>
      </c>
      <c r="N1659" s="9"/>
    </row>
    <row r="1660" spans="1:14" ht="15.75">
      <c r="A1660" s="11"/>
      <c r="B1660" s="9"/>
      <c r="C1660" s="12" t="str">
        <f>IF(B1660="","",IFERROR(INDEX('Cashier Roster'!$C$5:$C$64,MATCH(B1660,'Cashier Roster'!$B$5:$B$64,0)),"Not on roster"))</f>
        <v/>
      </c>
      <c r="D1660" s="12" t="str">
        <f>IF(B1660="","",IFERROR(INDEX('Cashier Roster'!$D$5:$D$64,MATCH(B1660,'Cashier Roster'!$B$5:$B$64,0)),""))</f>
        <v/>
      </c>
      <c r="E1660" s="13"/>
      <c r="F1660" s="14"/>
      <c r="G1660" s="8" t="str">
        <f>IF(OR(B1660="",E1660=""),"",IF(E1660="No","Missed",IF(F1660="","",IF(F1660&lt;=Settings!$B$7,"On time","Late"))))</f>
        <v/>
      </c>
      <c r="H1660" s="15"/>
      <c r="I1660" s="16"/>
      <c r="J1660" s="16"/>
      <c r="K1660" s="17" t="str">
        <f>IF(J1660="","",ROUND(J1660*Settings!$B$8,2))</f>
        <v/>
      </c>
      <c r="L1660" s="16"/>
      <c r="M1660" s="8" t="str">
        <f t="shared" si="25"/>
        <v/>
      </c>
      <c r="N1660" s="9"/>
    </row>
    <row r="1661" spans="1:14" ht="15.75">
      <c r="A1661" s="11"/>
      <c r="B1661" s="9"/>
      <c r="C1661" s="12" t="str">
        <f>IF(B1661="","",IFERROR(INDEX('Cashier Roster'!$C$5:$C$64,MATCH(B1661,'Cashier Roster'!$B$5:$B$64,0)),"Not on roster"))</f>
        <v/>
      </c>
      <c r="D1661" s="12" t="str">
        <f>IF(B1661="","",IFERROR(INDEX('Cashier Roster'!$D$5:$D$64,MATCH(B1661,'Cashier Roster'!$B$5:$B$64,0)),""))</f>
        <v/>
      </c>
      <c r="E1661" s="13"/>
      <c r="F1661" s="14"/>
      <c r="G1661" s="8" t="str">
        <f>IF(OR(B1661="",E1661=""),"",IF(E1661="No","Missed",IF(F1661="","",IF(F1661&lt;=Settings!$B$7,"On time","Late"))))</f>
        <v/>
      </c>
      <c r="H1661" s="15"/>
      <c r="I1661" s="16"/>
      <c r="J1661" s="16"/>
      <c r="K1661" s="17" t="str">
        <f>IF(J1661="","",ROUND(J1661*Settings!$B$8,2))</f>
        <v/>
      </c>
      <c r="L1661" s="16"/>
      <c r="M1661" s="8" t="str">
        <f t="shared" si="25"/>
        <v/>
      </c>
      <c r="N1661" s="9"/>
    </row>
    <row r="1662" spans="1:14" ht="15.75">
      <c r="A1662" s="11"/>
      <c r="B1662" s="9"/>
      <c r="C1662" s="12" t="str">
        <f>IF(B1662="","",IFERROR(INDEX('Cashier Roster'!$C$5:$C$64,MATCH(B1662,'Cashier Roster'!$B$5:$B$64,0)),"Not on roster"))</f>
        <v/>
      </c>
      <c r="D1662" s="12" t="str">
        <f>IF(B1662="","",IFERROR(INDEX('Cashier Roster'!$D$5:$D$64,MATCH(B1662,'Cashier Roster'!$B$5:$B$64,0)),""))</f>
        <v/>
      </c>
      <c r="E1662" s="13"/>
      <c r="F1662" s="14"/>
      <c r="G1662" s="8" t="str">
        <f>IF(OR(B1662="",E1662=""),"",IF(E1662="No","Missed",IF(F1662="","",IF(F1662&lt;=Settings!$B$7,"On time","Late"))))</f>
        <v/>
      </c>
      <c r="H1662" s="15"/>
      <c r="I1662" s="16"/>
      <c r="J1662" s="16"/>
      <c r="K1662" s="17" t="str">
        <f>IF(J1662="","",ROUND(J1662*Settings!$B$8,2))</f>
        <v/>
      </c>
      <c r="L1662" s="16"/>
      <c r="M1662" s="8" t="str">
        <f t="shared" si="25"/>
        <v/>
      </c>
      <c r="N1662" s="9"/>
    </row>
    <row r="1663" spans="1:14" ht="15.75">
      <c r="A1663" s="11"/>
      <c r="B1663" s="9"/>
      <c r="C1663" s="12" t="str">
        <f>IF(B1663="","",IFERROR(INDEX('Cashier Roster'!$C$5:$C$64,MATCH(B1663,'Cashier Roster'!$B$5:$B$64,0)),"Not on roster"))</f>
        <v/>
      </c>
      <c r="D1663" s="12" t="str">
        <f>IF(B1663="","",IFERROR(INDEX('Cashier Roster'!$D$5:$D$64,MATCH(B1663,'Cashier Roster'!$B$5:$B$64,0)),""))</f>
        <v/>
      </c>
      <c r="E1663" s="13"/>
      <c r="F1663" s="14"/>
      <c r="G1663" s="8" t="str">
        <f>IF(OR(B1663="",E1663=""),"",IF(E1663="No","Missed",IF(F1663="","",IF(F1663&lt;=Settings!$B$7,"On time","Late"))))</f>
        <v/>
      </c>
      <c r="H1663" s="15"/>
      <c r="I1663" s="16"/>
      <c r="J1663" s="16"/>
      <c r="K1663" s="17" t="str">
        <f>IF(J1663="","",ROUND(J1663*Settings!$B$8,2))</f>
        <v/>
      </c>
      <c r="L1663" s="16"/>
      <c r="M1663" s="8" t="str">
        <f t="shared" si="25"/>
        <v/>
      </c>
      <c r="N1663" s="9"/>
    </row>
    <row r="1664" spans="1:14" ht="15.75">
      <c r="A1664" s="11"/>
      <c r="B1664" s="9"/>
      <c r="C1664" s="12" t="str">
        <f>IF(B1664="","",IFERROR(INDEX('Cashier Roster'!$C$5:$C$64,MATCH(B1664,'Cashier Roster'!$B$5:$B$64,0)),"Not on roster"))</f>
        <v/>
      </c>
      <c r="D1664" s="12" t="str">
        <f>IF(B1664="","",IFERROR(INDEX('Cashier Roster'!$D$5:$D$64,MATCH(B1664,'Cashier Roster'!$B$5:$B$64,0)),""))</f>
        <v/>
      </c>
      <c r="E1664" s="13"/>
      <c r="F1664" s="14"/>
      <c r="G1664" s="8" t="str">
        <f>IF(OR(B1664="",E1664=""),"",IF(E1664="No","Missed",IF(F1664="","",IF(F1664&lt;=Settings!$B$7,"On time","Late"))))</f>
        <v/>
      </c>
      <c r="H1664" s="15"/>
      <c r="I1664" s="16"/>
      <c r="J1664" s="16"/>
      <c r="K1664" s="17" t="str">
        <f>IF(J1664="","",ROUND(J1664*Settings!$B$8,2))</f>
        <v/>
      </c>
      <c r="L1664" s="16"/>
      <c r="M1664" s="8" t="str">
        <f t="shared" si="25"/>
        <v/>
      </c>
      <c r="N1664" s="9"/>
    </row>
    <row r="1665" spans="1:14" ht="15.75">
      <c r="A1665" s="11"/>
      <c r="B1665" s="9"/>
      <c r="C1665" s="12" t="str">
        <f>IF(B1665="","",IFERROR(INDEX('Cashier Roster'!$C$5:$C$64,MATCH(B1665,'Cashier Roster'!$B$5:$B$64,0)),"Not on roster"))</f>
        <v/>
      </c>
      <c r="D1665" s="12" t="str">
        <f>IF(B1665="","",IFERROR(INDEX('Cashier Roster'!$D$5:$D$64,MATCH(B1665,'Cashier Roster'!$B$5:$B$64,0)),""))</f>
        <v/>
      </c>
      <c r="E1665" s="13"/>
      <c r="F1665" s="14"/>
      <c r="G1665" s="8" t="str">
        <f>IF(OR(B1665="",E1665=""),"",IF(E1665="No","Missed",IF(F1665="","",IF(F1665&lt;=Settings!$B$7,"On time","Late"))))</f>
        <v/>
      </c>
      <c r="H1665" s="15"/>
      <c r="I1665" s="16"/>
      <c r="J1665" s="16"/>
      <c r="K1665" s="17" t="str">
        <f>IF(J1665="","",ROUND(J1665*Settings!$B$8,2))</f>
        <v/>
      </c>
      <c r="L1665" s="16"/>
      <c r="M1665" s="8" t="str">
        <f t="shared" si="25"/>
        <v/>
      </c>
      <c r="N1665" s="9"/>
    </row>
    <row r="1666" spans="1:14" ht="15.75">
      <c r="A1666" s="11"/>
      <c r="B1666" s="9"/>
      <c r="C1666" s="12" t="str">
        <f>IF(B1666="","",IFERROR(INDEX('Cashier Roster'!$C$5:$C$64,MATCH(B1666,'Cashier Roster'!$B$5:$B$64,0)),"Not on roster"))</f>
        <v/>
      </c>
      <c r="D1666" s="12" t="str">
        <f>IF(B1666="","",IFERROR(INDEX('Cashier Roster'!$D$5:$D$64,MATCH(B1666,'Cashier Roster'!$B$5:$B$64,0)),""))</f>
        <v/>
      </c>
      <c r="E1666" s="13"/>
      <c r="F1666" s="14"/>
      <c r="G1666" s="8" t="str">
        <f>IF(OR(B1666="",E1666=""),"",IF(E1666="No","Missed",IF(F1666="","",IF(F1666&lt;=Settings!$B$7,"On time","Late"))))</f>
        <v/>
      </c>
      <c r="H1666" s="15"/>
      <c r="I1666" s="16"/>
      <c r="J1666" s="16"/>
      <c r="K1666" s="17" t="str">
        <f>IF(J1666="","",ROUND(J1666*Settings!$B$8,2))</f>
        <v/>
      </c>
      <c r="L1666" s="16"/>
      <c r="M1666" s="8" t="str">
        <f t="shared" si="25"/>
        <v/>
      </c>
      <c r="N1666" s="9"/>
    </row>
    <row r="1667" spans="1:14" ht="15.75">
      <c r="A1667" s="11"/>
      <c r="B1667" s="9"/>
      <c r="C1667" s="12" t="str">
        <f>IF(B1667="","",IFERROR(INDEX('Cashier Roster'!$C$5:$C$64,MATCH(B1667,'Cashier Roster'!$B$5:$B$64,0)),"Not on roster"))</f>
        <v/>
      </c>
      <c r="D1667" s="12" t="str">
        <f>IF(B1667="","",IFERROR(INDEX('Cashier Roster'!$D$5:$D$64,MATCH(B1667,'Cashier Roster'!$B$5:$B$64,0)),""))</f>
        <v/>
      </c>
      <c r="E1667" s="13"/>
      <c r="F1667" s="14"/>
      <c r="G1667" s="8" t="str">
        <f>IF(OR(B1667="",E1667=""),"",IF(E1667="No","Missed",IF(F1667="","",IF(F1667&lt;=Settings!$B$7,"On time","Late"))))</f>
        <v/>
      </c>
      <c r="H1667" s="15"/>
      <c r="I1667" s="16"/>
      <c r="J1667" s="16"/>
      <c r="K1667" s="17" t="str">
        <f>IF(J1667="","",ROUND(J1667*Settings!$B$8,2))</f>
        <v/>
      </c>
      <c r="L1667" s="16"/>
      <c r="M1667" s="8" t="str">
        <f t="shared" si="25"/>
        <v/>
      </c>
      <c r="N1667" s="9"/>
    </row>
    <row r="1668" spans="1:14" ht="15.75">
      <c r="A1668" s="11"/>
      <c r="B1668" s="9"/>
      <c r="C1668" s="12" t="str">
        <f>IF(B1668="","",IFERROR(INDEX('Cashier Roster'!$C$5:$C$64,MATCH(B1668,'Cashier Roster'!$B$5:$B$64,0)),"Not on roster"))</f>
        <v/>
      </c>
      <c r="D1668" s="12" t="str">
        <f>IF(B1668="","",IFERROR(INDEX('Cashier Roster'!$D$5:$D$64,MATCH(B1668,'Cashier Roster'!$B$5:$B$64,0)),""))</f>
        <v/>
      </c>
      <c r="E1668" s="13"/>
      <c r="F1668" s="14"/>
      <c r="G1668" s="8" t="str">
        <f>IF(OR(B1668="",E1668=""),"",IF(E1668="No","Missed",IF(F1668="","",IF(F1668&lt;=Settings!$B$7,"On time","Late"))))</f>
        <v/>
      </c>
      <c r="H1668" s="15"/>
      <c r="I1668" s="16"/>
      <c r="J1668" s="16"/>
      <c r="K1668" s="17" t="str">
        <f>IF(J1668="","",ROUND(J1668*Settings!$B$8,2))</f>
        <v/>
      </c>
      <c r="L1668" s="16"/>
      <c r="M1668" s="8" t="str">
        <f t="shared" si="25"/>
        <v/>
      </c>
      <c r="N1668" s="9"/>
    </row>
    <row r="1669" spans="1:14" ht="15.75">
      <c r="A1669" s="11"/>
      <c r="B1669" s="9"/>
      <c r="C1669" s="12" t="str">
        <f>IF(B1669="","",IFERROR(INDEX('Cashier Roster'!$C$5:$C$64,MATCH(B1669,'Cashier Roster'!$B$5:$B$64,0)),"Not on roster"))</f>
        <v/>
      </c>
      <c r="D1669" s="12" t="str">
        <f>IF(B1669="","",IFERROR(INDEX('Cashier Roster'!$D$5:$D$64,MATCH(B1669,'Cashier Roster'!$B$5:$B$64,0)),""))</f>
        <v/>
      </c>
      <c r="E1669" s="13"/>
      <c r="F1669" s="14"/>
      <c r="G1669" s="8" t="str">
        <f>IF(OR(B1669="",E1669=""),"",IF(E1669="No","Missed",IF(F1669="","",IF(F1669&lt;=Settings!$B$7,"On time","Late"))))</f>
        <v/>
      </c>
      <c r="H1669" s="15"/>
      <c r="I1669" s="16"/>
      <c r="J1669" s="16"/>
      <c r="K1669" s="17" t="str">
        <f>IF(J1669="","",ROUND(J1669*Settings!$B$8,2))</f>
        <v/>
      </c>
      <c r="L1669" s="16"/>
      <c r="M1669" s="8" t="str">
        <f t="shared" ref="M1669:M1732" si="26">IF(L1669="","",IF(L1669&lt;=0,"Yes","No"))</f>
        <v/>
      </c>
      <c r="N1669" s="9"/>
    </row>
    <row r="1670" spans="1:14" ht="15.75">
      <c r="A1670" s="11"/>
      <c r="B1670" s="9"/>
      <c r="C1670" s="12" t="str">
        <f>IF(B1670="","",IFERROR(INDEX('Cashier Roster'!$C$5:$C$64,MATCH(B1670,'Cashier Roster'!$B$5:$B$64,0)),"Not on roster"))</f>
        <v/>
      </c>
      <c r="D1670" s="12" t="str">
        <f>IF(B1670="","",IFERROR(INDEX('Cashier Roster'!$D$5:$D$64,MATCH(B1670,'Cashier Roster'!$B$5:$B$64,0)),""))</f>
        <v/>
      </c>
      <c r="E1670" s="13"/>
      <c r="F1670" s="14"/>
      <c r="G1670" s="8" t="str">
        <f>IF(OR(B1670="",E1670=""),"",IF(E1670="No","Missed",IF(F1670="","",IF(F1670&lt;=Settings!$B$7,"On time","Late"))))</f>
        <v/>
      </c>
      <c r="H1670" s="15"/>
      <c r="I1670" s="16"/>
      <c r="J1670" s="16"/>
      <c r="K1670" s="17" t="str">
        <f>IF(J1670="","",ROUND(J1670*Settings!$B$8,2))</f>
        <v/>
      </c>
      <c r="L1670" s="16"/>
      <c r="M1670" s="8" t="str">
        <f t="shared" si="26"/>
        <v/>
      </c>
      <c r="N1670" s="9"/>
    </row>
    <row r="1671" spans="1:14" ht="15.75">
      <c r="A1671" s="11"/>
      <c r="B1671" s="9"/>
      <c r="C1671" s="12" t="str">
        <f>IF(B1671="","",IFERROR(INDEX('Cashier Roster'!$C$5:$C$64,MATCH(B1671,'Cashier Roster'!$B$5:$B$64,0)),"Not on roster"))</f>
        <v/>
      </c>
      <c r="D1671" s="12" t="str">
        <f>IF(B1671="","",IFERROR(INDEX('Cashier Roster'!$D$5:$D$64,MATCH(B1671,'Cashier Roster'!$B$5:$B$64,0)),""))</f>
        <v/>
      </c>
      <c r="E1671" s="13"/>
      <c r="F1671" s="14"/>
      <c r="G1671" s="8" t="str">
        <f>IF(OR(B1671="",E1671=""),"",IF(E1671="No","Missed",IF(F1671="","",IF(F1671&lt;=Settings!$B$7,"On time","Late"))))</f>
        <v/>
      </c>
      <c r="H1671" s="15"/>
      <c r="I1671" s="16"/>
      <c r="J1671" s="16"/>
      <c r="K1671" s="17" t="str">
        <f>IF(J1671="","",ROUND(J1671*Settings!$B$8,2))</f>
        <v/>
      </c>
      <c r="L1671" s="16"/>
      <c r="M1671" s="8" t="str">
        <f t="shared" si="26"/>
        <v/>
      </c>
      <c r="N1671" s="9"/>
    </row>
    <row r="1672" spans="1:14" ht="15.75">
      <c r="A1672" s="11"/>
      <c r="B1672" s="9"/>
      <c r="C1672" s="12" t="str">
        <f>IF(B1672="","",IFERROR(INDEX('Cashier Roster'!$C$5:$C$64,MATCH(B1672,'Cashier Roster'!$B$5:$B$64,0)),"Not on roster"))</f>
        <v/>
      </c>
      <c r="D1672" s="12" t="str">
        <f>IF(B1672="","",IFERROR(INDEX('Cashier Roster'!$D$5:$D$64,MATCH(B1672,'Cashier Roster'!$B$5:$B$64,0)),""))</f>
        <v/>
      </c>
      <c r="E1672" s="13"/>
      <c r="F1672" s="14"/>
      <c r="G1672" s="8" t="str">
        <f>IF(OR(B1672="",E1672=""),"",IF(E1672="No","Missed",IF(F1672="","",IF(F1672&lt;=Settings!$B$7,"On time","Late"))))</f>
        <v/>
      </c>
      <c r="H1672" s="15"/>
      <c r="I1672" s="16"/>
      <c r="J1672" s="16"/>
      <c r="K1672" s="17" t="str">
        <f>IF(J1672="","",ROUND(J1672*Settings!$B$8,2))</f>
        <v/>
      </c>
      <c r="L1672" s="16"/>
      <c r="M1672" s="8" t="str">
        <f t="shared" si="26"/>
        <v/>
      </c>
      <c r="N1672" s="9"/>
    </row>
    <row r="1673" spans="1:14" ht="15.75">
      <c r="A1673" s="11"/>
      <c r="B1673" s="9"/>
      <c r="C1673" s="12" t="str">
        <f>IF(B1673="","",IFERROR(INDEX('Cashier Roster'!$C$5:$C$64,MATCH(B1673,'Cashier Roster'!$B$5:$B$64,0)),"Not on roster"))</f>
        <v/>
      </c>
      <c r="D1673" s="12" t="str">
        <f>IF(B1673="","",IFERROR(INDEX('Cashier Roster'!$D$5:$D$64,MATCH(B1673,'Cashier Roster'!$B$5:$B$64,0)),""))</f>
        <v/>
      </c>
      <c r="E1673" s="13"/>
      <c r="F1673" s="14"/>
      <c r="G1673" s="8" t="str">
        <f>IF(OR(B1673="",E1673=""),"",IF(E1673="No","Missed",IF(F1673="","",IF(F1673&lt;=Settings!$B$7,"On time","Late"))))</f>
        <v/>
      </c>
      <c r="H1673" s="15"/>
      <c r="I1673" s="16"/>
      <c r="J1673" s="16"/>
      <c r="K1673" s="17" t="str">
        <f>IF(J1673="","",ROUND(J1673*Settings!$B$8,2))</f>
        <v/>
      </c>
      <c r="L1673" s="16"/>
      <c r="M1673" s="8" t="str">
        <f t="shared" si="26"/>
        <v/>
      </c>
      <c r="N1673" s="9"/>
    </row>
    <row r="1674" spans="1:14" ht="15.75">
      <c r="A1674" s="11"/>
      <c r="B1674" s="9"/>
      <c r="C1674" s="12" t="str">
        <f>IF(B1674="","",IFERROR(INDEX('Cashier Roster'!$C$5:$C$64,MATCH(B1674,'Cashier Roster'!$B$5:$B$64,0)),"Not on roster"))</f>
        <v/>
      </c>
      <c r="D1674" s="12" t="str">
        <f>IF(B1674="","",IFERROR(INDEX('Cashier Roster'!$D$5:$D$64,MATCH(B1674,'Cashier Roster'!$B$5:$B$64,0)),""))</f>
        <v/>
      </c>
      <c r="E1674" s="13"/>
      <c r="F1674" s="14"/>
      <c r="G1674" s="8" t="str">
        <f>IF(OR(B1674="",E1674=""),"",IF(E1674="No","Missed",IF(F1674="","",IF(F1674&lt;=Settings!$B$7,"On time","Late"))))</f>
        <v/>
      </c>
      <c r="H1674" s="15"/>
      <c r="I1674" s="16"/>
      <c r="J1674" s="16"/>
      <c r="K1674" s="17" t="str">
        <f>IF(J1674="","",ROUND(J1674*Settings!$B$8,2))</f>
        <v/>
      </c>
      <c r="L1674" s="16"/>
      <c r="M1674" s="8" t="str">
        <f t="shared" si="26"/>
        <v/>
      </c>
      <c r="N1674" s="9"/>
    </row>
    <row r="1675" spans="1:14" ht="15.75">
      <c r="A1675" s="11"/>
      <c r="B1675" s="9"/>
      <c r="C1675" s="12" t="str">
        <f>IF(B1675="","",IFERROR(INDEX('Cashier Roster'!$C$5:$C$64,MATCH(B1675,'Cashier Roster'!$B$5:$B$64,0)),"Not on roster"))</f>
        <v/>
      </c>
      <c r="D1675" s="12" t="str">
        <f>IF(B1675="","",IFERROR(INDEX('Cashier Roster'!$D$5:$D$64,MATCH(B1675,'Cashier Roster'!$B$5:$B$64,0)),""))</f>
        <v/>
      </c>
      <c r="E1675" s="13"/>
      <c r="F1675" s="14"/>
      <c r="G1675" s="8" t="str">
        <f>IF(OR(B1675="",E1675=""),"",IF(E1675="No","Missed",IF(F1675="","",IF(F1675&lt;=Settings!$B$7,"On time","Late"))))</f>
        <v/>
      </c>
      <c r="H1675" s="15"/>
      <c r="I1675" s="16"/>
      <c r="J1675" s="16"/>
      <c r="K1675" s="17" t="str">
        <f>IF(J1675="","",ROUND(J1675*Settings!$B$8,2))</f>
        <v/>
      </c>
      <c r="L1675" s="16"/>
      <c r="M1675" s="8" t="str">
        <f t="shared" si="26"/>
        <v/>
      </c>
      <c r="N1675" s="9"/>
    </row>
    <row r="1676" spans="1:14" ht="15.75">
      <c r="A1676" s="11"/>
      <c r="B1676" s="9"/>
      <c r="C1676" s="12" t="str">
        <f>IF(B1676="","",IFERROR(INDEX('Cashier Roster'!$C$5:$C$64,MATCH(B1676,'Cashier Roster'!$B$5:$B$64,0)),"Not on roster"))</f>
        <v/>
      </c>
      <c r="D1676" s="12" t="str">
        <f>IF(B1676="","",IFERROR(INDEX('Cashier Roster'!$D$5:$D$64,MATCH(B1676,'Cashier Roster'!$B$5:$B$64,0)),""))</f>
        <v/>
      </c>
      <c r="E1676" s="13"/>
      <c r="F1676" s="14"/>
      <c r="G1676" s="8" t="str">
        <f>IF(OR(B1676="",E1676=""),"",IF(E1676="No","Missed",IF(F1676="","",IF(F1676&lt;=Settings!$B$7,"On time","Late"))))</f>
        <v/>
      </c>
      <c r="H1676" s="15"/>
      <c r="I1676" s="16"/>
      <c r="J1676" s="16"/>
      <c r="K1676" s="17" t="str">
        <f>IF(J1676="","",ROUND(J1676*Settings!$B$8,2))</f>
        <v/>
      </c>
      <c r="L1676" s="16"/>
      <c r="M1676" s="8" t="str">
        <f t="shared" si="26"/>
        <v/>
      </c>
      <c r="N1676" s="9"/>
    </row>
    <row r="1677" spans="1:14" ht="15.75">
      <c r="A1677" s="11"/>
      <c r="B1677" s="9"/>
      <c r="C1677" s="12" t="str">
        <f>IF(B1677="","",IFERROR(INDEX('Cashier Roster'!$C$5:$C$64,MATCH(B1677,'Cashier Roster'!$B$5:$B$64,0)),"Not on roster"))</f>
        <v/>
      </c>
      <c r="D1677" s="12" t="str">
        <f>IF(B1677="","",IFERROR(INDEX('Cashier Roster'!$D$5:$D$64,MATCH(B1677,'Cashier Roster'!$B$5:$B$64,0)),""))</f>
        <v/>
      </c>
      <c r="E1677" s="13"/>
      <c r="F1677" s="14"/>
      <c r="G1677" s="8" t="str">
        <f>IF(OR(B1677="",E1677=""),"",IF(E1677="No","Missed",IF(F1677="","",IF(F1677&lt;=Settings!$B$7,"On time","Late"))))</f>
        <v/>
      </c>
      <c r="H1677" s="15"/>
      <c r="I1677" s="16"/>
      <c r="J1677" s="16"/>
      <c r="K1677" s="17" t="str">
        <f>IF(J1677="","",ROUND(J1677*Settings!$B$8,2))</f>
        <v/>
      </c>
      <c r="L1677" s="16"/>
      <c r="M1677" s="8" t="str">
        <f t="shared" si="26"/>
        <v/>
      </c>
      <c r="N1677" s="9"/>
    </row>
    <row r="1678" spans="1:14" ht="15.75">
      <c r="A1678" s="11"/>
      <c r="B1678" s="9"/>
      <c r="C1678" s="12" t="str">
        <f>IF(B1678="","",IFERROR(INDEX('Cashier Roster'!$C$5:$C$64,MATCH(B1678,'Cashier Roster'!$B$5:$B$64,0)),"Not on roster"))</f>
        <v/>
      </c>
      <c r="D1678" s="12" t="str">
        <f>IF(B1678="","",IFERROR(INDEX('Cashier Roster'!$D$5:$D$64,MATCH(B1678,'Cashier Roster'!$B$5:$B$64,0)),""))</f>
        <v/>
      </c>
      <c r="E1678" s="13"/>
      <c r="F1678" s="14"/>
      <c r="G1678" s="8" t="str">
        <f>IF(OR(B1678="",E1678=""),"",IF(E1678="No","Missed",IF(F1678="","",IF(F1678&lt;=Settings!$B$7,"On time","Late"))))</f>
        <v/>
      </c>
      <c r="H1678" s="15"/>
      <c r="I1678" s="16"/>
      <c r="J1678" s="16"/>
      <c r="K1678" s="17" t="str">
        <f>IF(J1678="","",ROUND(J1678*Settings!$B$8,2))</f>
        <v/>
      </c>
      <c r="L1678" s="16"/>
      <c r="M1678" s="8" t="str">
        <f t="shared" si="26"/>
        <v/>
      </c>
      <c r="N1678" s="9"/>
    </row>
    <row r="1679" spans="1:14" ht="15.75">
      <c r="A1679" s="11"/>
      <c r="B1679" s="9"/>
      <c r="C1679" s="12" t="str">
        <f>IF(B1679="","",IFERROR(INDEX('Cashier Roster'!$C$5:$C$64,MATCH(B1679,'Cashier Roster'!$B$5:$B$64,0)),"Not on roster"))</f>
        <v/>
      </c>
      <c r="D1679" s="12" t="str">
        <f>IF(B1679="","",IFERROR(INDEX('Cashier Roster'!$D$5:$D$64,MATCH(B1679,'Cashier Roster'!$B$5:$B$64,0)),""))</f>
        <v/>
      </c>
      <c r="E1679" s="13"/>
      <c r="F1679" s="14"/>
      <c r="G1679" s="8" t="str">
        <f>IF(OR(B1679="",E1679=""),"",IF(E1679="No","Missed",IF(F1679="","",IF(F1679&lt;=Settings!$B$7,"On time","Late"))))</f>
        <v/>
      </c>
      <c r="H1679" s="15"/>
      <c r="I1679" s="16"/>
      <c r="J1679" s="16"/>
      <c r="K1679" s="17" t="str">
        <f>IF(J1679="","",ROUND(J1679*Settings!$B$8,2))</f>
        <v/>
      </c>
      <c r="L1679" s="16"/>
      <c r="M1679" s="8" t="str">
        <f t="shared" si="26"/>
        <v/>
      </c>
      <c r="N1679" s="9"/>
    </row>
    <row r="1680" spans="1:14" ht="15.75">
      <c r="A1680" s="11"/>
      <c r="B1680" s="9"/>
      <c r="C1680" s="12" t="str">
        <f>IF(B1680="","",IFERROR(INDEX('Cashier Roster'!$C$5:$C$64,MATCH(B1680,'Cashier Roster'!$B$5:$B$64,0)),"Not on roster"))</f>
        <v/>
      </c>
      <c r="D1680" s="12" t="str">
        <f>IF(B1680="","",IFERROR(INDEX('Cashier Roster'!$D$5:$D$64,MATCH(B1680,'Cashier Roster'!$B$5:$B$64,0)),""))</f>
        <v/>
      </c>
      <c r="E1680" s="13"/>
      <c r="F1680" s="14"/>
      <c r="G1680" s="8" t="str">
        <f>IF(OR(B1680="",E1680=""),"",IF(E1680="No","Missed",IF(F1680="","",IF(F1680&lt;=Settings!$B$7,"On time","Late"))))</f>
        <v/>
      </c>
      <c r="H1680" s="15"/>
      <c r="I1680" s="16"/>
      <c r="J1680" s="16"/>
      <c r="K1680" s="17" t="str">
        <f>IF(J1680="","",ROUND(J1680*Settings!$B$8,2))</f>
        <v/>
      </c>
      <c r="L1680" s="16"/>
      <c r="M1680" s="8" t="str">
        <f t="shared" si="26"/>
        <v/>
      </c>
      <c r="N1680" s="9"/>
    </row>
    <row r="1681" spans="1:14" ht="15.75">
      <c r="A1681" s="11"/>
      <c r="B1681" s="9"/>
      <c r="C1681" s="12" t="str">
        <f>IF(B1681="","",IFERROR(INDEX('Cashier Roster'!$C$5:$C$64,MATCH(B1681,'Cashier Roster'!$B$5:$B$64,0)),"Not on roster"))</f>
        <v/>
      </c>
      <c r="D1681" s="12" t="str">
        <f>IF(B1681="","",IFERROR(INDEX('Cashier Roster'!$D$5:$D$64,MATCH(B1681,'Cashier Roster'!$B$5:$B$64,0)),""))</f>
        <v/>
      </c>
      <c r="E1681" s="13"/>
      <c r="F1681" s="14"/>
      <c r="G1681" s="8" t="str">
        <f>IF(OR(B1681="",E1681=""),"",IF(E1681="No","Missed",IF(F1681="","",IF(F1681&lt;=Settings!$B$7,"On time","Late"))))</f>
        <v/>
      </c>
      <c r="H1681" s="15"/>
      <c r="I1681" s="16"/>
      <c r="J1681" s="16"/>
      <c r="K1681" s="17" t="str">
        <f>IF(J1681="","",ROUND(J1681*Settings!$B$8,2))</f>
        <v/>
      </c>
      <c r="L1681" s="16"/>
      <c r="M1681" s="8" t="str">
        <f t="shared" si="26"/>
        <v/>
      </c>
      <c r="N1681" s="9"/>
    </row>
    <row r="1682" spans="1:14" ht="15.75">
      <c r="A1682" s="11"/>
      <c r="B1682" s="9"/>
      <c r="C1682" s="12" t="str">
        <f>IF(B1682="","",IFERROR(INDEX('Cashier Roster'!$C$5:$C$64,MATCH(B1682,'Cashier Roster'!$B$5:$B$64,0)),"Not on roster"))</f>
        <v/>
      </c>
      <c r="D1682" s="12" t="str">
        <f>IF(B1682="","",IFERROR(INDEX('Cashier Roster'!$D$5:$D$64,MATCH(B1682,'Cashier Roster'!$B$5:$B$64,0)),""))</f>
        <v/>
      </c>
      <c r="E1682" s="13"/>
      <c r="F1682" s="14"/>
      <c r="G1682" s="8" t="str">
        <f>IF(OR(B1682="",E1682=""),"",IF(E1682="No","Missed",IF(F1682="","",IF(F1682&lt;=Settings!$B$7,"On time","Late"))))</f>
        <v/>
      </c>
      <c r="H1682" s="15"/>
      <c r="I1682" s="16"/>
      <c r="J1682" s="16"/>
      <c r="K1682" s="17" t="str">
        <f>IF(J1682="","",ROUND(J1682*Settings!$B$8,2))</f>
        <v/>
      </c>
      <c r="L1682" s="16"/>
      <c r="M1682" s="8" t="str">
        <f t="shared" si="26"/>
        <v/>
      </c>
      <c r="N1682" s="9"/>
    </row>
    <row r="1683" spans="1:14" ht="15.75">
      <c r="A1683" s="11"/>
      <c r="B1683" s="9"/>
      <c r="C1683" s="12" t="str">
        <f>IF(B1683="","",IFERROR(INDEX('Cashier Roster'!$C$5:$C$64,MATCH(B1683,'Cashier Roster'!$B$5:$B$64,0)),"Not on roster"))</f>
        <v/>
      </c>
      <c r="D1683" s="12" t="str">
        <f>IF(B1683="","",IFERROR(INDEX('Cashier Roster'!$D$5:$D$64,MATCH(B1683,'Cashier Roster'!$B$5:$B$64,0)),""))</f>
        <v/>
      </c>
      <c r="E1683" s="13"/>
      <c r="F1683" s="14"/>
      <c r="G1683" s="8" t="str">
        <f>IF(OR(B1683="",E1683=""),"",IF(E1683="No","Missed",IF(F1683="","",IF(F1683&lt;=Settings!$B$7,"On time","Late"))))</f>
        <v/>
      </c>
      <c r="H1683" s="15"/>
      <c r="I1683" s="16"/>
      <c r="J1683" s="16"/>
      <c r="K1683" s="17" t="str">
        <f>IF(J1683="","",ROUND(J1683*Settings!$B$8,2))</f>
        <v/>
      </c>
      <c r="L1683" s="16"/>
      <c r="M1683" s="8" t="str">
        <f t="shared" si="26"/>
        <v/>
      </c>
      <c r="N1683" s="9"/>
    </row>
    <row r="1684" spans="1:14" ht="15.75">
      <c r="A1684" s="11"/>
      <c r="B1684" s="9"/>
      <c r="C1684" s="12" t="str">
        <f>IF(B1684="","",IFERROR(INDEX('Cashier Roster'!$C$5:$C$64,MATCH(B1684,'Cashier Roster'!$B$5:$B$64,0)),"Not on roster"))</f>
        <v/>
      </c>
      <c r="D1684" s="12" t="str">
        <f>IF(B1684="","",IFERROR(INDEX('Cashier Roster'!$D$5:$D$64,MATCH(B1684,'Cashier Roster'!$B$5:$B$64,0)),""))</f>
        <v/>
      </c>
      <c r="E1684" s="13"/>
      <c r="F1684" s="14"/>
      <c r="G1684" s="8" t="str">
        <f>IF(OR(B1684="",E1684=""),"",IF(E1684="No","Missed",IF(F1684="","",IF(F1684&lt;=Settings!$B$7,"On time","Late"))))</f>
        <v/>
      </c>
      <c r="H1684" s="15"/>
      <c r="I1684" s="16"/>
      <c r="J1684" s="16"/>
      <c r="K1684" s="17" t="str">
        <f>IF(J1684="","",ROUND(J1684*Settings!$B$8,2))</f>
        <v/>
      </c>
      <c r="L1684" s="16"/>
      <c r="M1684" s="8" t="str">
        <f t="shared" si="26"/>
        <v/>
      </c>
      <c r="N1684" s="9"/>
    </row>
    <row r="1685" spans="1:14" ht="15.75">
      <c r="A1685" s="11"/>
      <c r="B1685" s="9"/>
      <c r="C1685" s="12" t="str">
        <f>IF(B1685="","",IFERROR(INDEX('Cashier Roster'!$C$5:$C$64,MATCH(B1685,'Cashier Roster'!$B$5:$B$64,0)),"Not on roster"))</f>
        <v/>
      </c>
      <c r="D1685" s="12" t="str">
        <f>IF(B1685="","",IFERROR(INDEX('Cashier Roster'!$D$5:$D$64,MATCH(B1685,'Cashier Roster'!$B$5:$B$64,0)),""))</f>
        <v/>
      </c>
      <c r="E1685" s="13"/>
      <c r="F1685" s="14"/>
      <c r="G1685" s="8" t="str">
        <f>IF(OR(B1685="",E1685=""),"",IF(E1685="No","Missed",IF(F1685="","",IF(F1685&lt;=Settings!$B$7,"On time","Late"))))</f>
        <v/>
      </c>
      <c r="H1685" s="15"/>
      <c r="I1685" s="16"/>
      <c r="J1685" s="16"/>
      <c r="K1685" s="17" t="str">
        <f>IF(J1685="","",ROUND(J1685*Settings!$B$8,2))</f>
        <v/>
      </c>
      <c r="L1685" s="16"/>
      <c r="M1685" s="8" t="str">
        <f t="shared" si="26"/>
        <v/>
      </c>
      <c r="N1685" s="9"/>
    </row>
    <row r="1686" spans="1:14" ht="15.75">
      <c r="A1686" s="11"/>
      <c r="B1686" s="9"/>
      <c r="C1686" s="12" t="str">
        <f>IF(B1686="","",IFERROR(INDEX('Cashier Roster'!$C$5:$C$64,MATCH(B1686,'Cashier Roster'!$B$5:$B$64,0)),"Not on roster"))</f>
        <v/>
      </c>
      <c r="D1686" s="12" t="str">
        <f>IF(B1686="","",IFERROR(INDEX('Cashier Roster'!$D$5:$D$64,MATCH(B1686,'Cashier Roster'!$B$5:$B$64,0)),""))</f>
        <v/>
      </c>
      <c r="E1686" s="13"/>
      <c r="F1686" s="14"/>
      <c r="G1686" s="8" t="str">
        <f>IF(OR(B1686="",E1686=""),"",IF(E1686="No","Missed",IF(F1686="","",IF(F1686&lt;=Settings!$B$7,"On time","Late"))))</f>
        <v/>
      </c>
      <c r="H1686" s="15"/>
      <c r="I1686" s="16"/>
      <c r="J1686" s="16"/>
      <c r="K1686" s="17" t="str">
        <f>IF(J1686="","",ROUND(J1686*Settings!$B$8,2))</f>
        <v/>
      </c>
      <c r="L1686" s="16"/>
      <c r="M1686" s="8" t="str">
        <f t="shared" si="26"/>
        <v/>
      </c>
      <c r="N1686" s="9"/>
    </row>
    <row r="1687" spans="1:14" ht="15.75">
      <c r="A1687" s="11"/>
      <c r="B1687" s="9"/>
      <c r="C1687" s="12" t="str">
        <f>IF(B1687="","",IFERROR(INDEX('Cashier Roster'!$C$5:$C$64,MATCH(B1687,'Cashier Roster'!$B$5:$B$64,0)),"Not on roster"))</f>
        <v/>
      </c>
      <c r="D1687" s="12" t="str">
        <f>IF(B1687="","",IFERROR(INDEX('Cashier Roster'!$D$5:$D$64,MATCH(B1687,'Cashier Roster'!$B$5:$B$64,0)),""))</f>
        <v/>
      </c>
      <c r="E1687" s="13"/>
      <c r="F1687" s="14"/>
      <c r="G1687" s="8" t="str">
        <f>IF(OR(B1687="",E1687=""),"",IF(E1687="No","Missed",IF(F1687="","",IF(F1687&lt;=Settings!$B$7,"On time","Late"))))</f>
        <v/>
      </c>
      <c r="H1687" s="15"/>
      <c r="I1687" s="16"/>
      <c r="J1687" s="16"/>
      <c r="K1687" s="17" t="str">
        <f>IF(J1687="","",ROUND(J1687*Settings!$B$8,2))</f>
        <v/>
      </c>
      <c r="L1687" s="16"/>
      <c r="M1687" s="8" t="str">
        <f t="shared" si="26"/>
        <v/>
      </c>
      <c r="N1687" s="9"/>
    </row>
    <row r="1688" spans="1:14" ht="15.75">
      <c r="A1688" s="11"/>
      <c r="B1688" s="9"/>
      <c r="C1688" s="12" t="str">
        <f>IF(B1688="","",IFERROR(INDEX('Cashier Roster'!$C$5:$C$64,MATCH(B1688,'Cashier Roster'!$B$5:$B$64,0)),"Not on roster"))</f>
        <v/>
      </c>
      <c r="D1688" s="12" t="str">
        <f>IF(B1688="","",IFERROR(INDEX('Cashier Roster'!$D$5:$D$64,MATCH(B1688,'Cashier Roster'!$B$5:$B$64,0)),""))</f>
        <v/>
      </c>
      <c r="E1688" s="13"/>
      <c r="F1688" s="14"/>
      <c r="G1688" s="8" t="str">
        <f>IF(OR(B1688="",E1688=""),"",IF(E1688="No","Missed",IF(F1688="","",IF(F1688&lt;=Settings!$B$7,"On time","Late"))))</f>
        <v/>
      </c>
      <c r="H1688" s="15"/>
      <c r="I1688" s="16"/>
      <c r="J1688" s="16"/>
      <c r="K1688" s="17" t="str">
        <f>IF(J1688="","",ROUND(J1688*Settings!$B$8,2))</f>
        <v/>
      </c>
      <c r="L1688" s="16"/>
      <c r="M1688" s="8" t="str">
        <f t="shared" si="26"/>
        <v/>
      </c>
      <c r="N1688" s="9"/>
    </row>
    <row r="1689" spans="1:14" ht="15.75">
      <c r="A1689" s="11"/>
      <c r="B1689" s="9"/>
      <c r="C1689" s="12" t="str">
        <f>IF(B1689="","",IFERROR(INDEX('Cashier Roster'!$C$5:$C$64,MATCH(B1689,'Cashier Roster'!$B$5:$B$64,0)),"Not on roster"))</f>
        <v/>
      </c>
      <c r="D1689" s="12" t="str">
        <f>IF(B1689="","",IFERROR(INDEX('Cashier Roster'!$D$5:$D$64,MATCH(B1689,'Cashier Roster'!$B$5:$B$64,0)),""))</f>
        <v/>
      </c>
      <c r="E1689" s="13"/>
      <c r="F1689" s="14"/>
      <c r="G1689" s="8" t="str">
        <f>IF(OR(B1689="",E1689=""),"",IF(E1689="No","Missed",IF(F1689="","",IF(F1689&lt;=Settings!$B$7,"On time","Late"))))</f>
        <v/>
      </c>
      <c r="H1689" s="15"/>
      <c r="I1689" s="16"/>
      <c r="J1689" s="16"/>
      <c r="K1689" s="17" t="str">
        <f>IF(J1689="","",ROUND(J1689*Settings!$B$8,2))</f>
        <v/>
      </c>
      <c r="L1689" s="16"/>
      <c r="M1689" s="8" t="str">
        <f t="shared" si="26"/>
        <v/>
      </c>
      <c r="N1689" s="9"/>
    </row>
    <row r="1690" spans="1:14" ht="15.75">
      <c r="A1690" s="11"/>
      <c r="B1690" s="9"/>
      <c r="C1690" s="12" t="str">
        <f>IF(B1690="","",IFERROR(INDEX('Cashier Roster'!$C$5:$C$64,MATCH(B1690,'Cashier Roster'!$B$5:$B$64,0)),"Not on roster"))</f>
        <v/>
      </c>
      <c r="D1690" s="12" t="str">
        <f>IF(B1690="","",IFERROR(INDEX('Cashier Roster'!$D$5:$D$64,MATCH(B1690,'Cashier Roster'!$B$5:$B$64,0)),""))</f>
        <v/>
      </c>
      <c r="E1690" s="13"/>
      <c r="F1690" s="14"/>
      <c r="G1690" s="8" t="str">
        <f>IF(OR(B1690="",E1690=""),"",IF(E1690="No","Missed",IF(F1690="","",IF(F1690&lt;=Settings!$B$7,"On time","Late"))))</f>
        <v/>
      </c>
      <c r="H1690" s="15"/>
      <c r="I1690" s="16"/>
      <c r="J1690" s="16"/>
      <c r="K1690" s="17" t="str">
        <f>IF(J1690="","",ROUND(J1690*Settings!$B$8,2))</f>
        <v/>
      </c>
      <c r="L1690" s="16"/>
      <c r="M1690" s="8" t="str">
        <f t="shared" si="26"/>
        <v/>
      </c>
      <c r="N1690" s="9"/>
    </row>
    <row r="1691" spans="1:14" ht="15.75">
      <c r="A1691" s="11"/>
      <c r="B1691" s="9"/>
      <c r="C1691" s="12" t="str">
        <f>IF(B1691="","",IFERROR(INDEX('Cashier Roster'!$C$5:$C$64,MATCH(B1691,'Cashier Roster'!$B$5:$B$64,0)),"Not on roster"))</f>
        <v/>
      </c>
      <c r="D1691" s="12" t="str">
        <f>IF(B1691="","",IFERROR(INDEX('Cashier Roster'!$D$5:$D$64,MATCH(B1691,'Cashier Roster'!$B$5:$B$64,0)),""))</f>
        <v/>
      </c>
      <c r="E1691" s="13"/>
      <c r="F1691" s="14"/>
      <c r="G1691" s="8" t="str">
        <f>IF(OR(B1691="",E1691=""),"",IF(E1691="No","Missed",IF(F1691="","",IF(F1691&lt;=Settings!$B$7,"On time","Late"))))</f>
        <v/>
      </c>
      <c r="H1691" s="15"/>
      <c r="I1691" s="16"/>
      <c r="J1691" s="16"/>
      <c r="K1691" s="17" t="str">
        <f>IF(J1691="","",ROUND(J1691*Settings!$B$8,2))</f>
        <v/>
      </c>
      <c r="L1691" s="16"/>
      <c r="M1691" s="8" t="str">
        <f t="shared" si="26"/>
        <v/>
      </c>
      <c r="N1691" s="9"/>
    </row>
    <row r="1692" spans="1:14" ht="15.75">
      <c r="A1692" s="11"/>
      <c r="B1692" s="9"/>
      <c r="C1692" s="12" t="str">
        <f>IF(B1692="","",IFERROR(INDEX('Cashier Roster'!$C$5:$C$64,MATCH(B1692,'Cashier Roster'!$B$5:$B$64,0)),"Not on roster"))</f>
        <v/>
      </c>
      <c r="D1692" s="12" t="str">
        <f>IF(B1692="","",IFERROR(INDEX('Cashier Roster'!$D$5:$D$64,MATCH(B1692,'Cashier Roster'!$B$5:$B$64,0)),""))</f>
        <v/>
      </c>
      <c r="E1692" s="13"/>
      <c r="F1692" s="14"/>
      <c r="G1692" s="8" t="str">
        <f>IF(OR(B1692="",E1692=""),"",IF(E1692="No","Missed",IF(F1692="","",IF(F1692&lt;=Settings!$B$7,"On time","Late"))))</f>
        <v/>
      </c>
      <c r="H1692" s="15"/>
      <c r="I1692" s="16"/>
      <c r="J1692" s="16"/>
      <c r="K1692" s="17" t="str">
        <f>IF(J1692="","",ROUND(J1692*Settings!$B$8,2))</f>
        <v/>
      </c>
      <c r="L1692" s="16"/>
      <c r="M1692" s="8" t="str">
        <f t="shared" si="26"/>
        <v/>
      </c>
      <c r="N1692" s="9"/>
    </row>
    <row r="1693" spans="1:14" ht="15.75">
      <c r="A1693" s="11"/>
      <c r="B1693" s="9"/>
      <c r="C1693" s="12" t="str">
        <f>IF(B1693="","",IFERROR(INDEX('Cashier Roster'!$C$5:$C$64,MATCH(B1693,'Cashier Roster'!$B$5:$B$64,0)),"Not on roster"))</f>
        <v/>
      </c>
      <c r="D1693" s="12" t="str">
        <f>IF(B1693="","",IFERROR(INDEX('Cashier Roster'!$D$5:$D$64,MATCH(B1693,'Cashier Roster'!$B$5:$B$64,0)),""))</f>
        <v/>
      </c>
      <c r="E1693" s="13"/>
      <c r="F1693" s="14"/>
      <c r="G1693" s="8" t="str">
        <f>IF(OR(B1693="",E1693=""),"",IF(E1693="No","Missed",IF(F1693="","",IF(F1693&lt;=Settings!$B$7,"On time","Late"))))</f>
        <v/>
      </c>
      <c r="H1693" s="15"/>
      <c r="I1693" s="16"/>
      <c r="J1693" s="16"/>
      <c r="K1693" s="17" t="str">
        <f>IF(J1693="","",ROUND(J1693*Settings!$B$8,2))</f>
        <v/>
      </c>
      <c r="L1693" s="16"/>
      <c r="M1693" s="8" t="str">
        <f t="shared" si="26"/>
        <v/>
      </c>
      <c r="N1693" s="9"/>
    </row>
    <row r="1694" spans="1:14" ht="15.75">
      <c r="A1694" s="11"/>
      <c r="B1694" s="9"/>
      <c r="C1694" s="12" t="str">
        <f>IF(B1694="","",IFERROR(INDEX('Cashier Roster'!$C$5:$C$64,MATCH(B1694,'Cashier Roster'!$B$5:$B$64,0)),"Not on roster"))</f>
        <v/>
      </c>
      <c r="D1694" s="12" t="str">
        <f>IF(B1694="","",IFERROR(INDEX('Cashier Roster'!$D$5:$D$64,MATCH(B1694,'Cashier Roster'!$B$5:$B$64,0)),""))</f>
        <v/>
      </c>
      <c r="E1694" s="13"/>
      <c r="F1694" s="14"/>
      <c r="G1694" s="8" t="str">
        <f>IF(OR(B1694="",E1694=""),"",IF(E1694="No","Missed",IF(F1694="","",IF(F1694&lt;=Settings!$B$7,"On time","Late"))))</f>
        <v/>
      </c>
      <c r="H1694" s="15"/>
      <c r="I1694" s="16"/>
      <c r="J1694" s="16"/>
      <c r="K1694" s="17" t="str">
        <f>IF(J1694="","",ROUND(J1694*Settings!$B$8,2))</f>
        <v/>
      </c>
      <c r="L1694" s="16"/>
      <c r="M1694" s="8" t="str">
        <f t="shared" si="26"/>
        <v/>
      </c>
      <c r="N1694" s="9"/>
    </row>
    <row r="1695" spans="1:14" ht="15.75">
      <c r="A1695" s="11"/>
      <c r="B1695" s="9"/>
      <c r="C1695" s="12" t="str">
        <f>IF(B1695="","",IFERROR(INDEX('Cashier Roster'!$C$5:$C$64,MATCH(B1695,'Cashier Roster'!$B$5:$B$64,0)),"Not on roster"))</f>
        <v/>
      </c>
      <c r="D1695" s="12" t="str">
        <f>IF(B1695="","",IFERROR(INDEX('Cashier Roster'!$D$5:$D$64,MATCH(B1695,'Cashier Roster'!$B$5:$B$64,0)),""))</f>
        <v/>
      </c>
      <c r="E1695" s="13"/>
      <c r="F1695" s="14"/>
      <c r="G1695" s="8" t="str">
        <f>IF(OR(B1695="",E1695=""),"",IF(E1695="No","Missed",IF(F1695="","",IF(F1695&lt;=Settings!$B$7,"On time","Late"))))</f>
        <v/>
      </c>
      <c r="H1695" s="15"/>
      <c r="I1695" s="16"/>
      <c r="J1695" s="16"/>
      <c r="K1695" s="17" t="str">
        <f>IF(J1695="","",ROUND(J1695*Settings!$B$8,2))</f>
        <v/>
      </c>
      <c r="L1695" s="16"/>
      <c r="M1695" s="8" t="str">
        <f t="shared" si="26"/>
        <v/>
      </c>
      <c r="N1695" s="9"/>
    </row>
    <row r="1696" spans="1:14" ht="15.75">
      <c r="A1696" s="11"/>
      <c r="B1696" s="9"/>
      <c r="C1696" s="12" t="str">
        <f>IF(B1696="","",IFERROR(INDEX('Cashier Roster'!$C$5:$C$64,MATCH(B1696,'Cashier Roster'!$B$5:$B$64,0)),"Not on roster"))</f>
        <v/>
      </c>
      <c r="D1696" s="12" t="str">
        <f>IF(B1696="","",IFERROR(INDEX('Cashier Roster'!$D$5:$D$64,MATCH(B1696,'Cashier Roster'!$B$5:$B$64,0)),""))</f>
        <v/>
      </c>
      <c r="E1696" s="13"/>
      <c r="F1696" s="14"/>
      <c r="G1696" s="8" t="str">
        <f>IF(OR(B1696="",E1696=""),"",IF(E1696="No","Missed",IF(F1696="","",IF(F1696&lt;=Settings!$B$7,"On time","Late"))))</f>
        <v/>
      </c>
      <c r="H1696" s="15"/>
      <c r="I1696" s="16"/>
      <c r="J1696" s="16"/>
      <c r="K1696" s="17" t="str">
        <f>IF(J1696="","",ROUND(J1696*Settings!$B$8,2))</f>
        <v/>
      </c>
      <c r="L1696" s="16"/>
      <c r="M1696" s="8" t="str">
        <f t="shared" si="26"/>
        <v/>
      </c>
      <c r="N1696" s="9"/>
    </row>
    <row r="1697" spans="1:14" ht="15.75">
      <c r="A1697" s="11"/>
      <c r="B1697" s="9"/>
      <c r="C1697" s="12" t="str">
        <f>IF(B1697="","",IFERROR(INDEX('Cashier Roster'!$C$5:$C$64,MATCH(B1697,'Cashier Roster'!$B$5:$B$64,0)),"Not on roster"))</f>
        <v/>
      </c>
      <c r="D1697" s="12" t="str">
        <f>IF(B1697="","",IFERROR(INDEX('Cashier Roster'!$D$5:$D$64,MATCH(B1697,'Cashier Roster'!$B$5:$B$64,0)),""))</f>
        <v/>
      </c>
      <c r="E1697" s="13"/>
      <c r="F1697" s="14"/>
      <c r="G1697" s="8" t="str">
        <f>IF(OR(B1697="",E1697=""),"",IF(E1697="No","Missed",IF(F1697="","",IF(F1697&lt;=Settings!$B$7,"On time","Late"))))</f>
        <v/>
      </c>
      <c r="H1697" s="15"/>
      <c r="I1697" s="16"/>
      <c r="J1697" s="16"/>
      <c r="K1697" s="17" t="str">
        <f>IF(J1697="","",ROUND(J1697*Settings!$B$8,2))</f>
        <v/>
      </c>
      <c r="L1697" s="16"/>
      <c r="M1697" s="8" t="str">
        <f t="shared" si="26"/>
        <v/>
      </c>
      <c r="N1697" s="9"/>
    </row>
    <row r="1698" spans="1:14" ht="15.75">
      <c r="A1698" s="11"/>
      <c r="B1698" s="9"/>
      <c r="C1698" s="12" t="str">
        <f>IF(B1698="","",IFERROR(INDEX('Cashier Roster'!$C$5:$C$64,MATCH(B1698,'Cashier Roster'!$B$5:$B$64,0)),"Not on roster"))</f>
        <v/>
      </c>
      <c r="D1698" s="12" t="str">
        <f>IF(B1698="","",IFERROR(INDEX('Cashier Roster'!$D$5:$D$64,MATCH(B1698,'Cashier Roster'!$B$5:$B$64,0)),""))</f>
        <v/>
      </c>
      <c r="E1698" s="13"/>
      <c r="F1698" s="14"/>
      <c r="G1698" s="8" t="str">
        <f>IF(OR(B1698="",E1698=""),"",IF(E1698="No","Missed",IF(F1698="","",IF(F1698&lt;=Settings!$B$7,"On time","Late"))))</f>
        <v/>
      </c>
      <c r="H1698" s="15"/>
      <c r="I1698" s="16"/>
      <c r="J1698" s="16"/>
      <c r="K1698" s="17" t="str">
        <f>IF(J1698="","",ROUND(J1698*Settings!$B$8,2))</f>
        <v/>
      </c>
      <c r="L1698" s="16"/>
      <c r="M1698" s="8" t="str">
        <f t="shared" si="26"/>
        <v/>
      </c>
      <c r="N1698" s="9"/>
    </row>
    <row r="1699" spans="1:14" ht="15.75">
      <c r="A1699" s="11"/>
      <c r="B1699" s="9"/>
      <c r="C1699" s="12" t="str">
        <f>IF(B1699="","",IFERROR(INDEX('Cashier Roster'!$C$5:$C$64,MATCH(B1699,'Cashier Roster'!$B$5:$B$64,0)),"Not on roster"))</f>
        <v/>
      </c>
      <c r="D1699" s="12" t="str">
        <f>IF(B1699="","",IFERROR(INDEX('Cashier Roster'!$D$5:$D$64,MATCH(B1699,'Cashier Roster'!$B$5:$B$64,0)),""))</f>
        <v/>
      </c>
      <c r="E1699" s="13"/>
      <c r="F1699" s="14"/>
      <c r="G1699" s="8" t="str">
        <f>IF(OR(B1699="",E1699=""),"",IF(E1699="No","Missed",IF(F1699="","",IF(F1699&lt;=Settings!$B$7,"On time","Late"))))</f>
        <v/>
      </c>
      <c r="H1699" s="15"/>
      <c r="I1699" s="16"/>
      <c r="J1699" s="16"/>
      <c r="K1699" s="17" t="str">
        <f>IF(J1699="","",ROUND(J1699*Settings!$B$8,2))</f>
        <v/>
      </c>
      <c r="L1699" s="16"/>
      <c r="M1699" s="8" t="str">
        <f t="shared" si="26"/>
        <v/>
      </c>
      <c r="N1699" s="9"/>
    </row>
    <row r="1700" spans="1:14" ht="15.75">
      <c r="A1700" s="11"/>
      <c r="B1700" s="9"/>
      <c r="C1700" s="12" t="str">
        <f>IF(B1700="","",IFERROR(INDEX('Cashier Roster'!$C$5:$C$64,MATCH(B1700,'Cashier Roster'!$B$5:$B$64,0)),"Not on roster"))</f>
        <v/>
      </c>
      <c r="D1700" s="12" t="str">
        <f>IF(B1700="","",IFERROR(INDEX('Cashier Roster'!$D$5:$D$64,MATCH(B1700,'Cashier Roster'!$B$5:$B$64,0)),""))</f>
        <v/>
      </c>
      <c r="E1700" s="13"/>
      <c r="F1700" s="14"/>
      <c r="G1700" s="8" t="str">
        <f>IF(OR(B1700="",E1700=""),"",IF(E1700="No","Missed",IF(F1700="","",IF(F1700&lt;=Settings!$B$7,"On time","Late"))))</f>
        <v/>
      </c>
      <c r="H1700" s="15"/>
      <c r="I1700" s="16"/>
      <c r="J1700" s="16"/>
      <c r="K1700" s="17" t="str">
        <f>IF(J1700="","",ROUND(J1700*Settings!$B$8,2))</f>
        <v/>
      </c>
      <c r="L1700" s="16"/>
      <c r="M1700" s="8" t="str">
        <f t="shared" si="26"/>
        <v/>
      </c>
      <c r="N1700" s="9"/>
    </row>
    <row r="1701" spans="1:14" ht="15.75">
      <c r="A1701" s="11"/>
      <c r="B1701" s="9"/>
      <c r="C1701" s="12" t="str">
        <f>IF(B1701="","",IFERROR(INDEX('Cashier Roster'!$C$5:$C$64,MATCH(B1701,'Cashier Roster'!$B$5:$B$64,0)),"Not on roster"))</f>
        <v/>
      </c>
      <c r="D1701" s="12" t="str">
        <f>IF(B1701="","",IFERROR(INDEX('Cashier Roster'!$D$5:$D$64,MATCH(B1701,'Cashier Roster'!$B$5:$B$64,0)),""))</f>
        <v/>
      </c>
      <c r="E1701" s="13"/>
      <c r="F1701" s="14"/>
      <c r="G1701" s="8" t="str">
        <f>IF(OR(B1701="",E1701=""),"",IF(E1701="No","Missed",IF(F1701="","",IF(F1701&lt;=Settings!$B$7,"On time","Late"))))</f>
        <v/>
      </c>
      <c r="H1701" s="15"/>
      <c r="I1701" s="16"/>
      <c r="J1701" s="16"/>
      <c r="K1701" s="17" t="str">
        <f>IF(J1701="","",ROUND(J1701*Settings!$B$8,2))</f>
        <v/>
      </c>
      <c r="L1701" s="16"/>
      <c r="M1701" s="8" t="str">
        <f t="shared" si="26"/>
        <v/>
      </c>
      <c r="N1701" s="9"/>
    </row>
    <row r="1702" spans="1:14" ht="15.75">
      <c r="A1702" s="11"/>
      <c r="B1702" s="9"/>
      <c r="C1702" s="12" t="str">
        <f>IF(B1702="","",IFERROR(INDEX('Cashier Roster'!$C$5:$C$64,MATCH(B1702,'Cashier Roster'!$B$5:$B$64,0)),"Not on roster"))</f>
        <v/>
      </c>
      <c r="D1702" s="12" t="str">
        <f>IF(B1702="","",IFERROR(INDEX('Cashier Roster'!$D$5:$D$64,MATCH(B1702,'Cashier Roster'!$B$5:$B$64,0)),""))</f>
        <v/>
      </c>
      <c r="E1702" s="13"/>
      <c r="F1702" s="14"/>
      <c r="G1702" s="8" t="str">
        <f>IF(OR(B1702="",E1702=""),"",IF(E1702="No","Missed",IF(F1702="","",IF(F1702&lt;=Settings!$B$7,"On time","Late"))))</f>
        <v/>
      </c>
      <c r="H1702" s="15"/>
      <c r="I1702" s="16"/>
      <c r="J1702" s="16"/>
      <c r="K1702" s="17" t="str">
        <f>IF(J1702="","",ROUND(J1702*Settings!$B$8,2))</f>
        <v/>
      </c>
      <c r="L1702" s="16"/>
      <c r="M1702" s="8" t="str">
        <f t="shared" si="26"/>
        <v/>
      </c>
      <c r="N1702" s="9"/>
    </row>
    <row r="1703" spans="1:14" ht="15.75">
      <c r="A1703" s="11"/>
      <c r="B1703" s="9"/>
      <c r="C1703" s="12" t="str">
        <f>IF(B1703="","",IFERROR(INDEX('Cashier Roster'!$C$5:$C$64,MATCH(B1703,'Cashier Roster'!$B$5:$B$64,0)),"Not on roster"))</f>
        <v/>
      </c>
      <c r="D1703" s="12" t="str">
        <f>IF(B1703="","",IFERROR(INDEX('Cashier Roster'!$D$5:$D$64,MATCH(B1703,'Cashier Roster'!$B$5:$B$64,0)),""))</f>
        <v/>
      </c>
      <c r="E1703" s="13"/>
      <c r="F1703" s="14"/>
      <c r="G1703" s="8" t="str">
        <f>IF(OR(B1703="",E1703=""),"",IF(E1703="No","Missed",IF(F1703="","",IF(F1703&lt;=Settings!$B$7,"On time","Late"))))</f>
        <v/>
      </c>
      <c r="H1703" s="15"/>
      <c r="I1703" s="16"/>
      <c r="J1703" s="16"/>
      <c r="K1703" s="17" t="str">
        <f>IF(J1703="","",ROUND(J1703*Settings!$B$8,2))</f>
        <v/>
      </c>
      <c r="L1703" s="16"/>
      <c r="M1703" s="8" t="str">
        <f t="shared" si="26"/>
        <v/>
      </c>
      <c r="N1703" s="9"/>
    </row>
    <row r="1704" spans="1:14" ht="15.75">
      <c r="A1704" s="11"/>
      <c r="B1704" s="9"/>
      <c r="C1704" s="12" t="str">
        <f>IF(B1704="","",IFERROR(INDEX('Cashier Roster'!$C$5:$C$64,MATCH(B1704,'Cashier Roster'!$B$5:$B$64,0)),"Not on roster"))</f>
        <v/>
      </c>
      <c r="D1704" s="12" t="str">
        <f>IF(B1704="","",IFERROR(INDEX('Cashier Roster'!$D$5:$D$64,MATCH(B1704,'Cashier Roster'!$B$5:$B$64,0)),""))</f>
        <v/>
      </c>
      <c r="E1704" s="13"/>
      <c r="F1704" s="14"/>
      <c r="G1704" s="8" t="str">
        <f>IF(OR(B1704="",E1704=""),"",IF(E1704="No","Missed",IF(F1704="","",IF(F1704&lt;=Settings!$B$7,"On time","Late"))))</f>
        <v/>
      </c>
      <c r="H1704" s="15"/>
      <c r="I1704" s="16"/>
      <c r="J1704" s="16"/>
      <c r="K1704" s="17" t="str">
        <f>IF(J1704="","",ROUND(J1704*Settings!$B$8,2))</f>
        <v/>
      </c>
      <c r="L1704" s="16"/>
      <c r="M1704" s="8" t="str">
        <f t="shared" si="26"/>
        <v/>
      </c>
      <c r="N1704" s="9"/>
    </row>
    <row r="1705" spans="1:14" ht="15.75">
      <c r="A1705" s="11"/>
      <c r="B1705" s="9"/>
      <c r="C1705" s="12" t="str">
        <f>IF(B1705="","",IFERROR(INDEX('Cashier Roster'!$C$5:$C$64,MATCH(B1705,'Cashier Roster'!$B$5:$B$64,0)),"Not on roster"))</f>
        <v/>
      </c>
      <c r="D1705" s="12" t="str">
        <f>IF(B1705="","",IFERROR(INDEX('Cashier Roster'!$D$5:$D$64,MATCH(B1705,'Cashier Roster'!$B$5:$B$64,0)),""))</f>
        <v/>
      </c>
      <c r="E1705" s="13"/>
      <c r="F1705" s="14"/>
      <c r="G1705" s="8" t="str">
        <f>IF(OR(B1705="",E1705=""),"",IF(E1705="No","Missed",IF(F1705="","",IF(F1705&lt;=Settings!$B$7,"On time","Late"))))</f>
        <v/>
      </c>
      <c r="H1705" s="15"/>
      <c r="I1705" s="16"/>
      <c r="J1705" s="16"/>
      <c r="K1705" s="17" t="str">
        <f>IF(J1705="","",ROUND(J1705*Settings!$B$8,2))</f>
        <v/>
      </c>
      <c r="L1705" s="16"/>
      <c r="M1705" s="8" t="str">
        <f t="shared" si="26"/>
        <v/>
      </c>
      <c r="N1705" s="9"/>
    </row>
    <row r="1706" spans="1:14" ht="15.75">
      <c r="A1706" s="11"/>
      <c r="B1706" s="9"/>
      <c r="C1706" s="12" t="str">
        <f>IF(B1706="","",IFERROR(INDEX('Cashier Roster'!$C$5:$C$64,MATCH(B1706,'Cashier Roster'!$B$5:$B$64,0)),"Not on roster"))</f>
        <v/>
      </c>
      <c r="D1706" s="12" t="str">
        <f>IF(B1706="","",IFERROR(INDEX('Cashier Roster'!$D$5:$D$64,MATCH(B1706,'Cashier Roster'!$B$5:$B$64,0)),""))</f>
        <v/>
      </c>
      <c r="E1706" s="13"/>
      <c r="F1706" s="14"/>
      <c r="G1706" s="8" t="str">
        <f>IF(OR(B1706="",E1706=""),"",IF(E1706="No","Missed",IF(F1706="","",IF(F1706&lt;=Settings!$B$7,"On time","Late"))))</f>
        <v/>
      </c>
      <c r="H1706" s="15"/>
      <c r="I1706" s="16"/>
      <c r="J1706" s="16"/>
      <c r="K1706" s="17" t="str">
        <f>IF(J1706="","",ROUND(J1706*Settings!$B$8,2))</f>
        <v/>
      </c>
      <c r="L1706" s="16"/>
      <c r="M1706" s="8" t="str">
        <f t="shared" si="26"/>
        <v/>
      </c>
      <c r="N1706" s="9"/>
    </row>
    <row r="1707" spans="1:14" ht="15.75">
      <c r="A1707" s="11"/>
      <c r="B1707" s="9"/>
      <c r="C1707" s="12" t="str">
        <f>IF(B1707="","",IFERROR(INDEX('Cashier Roster'!$C$5:$C$64,MATCH(B1707,'Cashier Roster'!$B$5:$B$64,0)),"Not on roster"))</f>
        <v/>
      </c>
      <c r="D1707" s="12" t="str">
        <f>IF(B1707="","",IFERROR(INDEX('Cashier Roster'!$D$5:$D$64,MATCH(B1707,'Cashier Roster'!$B$5:$B$64,0)),""))</f>
        <v/>
      </c>
      <c r="E1707" s="13"/>
      <c r="F1707" s="14"/>
      <c r="G1707" s="8" t="str">
        <f>IF(OR(B1707="",E1707=""),"",IF(E1707="No","Missed",IF(F1707="","",IF(F1707&lt;=Settings!$B$7,"On time","Late"))))</f>
        <v/>
      </c>
      <c r="H1707" s="15"/>
      <c r="I1707" s="16"/>
      <c r="J1707" s="16"/>
      <c r="K1707" s="17" t="str">
        <f>IF(J1707="","",ROUND(J1707*Settings!$B$8,2))</f>
        <v/>
      </c>
      <c r="L1707" s="16"/>
      <c r="M1707" s="8" t="str">
        <f t="shared" si="26"/>
        <v/>
      </c>
      <c r="N1707" s="9"/>
    </row>
    <row r="1708" spans="1:14" ht="15.75">
      <c r="A1708" s="11"/>
      <c r="B1708" s="9"/>
      <c r="C1708" s="12" t="str">
        <f>IF(B1708="","",IFERROR(INDEX('Cashier Roster'!$C$5:$C$64,MATCH(B1708,'Cashier Roster'!$B$5:$B$64,0)),"Not on roster"))</f>
        <v/>
      </c>
      <c r="D1708" s="12" t="str">
        <f>IF(B1708="","",IFERROR(INDEX('Cashier Roster'!$D$5:$D$64,MATCH(B1708,'Cashier Roster'!$B$5:$B$64,0)),""))</f>
        <v/>
      </c>
      <c r="E1708" s="13"/>
      <c r="F1708" s="14"/>
      <c r="G1708" s="8" t="str">
        <f>IF(OR(B1708="",E1708=""),"",IF(E1708="No","Missed",IF(F1708="","",IF(F1708&lt;=Settings!$B$7,"On time","Late"))))</f>
        <v/>
      </c>
      <c r="H1708" s="15"/>
      <c r="I1708" s="16"/>
      <c r="J1708" s="16"/>
      <c r="K1708" s="17" t="str">
        <f>IF(J1708="","",ROUND(J1708*Settings!$B$8,2))</f>
        <v/>
      </c>
      <c r="L1708" s="16"/>
      <c r="M1708" s="8" t="str">
        <f t="shared" si="26"/>
        <v/>
      </c>
      <c r="N1708" s="9"/>
    </row>
    <row r="1709" spans="1:14" ht="15.75">
      <c r="A1709" s="11"/>
      <c r="B1709" s="9"/>
      <c r="C1709" s="12" t="str">
        <f>IF(B1709="","",IFERROR(INDEX('Cashier Roster'!$C$5:$C$64,MATCH(B1709,'Cashier Roster'!$B$5:$B$64,0)),"Not on roster"))</f>
        <v/>
      </c>
      <c r="D1709" s="12" t="str">
        <f>IF(B1709="","",IFERROR(INDEX('Cashier Roster'!$D$5:$D$64,MATCH(B1709,'Cashier Roster'!$B$5:$B$64,0)),""))</f>
        <v/>
      </c>
      <c r="E1709" s="13"/>
      <c r="F1709" s="14"/>
      <c r="G1709" s="8" t="str">
        <f>IF(OR(B1709="",E1709=""),"",IF(E1709="No","Missed",IF(F1709="","",IF(F1709&lt;=Settings!$B$7,"On time","Late"))))</f>
        <v/>
      </c>
      <c r="H1709" s="15"/>
      <c r="I1709" s="16"/>
      <c r="J1709" s="16"/>
      <c r="K1709" s="17" t="str">
        <f>IF(J1709="","",ROUND(J1709*Settings!$B$8,2))</f>
        <v/>
      </c>
      <c r="L1709" s="16"/>
      <c r="M1709" s="8" t="str">
        <f t="shared" si="26"/>
        <v/>
      </c>
      <c r="N1709" s="9"/>
    </row>
    <row r="1710" spans="1:14" ht="15.75">
      <c r="A1710" s="11"/>
      <c r="B1710" s="9"/>
      <c r="C1710" s="12" t="str">
        <f>IF(B1710="","",IFERROR(INDEX('Cashier Roster'!$C$5:$C$64,MATCH(B1710,'Cashier Roster'!$B$5:$B$64,0)),"Not on roster"))</f>
        <v/>
      </c>
      <c r="D1710" s="12" t="str">
        <f>IF(B1710="","",IFERROR(INDEX('Cashier Roster'!$D$5:$D$64,MATCH(B1710,'Cashier Roster'!$B$5:$B$64,0)),""))</f>
        <v/>
      </c>
      <c r="E1710" s="13"/>
      <c r="F1710" s="14"/>
      <c r="G1710" s="8" t="str">
        <f>IF(OR(B1710="",E1710=""),"",IF(E1710="No","Missed",IF(F1710="","",IF(F1710&lt;=Settings!$B$7,"On time","Late"))))</f>
        <v/>
      </c>
      <c r="H1710" s="15"/>
      <c r="I1710" s="16"/>
      <c r="J1710" s="16"/>
      <c r="K1710" s="17" t="str">
        <f>IF(J1710="","",ROUND(J1710*Settings!$B$8,2))</f>
        <v/>
      </c>
      <c r="L1710" s="16"/>
      <c r="M1710" s="8" t="str">
        <f t="shared" si="26"/>
        <v/>
      </c>
      <c r="N1710" s="9"/>
    </row>
    <row r="1711" spans="1:14" ht="15.75">
      <c r="A1711" s="11"/>
      <c r="B1711" s="9"/>
      <c r="C1711" s="12" t="str">
        <f>IF(B1711="","",IFERROR(INDEX('Cashier Roster'!$C$5:$C$64,MATCH(B1711,'Cashier Roster'!$B$5:$B$64,0)),"Not on roster"))</f>
        <v/>
      </c>
      <c r="D1711" s="12" t="str">
        <f>IF(B1711="","",IFERROR(INDEX('Cashier Roster'!$D$5:$D$64,MATCH(B1711,'Cashier Roster'!$B$5:$B$64,0)),""))</f>
        <v/>
      </c>
      <c r="E1711" s="13"/>
      <c r="F1711" s="14"/>
      <c r="G1711" s="8" t="str">
        <f>IF(OR(B1711="",E1711=""),"",IF(E1711="No","Missed",IF(F1711="","",IF(F1711&lt;=Settings!$B$7,"On time","Late"))))</f>
        <v/>
      </c>
      <c r="H1711" s="15"/>
      <c r="I1711" s="16"/>
      <c r="J1711" s="16"/>
      <c r="K1711" s="17" t="str">
        <f>IF(J1711="","",ROUND(J1711*Settings!$B$8,2))</f>
        <v/>
      </c>
      <c r="L1711" s="16"/>
      <c r="M1711" s="8" t="str">
        <f t="shared" si="26"/>
        <v/>
      </c>
      <c r="N1711" s="9"/>
    </row>
    <row r="1712" spans="1:14" ht="15.75">
      <c r="A1712" s="11"/>
      <c r="B1712" s="9"/>
      <c r="C1712" s="12" t="str">
        <f>IF(B1712="","",IFERROR(INDEX('Cashier Roster'!$C$5:$C$64,MATCH(B1712,'Cashier Roster'!$B$5:$B$64,0)),"Not on roster"))</f>
        <v/>
      </c>
      <c r="D1712" s="12" t="str">
        <f>IF(B1712="","",IFERROR(INDEX('Cashier Roster'!$D$5:$D$64,MATCH(B1712,'Cashier Roster'!$B$5:$B$64,0)),""))</f>
        <v/>
      </c>
      <c r="E1712" s="13"/>
      <c r="F1712" s="14"/>
      <c r="G1712" s="8" t="str">
        <f>IF(OR(B1712="",E1712=""),"",IF(E1712="No","Missed",IF(F1712="","",IF(F1712&lt;=Settings!$B$7,"On time","Late"))))</f>
        <v/>
      </c>
      <c r="H1712" s="15"/>
      <c r="I1712" s="16"/>
      <c r="J1712" s="16"/>
      <c r="K1712" s="17" t="str">
        <f>IF(J1712="","",ROUND(J1712*Settings!$B$8,2))</f>
        <v/>
      </c>
      <c r="L1712" s="16"/>
      <c r="M1712" s="8" t="str">
        <f t="shared" si="26"/>
        <v/>
      </c>
      <c r="N1712" s="9"/>
    </row>
    <row r="1713" spans="1:14" ht="15.75">
      <c r="A1713" s="11"/>
      <c r="B1713" s="9"/>
      <c r="C1713" s="12" t="str">
        <f>IF(B1713="","",IFERROR(INDEX('Cashier Roster'!$C$5:$C$64,MATCH(B1713,'Cashier Roster'!$B$5:$B$64,0)),"Not on roster"))</f>
        <v/>
      </c>
      <c r="D1713" s="12" t="str">
        <f>IF(B1713="","",IFERROR(INDEX('Cashier Roster'!$D$5:$D$64,MATCH(B1713,'Cashier Roster'!$B$5:$B$64,0)),""))</f>
        <v/>
      </c>
      <c r="E1713" s="13"/>
      <c r="F1713" s="14"/>
      <c r="G1713" s="8" t="str">
        <f>IF(OR(B1713="",E1713=""),"",IF(E1713="No","Missed",IF(F1713="","",IF(F1713&lt;=Settings!$B$7,"On time","Late"))))</f>
        <v/>
      </c>
      <c r="H1713" s="15"/>
      <c r="I1713" s="16"/>
      <c r="J1713" s="16"/>
      <c r="K1713" s="17" t="str">
        <f>IF(J1713="","",ROUND(J1713*Settings!$B$8,2))</f>
        <v/>
      </c>
      <c r="L1713" s="16"/>
      <c r="M1713" s="8" t="str">
        <f t="shared" si="26"/>
        <v/>
      </c>
      <c r="N1713" s="9"/>
    </row>
    <row r="1714" spans="1:14" ht="15.75">
      <c r="A1714" s="11"/>
      <c r="B1714" s="9"/>
      <c r="C1714" s="12" t="str">
        <f>IF(B1714="","",IFERROR(INDEX('Cashier Roster'!$C$5:$C$64,MATCH(B1714,'Cashier Roster'!$B$5:$B$64,0)),"Not on roster"))</f>
        <v/>
      </c>
      <c r="D1714" s="12" t="str">
        <f>IF(B1714="","",IFERROR(INDEX('Cashier Roster'!$D$5:$D$64,MATCH(B1714,'Cashier Roster'!$B$5:$B$64,0)),""))</f>
        <v/>
      </c>
      <c r="E1714" s="13"/>
      <c r="F1714" s="14"/>
      <c r="G1714" s="8" t="str">
        <f>IF(OR(B1714="",E1714=""),"",IF(E1714="No","Missed",IF(F1714="","",IF(F1714&lt;=Settings!$B$7,"On time","Late"))))</f>
        <v/>
      </c>
      <c r="H1714" s="15"/>
      <c r="I1714" s="16"/>
      <c r="J1714" s="16"/>
      <c r="K1714" s="17" t="str">
        <f>IF(J1714="","",ROUND(J1714*Settings!$B$8,2))</f>
        <v/>
      </c>
      <c r="L1714" s="16"/>
      <c r="M1714" s="8" t="str">
        <f t="shared" si="26"/>
        <v/>
      </c>
      <c r="N1714" s="9"/>
    </row>
    <row r="1715" spans="1:14" ht="15.75">
      <c r="A1715" s="11"/>
      <c r="B1715" s="9"/>
      <c r="C1715" s="12" t="str">
        <f>IF(B1715="","",IFERROR(INDEX('Cashier Roster'!$C$5:$C$64,MATCH(B1715,'Cashier Roster'!$B$5:$B$64,0)),"Not on roster"))</f>
        <v/>
      </c>
      <c r="D1715" s="12" t="str">
        <f>IF(B1715="","",IFERROR(INDEX('Cashier Roster'!$D$5:$D$64,MATCH(B1715,'Cashier Roster'!$B$5:$B$64,0)),""))</f>
        <v/>
      </c>
      <c r="E1715" s="13"/>
      <c r="F1715" s="14"/>
      <c r="G1715" s="8" t="str">
        <f>IF(OR(B1715="",E1715=""),"",IF(E1715="No","Missed",IF(F1715="","",IF(F1715&lt;=Settings!$B$7,"On time","Late"))))</f>
        <v/>
      </c>
      <c r="H1715" s="15"/>
      <c r="I1715" s="16"/>
      <c r="J1715" s="16"/>
      <c r="K1715" s="17" t="str">
        <f>IF(J1715="","",ROUND(J1715*Settings!$B$8,2))</f>
        <v/>
      </c>
      <c r="L1715" s="16"/>
      <c r="M1715" s="8" t="str">
        <f t="shared" si="26"/>
        <v/>
      </c>
      <c r="N1715" s="9"/>
    </row>
    <row r="1716" spans="1:14" ht="15.75">
      <c r="A1716" s="11"/>
      <c r="B1716" s="9"/>
      <c r="C1716" s="12" t="str">
        <f>IF(B1716="","",IFERROR(INDEX('Cashier Roster'!$C$5:$C$64,MATCH(B1716,'Cashier Roster'!$B$5:$B$64,0)),"Not on roster"))</f>
        <v/>
      </c>
      <c r="D1716" s="12" t="str">
        <f>IF(B1716="","",IFERROR(INDEX('Cashier Roster'!$D$5:$D$64,MATCH(B1716,'Cashier Roster'!$B$5:$B$64,0)),""))</f>
        <v/>
      </c>
      <c r="E1716" s="13"/>
      <c r="F1716" s="14"/>
      <c r="G1716" s="8" t="str">
        <f>IF(OR(B1716="",E1716=""),"",IF(E1716="No","Missed",IF(F1716="","",IF(F1716&lt;=Settings!$B$7,"On time","Late"))))</f>
        <v/>
      </c>
      <c r="H1716" s="15"/>
      <c r="I1716" s="16"/>
      <c r="J1716" s="16"/>
      <c r="K1716" s="17" t="str">
        <f>IF(J1716="","",ROUND(J1716*Settings!$B$8,2))</f>
        <v/>
      </c>
      <c r="L1716" s="16"/>
      <c r="M1716" s="8" t="str">
        <f t="shared" si="26"/>
        <v/>
      </c>
      <c r="N1716" s="9"/>
    </row>
    <row r="1717" spans="1:14" ht="15.75">
      <c r="A1717" s="11"/>
      <c r="B1717" s="9"/>
      <c r="C1717" s="12" t="str">
        <f>IF(B1717="","",IFERROR(INDEX('Cashier Roster'!$C$5:$C$64,MATCH(B1717,'Cashier Roster'!$B$5:$B$64,0)),"Not on roster"))</f>
        <v/>
      </c>
      <c r="D1717" s="12" t="str">
        <f>IF(B1717="","",IFERROR(INDEX('Cashier Roster'!$D$5:$D$64,MATCH(B1717,'Cashier Roster'!$B$5:$B$64,0)),""))</f>
        <v/>
      </c>
      <c r="E1717" s="13"/>
      <c r="F1717" s="14"/>
      <c r="G1717" s="8" t="str">
        <f>IF(OR(B1717="",E1717=""),"",IF(E1717="No","Missed",IF(F1717="","",IF(F1717&lt;=Settings!$B$7,"On time","Late"))))</f>
        <v/>
      </c>
      <c r="H1717" s="15"/>
      <c r="I1717" s="16"/>
      <c r="J1717" s="16"/>
      <c r="K1717" s="17" t="str">
        <f>IF(J1717="","",ROUND(J1717*Settings!$B$8,2))</f>
        <v/>
      </c>
      <c r="L1717" s="16"/>
      <c r="M1717" s="8" t="str">
        <f t="shared" si="26"/>
        <v/>
      </c>
      <c r="N1717" s="9"/>
    </row>
    <row r="1718" spans="1:14" ht="15.75">
      <c r="A1718" s="11"/>
      <c r="B1718" s="9"/>
      <c r="C1718" s="12" t="str">
        <f>IF(B1718="","",IFERROR(INDEX('Cashier Roster'!$C$5:$C$64,MATCH(B1718,'Cashier Roster'!$B$5:$B$64,0)),"Not on roster"))</f>
        <v/>
      </c>
      <c r="D1718" s="12" t="str">
        <f>IF(B1718="","",IFERROR(INDEX('Cashier Roster'!$D$5:$D$64,MATCH(B1718,'Cashier Roster'!$B$5:$B$64,0)),""))</f>
        <v/>
      </c>
      <c r="E1718" s="13"/>
      <c r="F1718" s="14"/>
      <c r="G1718" s="8" t="str">
        <f>IF(OR(B1718="",E1718=""),"",IF(E1718="No","Missed",IF(F1718="","",IF(F1718&lt;=Settings!$B$7,"On time","Late"))))</f>
        <v/>
      </c>
      <c r="H1718" s="15"/>
      <c r="I1718" s="16"/>
      <c r="J1718" s="16"/>
      <c r="K1718" s="17" t="str">
        <f>IF(J1718="","",ROUND(J1718*Settings!$B$8,2))</f>
        <v/>
      </c>
      <c r="L1718" s="16"/>
      <c r="M1718" s="8" t="str">
        <f t="shared" si="26"/>
        <v/>
      </c>
      <c r="N1718" s="9"/>
    </row>
    <row r="1719" spans="1:14" ht="15.75">
      <c r="A1719" s="11"/>
      <c r="B1719" s="9"/>
      <c r="C1719" s="12" t="str">
        <f>IF(B1719="","",IFERROR(INDEX('Cashier Roster'!$C$5:$C$64,MATCH(B1719,'Cashier Roster'!$B$5:$B$64,0)),"Not on roster"))</f>
        <v/>
      </c>
      <c r="D1719" s="12" t="str">
        <f>IF(B1719="","",IFERROR(INDEX('Cashier Roster'!$D$5:$D$64,MATCH(B1719,'Cashier Roster'!$B$5:$B$64,0)),""))</f>
        <v/>
      </c>
      <c r="E1719" s="13"/>
      <c r="F1719" s="14"/>
      <c r="G1719" s="8" t="str">
        <f>IF(OR(B1719="",E1719=""),"",IF(E1719="No","Missed",IF(F1719="","",IF(F1719&lt;=Settings!$B$7,"On time","Late"))))</f>
        <v/>
      </c>
      <c r="H1719" s="15"/>
      <c r="I1719" s="16"/>
      <c r="J1719" s="16"/>
      <c r="K1719" s="17" t="str">
        <f>IF(J1719="","",ROUND(J1719*Settings!$B$8,2))</f>
        <v/>
      </c>
      <c r="L1719" s="16"/>
      <c r="M1719" s="8" t="str">
        <f t="shared" si="26"/>
        <v/>
      </c>
      <c r="N1719" s="9"/>
    </row>
    <row r="1720" spans="1:14" ht="15.75">
      <c r="A1720" s="11"/>
      <c r="B1720" s="9"/>
      <c r="C1720" s="12" t="str">
        <f>IF(B1720="","",IFERROR(INDEX('Cashier Roster'!$C$5:$C$64,MATCH(B1720,'Cashier Roster'!$B$5:$B$64,0)),"Not on roster"))</f>
        <v/>
      </c>
      <c r="D1720" s="12" t="str">
        <f>IF(B1720="","",IFERROR(INDEX('Cashier Roster'!$D$5:$D$64,MATCH(B1720,'Cashier Roster'!$B$5:$B$64,0)),""))</f>
        <v/>
      </c>
      <c r="E1720" s="13"/>
      <c r="F1720" s="14"/>
      <c r="G1720" s="8" t="str">
        <f>IF(OR(B1720="",E1720=""),"",IF(E1720="No","Missed",IF(F1720="","",IF(F1720&lt;=Settings!$B$7,"On time","Late"))))</f>
        <v/>
      </c>
      <c r="H1720" s="15"/>
      <c r="I1720" s="16"/>
      <c r="J1720" s="16"/>
      <c r="K1720" s="17" t="str">
        <f>IF(J1720="","",ROUND(J1720*Settings!$B$8,2))</f>
        <v/>
      </c>
      <c r="L1720" s="16"/>
      <c r="M1720" s="8" t="str">
        <f t="shared" si="26"/>
        <v/>
      </c>
      <c r="N1720" s="9"/>
    </row>
    <row r="1721" spans="1:14" ht="15.75">
      <c r="A1721" s="11"/>
      <c r="B1721" s="9"/>
      <c r="C1721" s="12" t="str">
        <f>IF(B1721="","",IFERROR(INDEX('Cashier Roster'!$C$5:$C$64,MATCH(B1721,'Cashier Roster'!$B$5:$B$64,0)),"Not on roster"))</f>
        <v/>
      </c>
      <c r="D1721" s="12" t="str">
        <f>IF(B1721="","",IFERROR(INDEX('Cashier Roster'!$D$5:$D$64,MATCH(B1721,'Cashier Roster'!$B$5:$B$64,0)),""))</f>
        <v/>
      </c>
      <c r="E1721" s="13"/>
      <c r="F1721" s="14"/>
      <c r="G1721" s="8" t="str">
        <f>IF(OR(B1721="",E1721=""),"",IF(E1721="No","Missed",IF(F1721="","",IF(F1721&lt;=Settings!$B$7,"On time","Late"))))</f>
        <v/>
      </c>
      <c r="H1721" s="15"/>
      <c r="I1721" s="16"/>
      <c r="J1721" s="16"/>
      <c r="K1721" s="17" t="str">
        <f>IF(J1721="","",ROUND(J1721*Settings!$B$8,2))</f>
        <v/>
      </c>
      <c r="L1721" s="16"/>
      <c r="M1721" s="8" t="str">
        <f t="shared" si="26"/>
        <v/>
      </c>
      <c r="N1721" s="9"/>
    </row>
    <row r="1722" spans="1:14" ht="15.75">
      <c r="A1722" s="11"/>
      <c r="B1722" s="9"/>
      <c r="C1722" s="12" t="str">
        <f>IF(B1722="","",IFERROR(INDEX('Cashier Roster'!$C$5:$C$64,MATCH(B1722,'Cashier Roster'!$B$5:$B$64,0)),"Not on roster"))</f>
        <v/>
      </c>
      <c r="D1722" s="12" t="str">
        <f>IF(B1722="","",IFERROR(INDEX('Cashier Roster'!$D$5:$D$64,MATCH(B1722,'Cashier Roster'!$B$5:$B$64,0)),""))</f>
        <v/>
      </c>
      <c r="E1722" s="13"/>
      <c r="F1722" s="14"/>
      <c r="G1722" s="8" t="str">
        <f>IF(OR(B1722="",E1722=""),"",IF(E1722="No","Missed",IF(F1722="","",IF(F1722&lt;=Settings!$B$7,"On time","Late"))))</f>
        <v/>
      </c>
      <c r="H1722" s="15"/>
      <c r="I1722" s="16"/>
      <c r="J1722" s="16"/>
      <c r="K1722" s="17" t="str">
        <f>IF(J1722="","",ROUND(J1722*Settings!$B$8,2))</f>
        <v/>
      </c>
      <c r="L1722" s="16"/>
      <c r="M1722" s="8" t="str">
        <f t="shared" si="26"/>
        <v/>
      </c>
      <c r="N1722" s="9"/>
    </row>
    <row r="1723" spans="1:14" ht="15.75">
      <c r="A1723" s="11"/>
      <c r="B1723" s="9"/>
      <c r="C1723" s="12" t="str">
        <f>IF(B1723="","",IFERROR(INDEX('Cashier Roster'!$C$5:$C$64,MATCH(B1723,'Cashier Roster'!$B$5:$B$64,0)),"Not on roster"))</f>
        <v/>
      </c>
      <c r="D1723" s="12" t="str">
        <f>IF(B1723="","",IFERROR(INDEX('Cashier Roster'!$D$5:$D$64,MATCH(B1723,'Cashier Roster'!$B$5:$B$64,0)),""))</f>
        <v/>
      </c>
      <c r="E1723" s="13"/>
      <c r="F1723" s="14"/>
      <c r="G1723" s="8" t="str">
        <f>IF(OR(B1723="",E1723=""),"",IF(E1723="No","Missed",IF(F1723="","",IF(F1723&lt;=Settings!$B$7,"On time","Late"))))</f>
        <v/>
      </c>
      <c r="H1723" s="15"/>
      <c r="I1723" s="16"/>
      <c r="J1723" s="16"/>
      <c r="K1723" s="17" t="str">
        <f>IF(J1723="","",ROUND(J1723*Settings!$B$8,2))</f>
        <v/>
      </c>
      <c r="L1723" s="16"/>
      <c r="M1723" s="8" t="str">
        <f t="shared" si="26"/>
        <v/>
      </c>
      <c r="N1723" s="9"/>
    </row>
    <row r="1724" spans="1:14" ht="15.75">
      <c r="A1724" s="11"/>
      <c r="B1724" s="9"/>
      <c r="C1724" s="12" t="str">
        <f>IF(B1724="","",IFERROR(INDEX('Cashier Roster'!$C$5:$C$64,MATCH(B1724,'Cashier Roster'!$B$5:$B$64,0)),"Not on roster"))</f>
        <v/>
      </c>
      <c r="D1724" s="12" t="str">
        <f>IF(B1724="","",IFERROR(INDEX('Cashier Roster'!$D$5:$D$64,MATCH(B1724,'Cashier Roster'!$B$5:$B$64,0)),""))</f>
        <v/>
      </c>
      <c r="E1724" s="13"/>
      <c r="F1724" s="14"/>
      <c r="G1724" s="8" t="str">
        <f>IF(OR(B1724="",E1724=""),"",IF(E1724="No","Missed",IF(F1724="","",IF(F1724&lt;=Settings!$B$7,"On time","Late"))))</f>
        <v/>
      </c>
      <c r="H1724" s="15"/>
      <c r="I1724" s="16"/>
      <c r="J1724" s="16"/>
      <c r="K1724" s="17" t="str">
        <f>IF(J1724="","",ROUND(J1724*Settings!$B$8,2))</f>
        <v/>
      </c>
      <c r="L1724" s="16"/>
      <c r="M1724" s="8" t="str">
        <f t="shared" si="26"/>
        <v/>
      </c>
      <c r="N1724" s="9"/>
    </row>
    <row r="1725" spans="1:14" ht="15.75">
      <c r="A1725" s="11"/>
      <c r="B1725" s="9"/>
      <c r="C1725" s="12" t="str">
        <f>IF(B1725="","",IFERROR(INDEX('Cashier Roster'!$C$5:$C$64,MATCH(B1725,'Cashier Roster'!$B$5:$B$64,0)),"Not on roster"))</f>
        <v/>
      </c>
      <c r="D1725" s="12" t="str">
        <f>IF(B1725="","",IFERROR(INDEX('Cashier Roster'!$D$5:$D$64,MATCH(B1725,'Cashier Roster'!$B$5:$B$64,0)),""))</f>
        <v/>
      </c>
      <c r="E1725" s="13"/>
      <c r="F1725" s="14"/>
      <c r="G1725" s="8" t="str">
        <f>IF(OR(B1725="",E1725=""),"",IF(E1725="No","Missed",IF(F1725="","",IF(F1725&lt;=Settings!$B$7,"On time","Late"))))</f>
        <v/>
      </c>
      <c r="H1725" s="15"/>
      <c r="I1725" s="16"/>
      <c r="J1725" s="16"/>
      <c r="K1725" s="17" t="str">
        <f>IF(J1725="","",ROUND(J1725*Settings!$B$8,2))</f>
        <v/>
      </c>
      <c r="L1725" s="16"/>
      <c r="M1725" s="8" t="str">
        <f t="shared" si="26"/>
        <v/>
      </c>
      <c r="N1725" s="9"/>
    </row>
    <row r="1726" spans="1:14" ht="15.75">
      <c r="A1726" s="11"/>
      <c r="B1726" s="9"/>
      <c r="C1726" s="12" t="str">
        <f>IF(B1726="","",IFERROR(INDEX('Cashier Roster'!$C$5:$C$64,MATCH(B1726,'Cashier Roster'!$B$5:$B$64,0)),"Not on roster"))</f>
        <v/>
      </c>
      <c r="D1726" s="12" t="str">
        <f>IF(B1726="","",IFERROR(INDEX('Cashier Roster'!$D$5:$D$64,MATCH(B1726,'Cashier Roster'!$B$5:$B$64,0)),""))</f>
        <v/>
      </c>
      <c r="E1726" s="13"/>
      <c r="F1726" s="14"/>
      <c r="G1726" s="8" t="str">
        <f>IF(OR(B1726="",E1726=""),"",IF(E1726="No","Missed",IF(F1726="","",IF(F1726&lt;=Settings!$B$7,"On time","Late"))))</f>
        <v/>
      </c>
      <c r="H1726" s="15"/>
      <c r="I1726" s="16"/>
      <c r="J1726" s="16"/>
      <c r="K1726" s="17" t="str">
        <f>IF(J1726="","",ROUND(J1726*Settings!$B$8,2))</f>
        <v/>
      </c>
      <c r="L1726" s="16"/>
      <c r="M1726" s="8" t="str">
        <f t="shared" si="26"/>
        <v/>
      </c>
      <c r="N1726" s="9"/>
    </row>
    <row r="1727" spans="1:14" ht="15.75">
      <c r="A1727" s="11"/>
      <c r="B1727" s="9"/>
      <c r="C1727" s="12" t="str">
        <f>IF(B1727="","",IFERROR(INDEX('Cashier Roster'!$C$5:$C$64,MATCH(B1727,'Cashier Roster'!$B$5:$B$64,0)),"Not on roster"))</f>
        <v/>
      </c>
      <c r="D1727" s="12" t="str">
        <f>IF(B1727="","",IFERROR(INDEX('Cashier Roster'!$D$5:$D$64,MATCH(B1727,'Cashier Roster'!$B$5:$B$64,0)),""))</f>
        <v/>
      </c>
      <c r="E1727" s="13"/>
      <c r="F1727" s="14"/>
      <c r="G1727" s="8" t="str">
        <f>IF(OR(B1727="",E1727=""),"",IF(E1727="No","Missed",IF(F1727="","",IF(F1727&lt;=Settings!$B$7,"On time","Late"))))</f>
        <v/>
      </c>
      <c r="H1727" s="15"/>
      <c r="I1727" s="16"/>
      <c r="J1727" s="16"/>
      <c r="K1727" s="17" t="str">
        <f>IF(J1727="","",ROUND(J1727*Settings!$B$8,2))</f>
        <v/>
      </c>
      <c r="L1727" s="16"/>
      <c r="M1727" s="8" t="str">
        <f t="shared" si="26"/>
        <v/>
      </c>
      <c r="N1727" s="9"/>
    </row>
    <row r="1728" spans="1:14" ht="15.75">
      <c r="A1728" s="11"/>
      <c r="B1728" s="9"/>
      <c r="C1728" s="12" t="str">
        <f>IF(B1728="","",IFERROR(INDEX('Cashier Roster'!$C$5:$C$64,MATCH(B1728,'Cashier Roster'!$B$5:$B$64,0)),"Not on roster"))</f>
        <v/>
      </c>
      <c r="D1728" s="12" t="str">
        <f>IF(B1728="","",IFERROR(INDEX('Cashier Roster'!$D$5:$D$64,MATCH(B1728,'Cashier Roster'!$B$5:$B$64,0)),""))</f>
        <v/>
      </c>
      <c r="E1728" s="13"/>
      <c r="F1728" s="14"/>
      <c r="G1728" s="8" t="str">
        <f>IF(OR(B1728="",E1728=""),"",IF(E1728="No","Missed",IF(F1728="","",IF(F1728&lt;=Settings!$B$7,"On time","Late"))))</f>
        <v/>
      </c>
      <c r="H1728" s="15"/>
      <c r="I1728" s="16"/>
      <c r="J1728" s="16"/>
      <c r="K1728" s="17" t="str">
        <f>IF(J1728="","",ROUND(J1728*Settings!$B$8,2))</f>
        <v/>
      </c>
      <c r="L1728" s="16"/>
      <c r="M1728" s="8" t="str">
        <f t="shared" si="26"/>
        <v/>
      </c>
      <c r="N1728" s="9"/>
    </row>
    <row r="1729" spans="1:14" ht="15.75">
      <c r="A1729" s="11"/>
      <c r="B1729" s="9"/>
      <c r="C1729" s="12" t="str">
        <f>IF(B1729="","",IFERROR(INDEX('Cashier Roster'!$C$5:$C$64,MATCH(B1729,'Cashier Roster'!$B$5:$B$64,0)),"Not on roster"))</f>
        <v/>
      </c>
      <c r="D1729" s="12" t="str">
        <f>IF(B1729="","",IFERROR(INDEX('Cashier Roster'!$D$5:$D$64,MATCH(B1729,'Cashier Roster'!$B$5:$B$64,0)),""))</f>
        <v/>
      </c>
      <c r="E1729" s="13"/>
      <c r="F1729" s="14"/>
      <c r="G1729" s="8" t="str">
        <f>IF(OR(B1729="",E1729=""),"",IF(E1729="No","Missed",IF(F1729="","",IF(F1729&lt;=Settings!$B$7,"On time","Late"))))</f>
        <v/>
      </c>
      <c r="H1729" s="15"/>
      <c r="I1729" s="16"/>
      <c r="J1729" s="16"/>
      <c r="K1729" s="17" t="str">
        <f>IF(J1729="","",ROUND(J1729*Settings!$B$8,2))</f>
        <v/>
      </c>
      <c r="L1729" s="16"/>
      <c r="M1729" s="8" t="str">
        <f t="shared" si="26"/>
        <v/>
      </c>
      <c r="N1729" s="9"/>
    </row>
    <row r="1730" spans="1:14" ht="15.75">
      <c r="A1730" s="11"/>
      <c r="B1730" s="9"/>
      <c r="C1730" s="12" t="str">
        <f>IF(B1730="","",IFERROR(INDEX('Cashier Roster'!$C$5:$C$64,MATCH(B1730,'Cashier Roster'!$B$5:$B$64,0)),"Not on roster"))</f>
        <v/>
      </c>
      <c r="D1730" s="12" t="str">
        <f>IF(B1730="","",IFERROR(INDEX('Cashier Roster'!$D$5:$D$64,MATCH(B1730,'Cashier Roster'!$B$5:$B$64,0)),""))</f>
        <v/>
      </c>
      <c r="E1730" s="13"/>
      <c r="F1730" s="14"/>
      <c r="G1730" s="8" t="str">
        <f>IF(OR(B1730="",E1730=""),"",IF(E1730="No","Missed",IF(F1730="","",IF(F1730&lt;=Settings!$B$7,"On time","Late"))))</f>
        <v/>
      </c>
      <c r="H1730" s="15"/>
      <c r="I1730" s="16"/>
      <c r="J1730" s="16"/>
      <c r="K1730" s="17" t="str">
        <f>IF(J1730="","",ROUND(J1730*Settings!$B$8,2))</f>
        <v/>
      </c>
      <c r="L1730" s="16"/>
      <c r="M1730" s="8" t="str">
        <f t="shared" si="26"/>
        <v/>
      </c>
      <c r="N1730" s="9"/>
    </row>
    <row r="1731" spans="1:14" ht="15.75">
      <c r="A1731" s="11"/>
      <c r="B1731" s="9"/>
      <c r="C1731" s="12" t="str">
        <f>IF(B1731="","",IFERROR(INDEX('Cashier Roster'!$C$5:$C$64,MATCH(B1731,'Cashier Roster'!$B$5:$B$64,0)),"Not on roster"))</f>
        <v/>
      </c>
      <c r="D1731" s="12" t="str">
        <f>IF(B1731="","",IFERROR(INDEX('Cashier Roster'!$D$5:$D$64,MATCH(B1731,'Cashier Roster'!$B$5:$B$64,0)),""))</f>
        <v/>
      </c>
      <c r="E1731" s="13"/>
      <c r="F1731" s="14"/>
      <c r="G1731" s="8" t="str">
        <f>IF(OR(B1731="",E1731=""),"",IF(E1731="No","Missed",IF(F1731="","",IF(F1731&lt;=Settings!$B$7,"On time","Late"))))</f>
        <v/>
      </c>
      <c r="H1731" s="15"/>
      <c r="I1731" s="16"/>
      <c r="J1731" s="16"/>
      <c r="K1731" s="17" t="str">
        <f>IF(J1731="","",ROUND(J1731*Settings!$B$8,2))</f>
        <v/>
      </c>
      <c r="L1731" s="16"/>
      <c r="M1731" s="8" t="str">
        <f t="shared" si="26"/>
        <v/>
      </c>
      <c r="N1731" s="9"/>
    </row>
    <row r="1732" spans="1:14" ht="15.75">
      <c r="A1732" s="11"/>
      <c r="B1732" s="9"/>
      <c r="C1732" s="12" t="str">
        <f>IF(B1732="","",IFERROR(INDEX('Cashier Roster'!$C$5:$C$64,MATCH(B1732,'Cashier Roster'!$B$5:$B$64,0)),"Not on roster"))</f>
        <v/>
      </c>
      <c r="D1732" s="12" t="str">
        <f>IF(B1732="","",IFERROR(INDEX('Cashier Roster'!$D$5:$D$64,MATCH(B1732,'Cashier Roster'!$B$5:$B$64,0)),""))</f>
        <v/>
      </c>
      <c r="E1732" s="13"/>
      <c r="F1732" s="14"/>
      <c r="G1732" s="8" t="str">
        <f>IF(OR(B1732="",E1732=""),"",IF(E1732="No","Missed",IF(F1732="","",IF(F1732&lt;=Settings!$B$7,"On time","Late"))))</f>
        <v/>
      </c>
      <c r="H1732" s="15"/>
      <c r="I1732" s="16"/>
      <c r="J1732" s="16"/>
      <c r="K1732" s="17" t="str">
        <f>IF(J1732="","",ROUND(J1732*Settings!$B$8,2))</f>
        <v/>
      </c>
      <c r="L1732" s="16"/>
      <c r="M1732" s="8" t="str">
        <f t="shared" si="26"/>
        <v/>
      </c>
      <c r="N1732" s="9"/>
    </row>
    <row r="1733" spans="1:14" ht="15.75">
      <c r="A1733" s="11"/>
      <c r="B1733" s="9"/>
      <c r="C1733" s="12" t="str">
        <f>IF(B1733="","",IFERROR(INDEX('Cashier Roster'!$C$5:$C$64,MATCH(B1733,'Cashier Roster'!$B$5:$B$64,0)),"Not on roster"))</f>
        <v/>
      </c>
      <c r="D1733" s="12" t="str">
        <f>IF(B1733="","",IFERROR(INDEX('Cashier Roster'!$D$5:$D$64,MATCH(B1733,'Cashier Roster'!$B$5:$B$64,0)),""))</f>
        <v/>
      </c>
      <c r="E1733" s="13"/>
      <c r="F1733" s="14"/>
      <c r="G1733" s="8" t="str">
        <f>IF(OR(B1733="",E1733=""),"",IF(E1733="No","Missed",IF(F1733="","",IF(F1733&lt;=Settings!$B$7,"On time","Late"))))</f>
        <v/>
      </c>
      <c r="H1733" s="15"/>
      <c r="I1733" s="16"/>
      <c r="J1733" s="16"/>
      <c r="K1733" s="17" t="str">
        <f>IF(J1733="","",ROUND(J1733*Settings!$B$8,2))</f>
        <v/>
      </c>
      <c r="L1733" s="16"/>
      <c r="M1733" s="8" t="str">
        <f t="shared" ref="M1733:M1796" si="27">IF(L1733="","",IF(L1733&lt;=0,"Yes","No"))</f>
        <v/>
      </c>
      <c r="N1733" s="9"/>
    </row>
    <row r="1734" spans="1:14" ht="15.75">
      <c r="A1734" s="11"/>
      <c r="B1734" s="9"/>
      <c r="C1734" s="12" t="str">
        <f>IF(B1734="","",IFERROR(INDEX('Cashier Roster'!$C$5:$C$64,MATCH(B1734,'Cashier Roster'!$B$5:$B$64,0)),"Not on roster"))</f>
        <v/>
      </c>
      <c r="D1734" s="12" t="str">
        <f>IF(B1734="","",IFERROR(INDEX('Cashier Roster'!$D$5:$D$64,MATCH(B1734,'Cashier Roster'!$B$5:$B$64,0)),""))</f>
        <v/>
      </c>
      <c r="E1734" s="13"/>
      <c r="F1734" s="14"/>
      <c r="G1734" s="8" t="str">
        <f>IF(OR(B1734="",E1734=""),"",IF(E1734="No","Missed",IF(F1734="","",IF(F1734&lt;=Settings!$B$7,"On time","Late"))))</f>
        <v/>
      </c>
      <c r="H1734" s="15"/>
      <c r="I1734" s="16"/>
      <c r="J1734" s="16"/>
      <c r="K1734" s="17" t="str">
        <f>IF(J1734="","",ROUND(J1734*Settings!$B$8,2))</f>
        <v/>
      </c>
      <c r="L1734" s="16"/>
      <c r="M1734" s="8" t="str">
        <f t="shared" si="27"/>
        <v/>
      </c>
      <c r="N1734" s="9"/>
    </row>
    <row r="1735" spans="1:14" ht="15.75">
      <c r="A1735" s="11"/>
      <c r="B1735" s="9"/>
      <c r="C1735" s="12" t="str">
        <f>IF(B1735="","",IFERROR(INDEX('Cashier Roster'!$C$5:$C$64,MATCH(B1735,'Cashier Roster'!$B$5:$B$64,0)),"Not on roster"))</f>
        <v/>
      </c>
      <c r="D1735" s="12" t="str">
        <f>IF(B1735="","",IFERROR(INDEX('Cashier Roster'!$D$5:$D$64,MATCH(B1735,'Cashier Roster'!$B$5:$B$64,0)),""))</f>
        <v/>
      </c>
      <c r="E1735" s="13"/>
      <c r="F1735" s="14"/>
      <c r="G1735" s="8" t="str">
        <f>IF(OR(B1735="",E1735=""),"",IF(E1735="No","Missed",IF(F1735="","",IF(F1735&lt;=Settings!$B$7,"On time","Late"))))</f>
        <v/>
      </c>
      <c r="H1735" s="15"/>
      <c r="I1735" s="16"/>
      <c r="J1735" s="16"/>
      <c r="K1735" s="17" t="str">
        <f>IF(J1735="","",ROUND(J1735*Settings!$B$8,2))</f>
        <v/>
      </c>
      <c r="L1735" s="16"/>
      <c r="M1735" s="8" t="str">
        <f t="shared" si="27"/>
        <v/>
      </c>
      <c r="N1735" s="9"/>
    </row>
    <row r="1736" spans="1:14" ht="15.75">
      <c r="A1736" s="11"/>
      <c r="B1736" s="9"/>
      <c r="C1736" s="12" t="str">
        <f>IF(B1736="","",IFERROR(INDEX('Cashier Roster'!$C$5:$C$64,MATCH(B1736,'Cashier Roster'!$B$5:$B$64,0)),"Not on roster"))</f>
        <v/>
      </c>
      <c r="D1736" s="12" t="str">
        <f>IF(B1736="","",IFERROR(INDEX('Cashier Roster'!$D$5:$D$64,MATCH(B1736,'Cashier Roster'!$B$5:$B$64,0)),""))</f>
        <v/>
      </c>
      <c r="E1736" s="13"/>
      <c r="F1736" s="14"/>
      <c r="G1736" s="8" t="str">
        <f>IF(OR(B1736="",E1736=""),"",IF(E1736="No","Missed",IF(F1736="","",IF(F1736&lt;=Settings!$B$7,"On time","Late"))))</f>
        <v/>
      </c>
      <c r="H1736" s="15"/>
      <c r="I1736" s="16"/>
      <c r="J1736" s="16"/>
      <c r="K1736" s="17" t="str">
        <f>IF(J1736="","",ROUND(J1736*Settings!$B$8,2))</f>
        <v/>
      </c>
      <c r="L1736" s="16"/>
      <c r="M1736" s="8" t="str">
        <f t="shared" si="27"/>
        <v/>
      </c>
      <c r="N1736" s="9"/>
    </row>
    <row r="1737" spans="1:14" ht="15.75">
      <c r="A1737" s="11"/>
      <c r="B1737" s="9"/>
      <c r="C1737" s="12" t="str">
        <f>IF(B1737="","",IFERROR(INDEX('Cashier Roster'!$C$5:$C$64,MATCH(B1737,'Cashier Roster'!$B$5:$B$64,0)),"Not on roster"))</f>
        <v/>
      </c>
      <c r="D1737" s="12" t="str">
        <f>IF(B1737="","",IFERROR(INDEX('Cashier Roster'!$D$5:$D$64,MATCH(B1737,'Cashier Roster'!$B$5:$B$64,0)),""))</f>
        <v/>
      </c>
      <c r="E1737" s="13"/>
      <c r="F1737" s="14"/>
      <c r="G1737" s="8" t="str">
        <f>IF(OR(B1737="",E1737=""),"",IF(E1737="No","Missed",IF(F1737="","",IF(F1737&lt;=Settings!$B$7,"On time","Late"))))</f>
        <v/>
      </c>
      <c r="H1737" s="15"/>
      <c r="I1737" s="16"/>
      <c r="J1737" s="16"/>
      <c r="K1737" s="17" t="str">
        <f>IF(J1737="","",ROUND(J1737*Settings!$B$8,2))</f>
        <v/>
      </c>
      <c r="L1737" s="16"/>
      <c r="M1737" s="8" t="str">
        <f t="shared" si="27"/>
        <v/>
      </c>
      <c r="N1737" s="9"/>
    </row>
    <row r="1738" spans="1:14" ht="15.75">
      <c r="A1738" s="11"/>
      <c r="B1738" s="9"/>
      <c r="C1738" s="12" t="str">
        <f>IF(B1738="","",IFERROR(INDEX('Cashier Roster'!$C$5:$C$64,MATCH(B1738,'Cashier Roster'!$B$5:$B$64,0)),"Not on roster"))</f>
        <v/>
      </c>
      <c r="D1738" s="12" t="str">
        <f>IF(B1738="","",IFERROR(INDEX('Cashier Roster'!$D$5:$D$64,MATCH(B1738,'Cashier Roster'!$B$5:$B$64,0)),""))</f>
        <v/>
      </c>
      <c r="E1738" s="13"/>
      <c r="F1738" s="14"/>
      <c r="G1738" s="8" t="str">
        <f>IF(OR(B1738="",E1738=""),"",IF(E1738="No","Missed",IF(F1738="","",IF(F1738&lt;=Settings!$B$7,"On time","Late"))))</f>
        <v/>
      </c>
      <c r="H1738" s="15"/>
      <c r="I1738" s="16"/>
      <c r="J1738" s="16"/>
      <c r="K1738" s="17" t="str">
        <f>IF(J1738="","",ROUND(J1738*Settings!$B$8,2))</f>
        <v/>
      </c>
      <c r="L1738" s="16"/>
      <c r="M1738" s="8" t="str">
        <f t="shared" si="27"/>
        <v/>
      </c>
      <c r="N1738" s="9"/>
    </row>
    <row r="1739" spans="1:14" ht="15.75">
      <c r="A1739" s="11"/>
      <c r="B1739" s="9"/>
      <c r="C1739" s="12" t="str">
        <f>IF(B1739="","",IFERROR(INDEX('Cashier Roster'!$C$5:$C$64,MATCH(B1739,'Cashier Roster'!$B$5:$B$64,0)),"Not on roster"))</f>
        <v/>
      </c>
      <c r="D1739" s="12" t="str">
        <f>IF(B1739="","",IFERROR(INDEX('Cashier Roster'!$D$5:$D$64,MATCH(B1739,'Cashier Roster'!$B$5:$B$64,0)),""))</f>
        <v/>
      </c>
      <c r="E1739" s="13"/>
      <c r="F1739" s="14"/>
      <c r="G1739" s="8" t="str">
        <f>IF(OR(B1739="",E1739=""),"",IF(E1739="No","Missed",IF(F1739="","",IF(F1739&lt;=Settings!$B$7,"On time","Late"))))</f>
        <v/>
      </c>
      <c r="H1739" s="15"/>
      <c r="I1739" s="16"/>
      <c r="J1739" s="16"/>
      <c r="K1739" s="17" t="str">
        <f>IF(J1739="","",ROUND(J1739*Settings!$B$8,2))</f>
        <v/>
      </c>
      <c r="L1739" s="16"/>
      <c r="M1739" s="8" t="str">
        <f t="shared" si="27"/>
        <v/>
      </c>
      <c r="N1739" s="9"/>
    </row>
    <row r="1740" spans="1:14" ht="15.75">
      <c r="A1740" s="11"/>
      <c r="B1740" s="9"/>
      <c r="C1740" s="12" t="str">
        <f>IF(B1740="","",IFERROR(INDEX('Cashier Roster'!$C$5:$C$64,MATCH(B1740,'Cashier Roster'!$B$5:$B$64,0)),"Not on roster"))</f>
        <v/>
      </c>
      <c r="D1740" s="12" t="str">
        <f>IF(B1740="","",IFERROR(INDEX('Cashier Roster'!$D$5:$D$64,MATCH(B1740,'Cashier Roster'!$B$5:$B$64,0)),""))</f>
        <v/>
      </c>
      <c r="E1740" s="13"/>
      <c r="F1740" s="14"/>
      <c r="G1740" s="8" t="str">
        <f>IF(OR(B1740="",E1740=""),"",IF(E1740="No","Missed",IF(F1740="","",IF(F1740&lt;=Settings!$B$7,"On time","Late"))))</f>
        <v/>
      </c>
      <c r="H1740" s="15"/>
      <c r="I1740" s="16"/>
      <c r="J1740" s="16"/>
      <c r="K1740" s="17" t="str">
        <f>IF(J1740="","",ROUND(J1740*Settings!$B$8,2))</f>
        <v/>
      </c>
      <c r="L1740" s="16"/>
      <c r="M1740" s="8" t="str">
        <f t="shared" si="27"/>
        <v/>
      </c>
      <c r="N1740" s="9"/>
    </row>
    <row r="1741" spans="1:14" ht="15.75">
      <c r="A1741" s="11"/>
      <c r="B1741" s="9"/>
      <c r="C1741" s="12" t="str">
        <f>IF(B1741="","",IFERROR(INDEX('Cashier Roster'!$C$5:$C$64,MATCH(B1741,'Cashier Roster'!$B$5:$B$64,0)),"Not on roster"))</f>
        <v/>
      </c>
      <c r="D1741" s="12" t="str">
        <f>IF(B1741="","",IFERROR(INDEX('Cashier Roster'!$D$5:$D$64,MATCH(B1741,'Cashier Roster'!$B$5:$B$64,0)),""))</f>
        <v/>
      </c>
      <c r="E1741" s="13"/>
      <c r="F1741" s="14"/>
      <c r="G1741" s="8" t="str">
        <f>IF(OR(B1741="",E1741=""),"",IF(E1741="No","Missed",IF(F1741="","",IF(F1741&lt;=Settings!$B$7,"On time","Late"))))</f>
        <v/>
      </c>
      <c r="H1741" s="15"/>
      <c r="I1741" s="16"/>
      <c r="J1741" s="16"/>
      <c r="K1741" s="17" t="str">
        <f>IF(J1741="","",ROUND(J1741*Settings!$B$8,2))</f>
        <v/>
      </c>
      <c r="L1741" s="16"/>
      <c r="M1741" s="8" t="str">
        <f t="shared" si="27"/>
        <v/>
      </c>
      <c r="N1741" s="9"/>
    </row>
    <row r="1742" spans="1:14" ht="15.75">
      <c r="A1742" s="11"/>
      <c r="B1742" s="9"/>
      <c r="C1742" s="12" t="str">
        <f>IF(B1742="","",IFERROR(INDEX('Cashier Roster'!$C$5:$C$64,MATCH(B1742,'Cashier Roster'!$B$5:$B$64,0)),"Not on roster"))</f>
        <v/>
      </c>
      <c r="D1742" s="12" t="str">
        <f>IF(B1742="","",IFERROR(INDEX('Cashier Roster'!$D$5:$D$64,MATCH(B1742,'Cashier Roster'!$B$5:$B$64,0)),""))</f>
        <v/>
      </c>
      <c r="E1742" s="13"/>
      <c r="F1742" s="14"/>
      <c r="G1742" s="8" t="str">
        <f>IF(OR(B1742="",E1742=""),"",IF(E1742="No","Missed",IF(F1742="","",IF(F1742&lt;=Settings!$B$7,"On time","Late"))))</f>
        <v/>
      </c>
      <c r="H1742" s="15"/>
      <c r="I1742" s="16"/>
      <c r="J1742" s="16"/>
      <c r="K1742" s="17" t="str">
        <f>IF(J1742="","",ROUND(J1742*Settings!$B$8,2))</f>
        <v/>
      </c>
      <c r="L1742" s="16"/>
      <c r="M1742" s="8" t="str">
        <f t="shared" si="27"/>
        <v/>
      </c>
      <c r="N1742" s="9"/>
    </row>
    <row r="1743" spans="1:14" ht="15.75">
      <c r="A1743" s="11"/>
      <c r="B1743" s="9"/>
      <c r="C1743" s="12" t="str">
        <f>IF(B1743="","",IFERROR(INDEX('Cashier Roster'!$C$5:$C$64,MATCH(B1743,'Cashier Roster'!$B$5:$B$64,0)),"Not on roster"))</f>
        <v/>
      </c>
      <c r="D1743" s="12" t="str">
        <f>IF(B1743="","",IFERROR(INDEX('Cashier Roster'!$D$5:$D$64,MATCH(B1743,'Cashier Roster'!$B$5:$B$64,0)),""))</f>
        <v/>
      </c>
      <c r="E1743" s="13"/>
      <c r="F1743" s="14"/>
      <c r="G1743" s="8" t="str">
        <f>IF(OR(B1743="",E1743=""),"",IF(E1743="No","Missed",IF(F1743="","",IF(F1743&lt;=Settings!$B$7,"On time","Late"))))</f>
        <v/>
      </c>
      <c r="H1743" s="15"/>
      <c r="I1743" s="16"/>
      <c r="J1743" s="16"/>
      <c r="K1743" s="17" t="str">
        <f>IF(J1743="","",ROUND(J1743*Settings!$B$8,2))</f>
        <v/>
      </c>
      <c r="L1743" s="16"/>
      <c r="M1743" s="8" t="str">
        <f t="shared" si="27"/>
        <v/>
      </c>
      <c r="N1743" s="9"/>
    </row>
    <row r="1744" spans="1:14" ht="15.75">
      <c r="A1744" s="11"/>
      <c r="B1744" s="9"/>
      <c r="C1744" s="12" t="str">
        <f>IF(B1744="","",IFERROR(INDEX('Cashier Roster'!$C$5:$C$64,MATCH(B1744,'Cashier Roster'!$B$5:$B$64,0)),"Not on roster"))</f>
        <v/>
      </c>
      <c r="D1744" s="12" t="str">
        <f>IF(B1744="","",IFERROR(INDEX('Cashier Roster'!$D$5:$D$64,MATCH(B1744,'Cashier Roster'!$B$5:$B$64,0)),""))</f>
        <v/>
      </c>
      <c r="E1744" s="13"/>
      <c r="F1744" s="14"/>
      <c r="G1744" s="8" t="str">
        <f>IF(OR(B1744="",E1744=""),"",IF(E1744="No","Missed",IF(F1744="","",IF(F1744&lt;=Settings!$B$7,"On time","Late"))))</f>
        <v/>
      </c>
      <c r="H1744" s="15"/>
      <c r="I1744" s="16"/>
      <c r="J1744" s="16"/>
      <c r="K1744" s="17" t="str">
        <f>IF(J1744="","",ROUND(J1744*Settings!$B$8,2))</f>
        <v/>
      </c>
      <c r="L1744" s="16"/>
      <c r="M1744" s="8" t="str">
        <f t="shared" si="27"/>
        <v/>
      </c>
      <c r="N1744" s="9"/>
    </row>
    <row r="1745" spans="1:14" ht="15.75">
      <c r="A1745" s="11"/>
      <c r="B1745" s="9"/>
      <c r="C1745" s="12" t="str">
        <f>IF(B1745="","",IFERROR(INDEX('Cashier Roster'!$C$5:$C$64,MATCH(B1745,'Cashier Roster'!$B$5:$B$64,0)),"Not on roster"))</f>
        <v/>
      </c>
      <c r="D1745" s="12" t="str">
        <f>IF(B1745="","",IFERROR(INDEX('Cashier Roster'!$D$5:$D$64,MATCH(B1745,'Cashier Roster'!$B$5:$B$64,0)),""))</f>
        <v/>
      </c>
      <c r="E1745" s="13"/>
      <c r="F1745" s="14"/>
      <c r="G1745" s="8" t="str">
        <f>IF(OR(B1745="",E1745=""),"",IF(E1745="No","Missed",IF(F1745="","",IF(F1745&lt;=Settings!$B$7,"On time","Late"))))</f>
        <v/>
      </c>
      <c r="H1745" s="15"/>
      <c r="I1745" s="16"/>
      <c r="J1745" s="16"/>
      <c r="K1745" s="17" t="str">
        <f>IF(J1745="","",ROUND(J1745*Settings!$B$8,2))</f>
        <v/>
      </c>
      <c r="L1745" s="16"/>
      <c r="M1745" s="8" t="str">
        <f t="shared" si="27"/>
        <v/>
      </c>
      <c r="N1745" s="9"/>
    </row>
    <row r="1746" spans="1:14" ht="15.75">
      <c r="A1746" s="11"/>
      <c r="B1746" s="9"/>
      <c r="C1746" s="12" t="str">
        <f>IF(B1746="","",IFERROR(INDEX('Cashier Roster'!$C$5:$C$64,MATCH(B1746,'Cashier Roster'!$B$5:$B$64,0)),"Not on roster"))</f>
        <v/>
      </c>
      <c r="D1746" s="12" t="str">
        <f>IF(B1746="","",IFERROR(INDEX('Cashier Roster'!$D$5:$D$64,MATCH(B1746,'Cashier Roster'!$B$5:$B$64,0)),""))</f>
        <v/>
      </c>
      <c r="E1746" s="13"/>
      <c r="F1746" s="14"/>
      <c r="G1746" s="8" t="str">
        <f>IF(OR(B1746="",E1746=""),"",IF(E1746="No","Missed",IF(F1746="","",IF(F1746&lt;=Settings!$B$7,"On time","Late"))))</f>
        <v/>
      </c>
      <c r="H1746" s="15"/>
      <c r="I1746" s="16"/>
      <c r="J1746" s="16"/>
      <c r="K1746" s="17" t="str">
        <f>IF(J1746="","",ROUND(J1746*Settings!$B$8,2))</f>
        <v/>
      </c>
      <c r="L1746" s="16"/>
      <c r="M1746" s="8" t="str">
        <f t="shared" si="27"/>
        <v/>
      </c>
      <c r="N1746" s="9"/>
    </row>
    <row r="1747" spans="1:14" ht="15.75">
      <c r="A1747" s="11"/>
      <c r="B1747" s="9"/>
      <c r="C1747" s="12" t="str">
        <f>IF(B1747="","",IFERROR(INDEX('Cashier Roster'!$C$5:$C$64,MATCH(B1747,'Cashier Roster'!$B$5:$B$64,0)),"Not on roster"))</f>
        <v/>
      </c>
      <c r="D1747" s="12" t="str">
        <f>IF(B1747="","",IFERROR(INDEX('Cashier Roster'!$D$5:$D$64,MATCH(B1747,'Cashier Roster'!$B$5:$B$64,0)),""))</f>
        <v/>
      </c>
      <c r="E1747" s="13"/>
      <c r="F1747" s="14"/>
      <c r="G1747" s="8" t="str">
        <f>IF(OR(B1747="",E1747=""),"",IF(E1747="No","Missed",IF(F1747="","",IF(F1747&lt;=Settings!$B$7,"On time","Late"))))</f>
        <v/>
      </c>
      <c r="H1747" s="15"/>
      <c r="I1747" s="16"/>
      <c r="J1747" s="16"/>
      <c r="K1747" s="17" t="str">
        <f>IF(J1747="","",ROUND(J1747*Settings!$B$8,2))</f>
        <v/>
      </c>
      <c r="L1747" s="16"/>
      <c r="M1747" s="8" t="str">
        <f t="shared" si="27"/>
        <v/>
      </c>
      <c r="N1747" s="9"/>
    </row>
    <row r="1748" spans="1:14" ht="15.75">
      <c r="A1748" s="11"/>
      <c r="B1748" s="9"/>
      <c r="C1748" s="12" t="str">
        <f>IF(B1748="","",IFERROR(INDEX('Cashier Roster'!$C$5:$C$64,MATCH(B1748,'Cashier Roster'!$B$5:$B$64,0)),"Not on roster"))</f>
        <v/>
      </c>
      <c r="D1748" s="12" t="str">
        <f>IF(B1748="","",IFERROR(INDEX('Cashier Roster'!$D$5:$D$64,MATCH(B1748,'Cashier Roster'!$B$5:$B$64,0)),""))</f>
        <v/>
      </c>
      <c r="E1748" s="13"/>
      <c r="F1748" s="14"/>
      <c r="G1748" s="8" t="str">
        <f>IF(OR(B1748="",E1748=""),"",IF(E1748="No","Missed",IF(F1748="","",IF(F1748&lt;=Settings!$B$7,"On time","Late"))))</f>
        <v/>
      </c>
      <c r="H1748" s="15"/>
      <c r="I1748" s="16"/>
      <c r="J1748" s="16"/>
      <c r="K1748" s="17" t="str">
        <f>IF(J1748="","",ROUND(J1748*Settings!$B$8,2))</f>
        <v/>
      </c>
      <c r="L1748" s="16"/>
      <c r="M1748" s="8" t="str">
        <f t="shared" si="27"/>
        <v/>
      </c>
      <c r="N1748" s="9"/>
    </row>
    <row r="1749" spans="1:14" ht="15.75">
      <c r="A1749" s="11"/>
      <c r="B1749" s="9"/>
      <c r="C1749" s="12" t="str">
        <f>IF(B1749="","",IFERROR(INDEX('Cashier Roster'!$C$5:$C$64,MATCH(B1749,'Cashier Roster'!$B$5:$B$64,0)),"Not on roster"))</f>
        <v/>
      </c>
      <c r="D1749" s="12" t="str">
        <f>IF(B1749="","",IFERROR(INDEX('Cashier Roster'!$D$5:$D$64,MATCH(B1749,'Cashier Roster'!$B$5:$B$64,0)),""))</f>
        <v/>
      </c>
      <c r="E1749" s="13"/>
      <c r="F1749" s="14"/>
      <c r="G1749" s="8" t="str">
        <f>IF(OR(B1749="",E1749=""),"",IF(E1749="No","Missed",IF(F1749="","",IF(F1749&lt;=Settings!$B$7,"On time","Late"))))</f>
        <v/>
      </c>
      <c r="H1749" s="15"/>
      <c r="I1749" s="16"/>
      <c r="J1749" s="16"/>
      <c r="K1749" s="17" t="str">
        <f>IF(J1749="","",ROUND(J1749*Settings!$B$8,2))</f>
        <v/>
      </c>
      <c r="L1749" s="16"/>
      <c r="M1749" s="8" t="str">
        <f t="shared" si="27"/>
        <v/>
      </c>
      <c r="N1749" s="9"/>
    </row>
    <row r="1750" spans="1:14" ht="15.75">
      <c r="A1750" s="11"/>
      <c r="B1750" s="9"/>
      <c r="C1750" s="12" t="str">
        <f>IF(B1750="","",IFERROR(INDEX('Cashier Roster'!$C$5:$C$64,MATCH(B1750,'Cashier Roster'!$B$5:$B$64,0)),"Not on roster"))</f>
        <v/>
      </c>
      <c r="D1750" s="12" t="str">
        <f>IF(B1750="","",IFERROR(INDEX('Cashier Roster'!$D$5:$D$64,MATCH(B1750,'Cashier Roster'!$B$5:$B$64,0)),""))</f>
        <v/>
      </c>
      <c r="E1750" s="13"/>
      <c r="F1750" s="14"/>
      <c r="G1750" s="8" t="str">
        <f>IF(OR(B1750="",E1750=""),"",IF(E1750="No","Missed",IF(F1750="","",IF(F1750&lt;=Settings!$B$7,"On time","Late"))))</f>
        <v/>
      </c>
      <c r="H1750" s="15"/>
      <c r="I1750" s="16"/>
      <c r="J1750" s="16"/>
      <c r="K1750" s="17" t="str">
        <f>IF(J1750="","",ROUND(J1750*Settings!$B$8,2))</f>
        <v/>
      </c>
      <c r="L1750" s="16"/>
      <c r="M1750" s="8" t="str">
        <f t="shared" si="27"/>
        <v/>
      </c>
      <c r="N1750" s="9"/>
    </row>
    <row r="1751" spans="1:14" ht="15.75">
      <c r="A1751" s="11"/>
      <c r="B1751" s="9"/>
      <c r="C1751" s="12" t="str">
        <f>IF(B1751="","",IFERROR(INDEX('Cashier Roster'!$C$5:$C$64,MATCH(B1751,'Cashier Roster'!$B$5:$B$64,0)),"Not on roster"))</f>
        <v/>
      </c>
      <c r="D1751" s="12" t="str">
        <f>IF(B1751="","",IFERROR(INDEX('Cashier Roster'!$D$5:$D$64,MATCH(B1751,'Cashier Roster'!$B$5:$B$64,0)),""))</f>
        <v/>
      </c>
      <c r="E1751" s="13"/>
      <c r="F1751" s="14"/>
      <c r="G1751" s="8" t="str">
        <f>IF(OR(B1751="",E1751=""),"",IF(E1751="No","Missed",IF(F1751="","",IF(F1751&lt;=Settings!$B$7,"On time","Late"))))</f>
        <v/>
      </c>
      <c r="H1751" s="15"/>
      <c r="I1751" s="16"/>
      <c r="J1751" s="16"/>
      <c r="K1751" s="17" t="str">
        <f>IF(J1751="","",ROUND(J1751*Settings!$B$8,2))</f>
        <v/>
      </c>
      <c r="L1751" s="16"/>
      <c r="M1751" s="8" t="str">
        <f t="shared" si="27"/>
        <v/>
      </c>
      <c r="N1751" s="9"/>
    </row>
    <row r="1752" spans="1:14" ht="15.75">
      <c r="A1752" s="11"/>
      <c r="B1752" s="9"/>
      <c r="C1752" s="12" t="str">
        <f>IF(B1752="","",IFERROR(INDEX('Cashier Roster'!$C$5:$C$64,MATCH(B1752,'Cashier Roster'!$B$5:$B$64,0)),"Not on roster"))</f>
        <v/>
      </c>
      <c r="D1752" s="12" t="str">
        <f>IF(B1752="","",IFERROR(INDEX('Cashier Roster'!$D$5:$D$64,MATCH(B1752,'Cashier Roster'!$B$5:$B$64,0)),""))</f>
        <v/>
      </c>
      <c r="E1752" s="13"/>
      <c r="F1752" s="14"/>
      <c r="G1752" s="8" t="str">
        <f>IF(OR(B1752="",E1752=""),"",IF(E1752="No","Missed",IF(F1752="","",IF(F1752&lt;=Settings!$B$7,"On time","Late"))))</f>
        <v/>
      </c>
      <c r="H1752" s="15"/>
      <c r="I1752" s="16"/>
      <c r="J1752" s="16"/>
      <c r="K1752" s="17" t="str">
        <f>IF(J1752="","",ROUND(J1752*Settings!$B$8,2))</f>
        <v/>
      </c>
      <c r="L1752" s="16"/>
      <c r="M1752" s="8" t="str">
        <f t="shared" si="27"/>
        <v/>
      </c>
      <c r="N1752" s="9"/>
    </row>
    <row r="1753" spans="1:14" ht="15.75">
      <c r="A1753" s="11"/>
      <c r="B1753" s="9"/>
      <c r="C1753" s="12" t="str">
        <f>IF(B1753="","",IFERROR(INDEX('Cashier Roster'!$C$5:$C$64,MATCH(B1753,'Cashier Roster'!$B$5:$B$64,0)),"Not on roster"))</f>
        <v/>
      </c>
      <c r="D1753" s="12" t="str">
        <f>IF(B1753="","",IFERROR(INDEX('Cashier Roster'!$D$5:$D$64,MATCH(B1753,'Cashier Roster'!$B$5:$B$64,0)),""))</f>
        <v/>
      </c>
      <c r="E1753" s="13"/>
      <c r="F1753" s="14"/>
      <c r="G1753" s="8" t="str">
        <f>IF(OR(B1753="",E1753=""),"",IF(E1753="No","Missed",IF(F1753="","",IF(F1753&lt;=Settings!$B$7,"On time","Late"))))</f>
        <v/>
      </c>
      <c r="H1753" s="15"/>
      <c r="I1753" s="16"/>
      <c r="J1753" s="16"/>
      <c r="K1753" s="17" t="str">
        <f>IF(J1753="","",ROUND(J1753*Settings!$B$8,2))</f>
        <v/>
      </c>
      <c r="L1753" s="16"/>
      <c r="M1753" s="8" t="str">
        <f t="shared" si="27"/>
        <v/>
      </c>
      <c r="N1753" s="9"/>
    </row>
    <row r="1754" spans="1:14" ht="15.75">
      <c r="A1754" s="11"/>
      <c r="B1754" s="9"/>
      <c r="C1754" s="12" t="str">
        <f>IF(B1754="","",IFERROR(INDEX('Cashier Roster'!$C$5:$C$64,MATCH(B1754,'Cashier Roster'!$B$5:$B$64,0)),"Not on roster"))</f>
        <v/>
      </c>
      <c r="D1754" s="12" t="str">
        <f>IF(B1754="","",IFERROR(INDEX('Cashier Roster'!$D$5:$D$64,MATCH(B1754,'Cashier Roster'!$B$5:$B$64,0)),""))</f>
        <v/>
      </c>
      <c r="E1754" s="13"/>
      <c r="F1754" s="14"/>
      <c r="G1754" s="8" t="str">
        <f>IF(OR(B1754="",E1754=""),"",IF(E1754="No","Missed",IF(F1754="","",IF(F1754&lt;=Settings!$B$7,"On time","Late"))))</f>
        <v/>
      </c>
      <c r="H1754" s="15"/>
      <c r="I1754" s="16"/>
      <c r="J1754" s="16"/>
      <c r="K1754" s="17" t="str">
        <f>IF(J1754="","",ROUND(J1754*Settings!$B$8,2))</f>
        <v/>
      </c>
      <c r="L1754" s="16"/>
      <c r="M1754" s="8" t="str">
        <f t="shared" si="27"/>
        <v/>
      </c>
      <c r="N1754" s="9"/>
    </row>
    <row r="1755" spans="1:14" ht="15.75">
      <c r="A1755" s="11"/>
      <c r="B1755" s="9"/>
      <c r="C1755" s="12" t="str">
        <f>IF(B1755="","",IFERROR(INDEX('Cashier Roster'!$C$5:$C$64,MATCH(B1755,'Cashier Roster'!$B$5:$B$64,0)),"Not on roster"))</f>
        <v/>
      </c>
      <c r="D1755" s="12" t="str">
        <f>IF(B1755="","",IFERROR(INDEX('Cashier Roster'!$D$5:$D$64,MATCH(B1755,'Cashier Roster'!$B$5:$B$64,0)),""))</f>
        <v/>
      </c>
      <c r="E1755" s="13"/>
      <c r="F1755" s="14"/>
      <c r="G1755" s="8" t="str">
        <f>IF(OR(B1755="",E1755=""),"",IF(E1755="No","Missed",IF(F1755="","",IF(F1755&lt;=Settings!$B$7,"On time","Late"))))</f>
        <v/>
      </c>
      <c r="H1755" s="15"/>
      <c r="I1755" s="16"/>
      <c r="J1755" s="16"/>
      <c r="K1755" s="17" t="str">
        <f>IF(J1755="","",ROUND(J1755*Settings!$B$8,2))</f>
        <v/>
      </c>
      <c r="L1755" s="16"/>
      <c r="M1755" s="8" t="str">
        <f t="shared" si="27"/>
        <v/>
      </c>
      <c r="N1755" s="9"/>
    </row>
    <row r="1756" spans="1:14" ht="15.75">
      <c r="A1756" s="11"/>
      <c r="B1756" s="9"/>
      <c r="C1756" s="12" t="str">
        <f>IF(B1756="","",IFERROR(INDEX('Cashier Roster'!$C$5:$C$64,MATCH(B1756,'Cashier Roster'!$B$5:$B$64,0)),"Not on roster"))</f>
        <v/>
      </c>
      <c r="D1756" s="12" t="str">
        <f>IF(B1756="","",IFERROR(INDEX('Cashier Roster'!$D$5:$D$64,MATCH(B1756,'Cashier Roster'!$B$5:$B$64,0)),""))</f>
        <v/>
      </c>
      <c r="E1756" s="13"/>
      <c r="F1756" s="14"/>
      <c r="G1756" s="8" t="str">
        <f>IF(OR(B1756="",E1756=""),"",IF(E1756="No","Missed",IF(F1756="","",IF(F1756&lt;=Settings!$B$7,"On time","Late"))))</f>
        <v/>
      </c>
      <c r="H1756" s="15"/>
      <c r="I1756" s="16"/>
      <c r="J1756" s="16"/>
      <c r="K1756" s="17" t="str">
        <f>IF(J1756="","",ROUND(J1756*Settings!$B$8,2))</f>
        <v/>
      </c>
      <c r="L1756" s="16"/>
      <c r="M1756" s="8" t="str">
        <f t="shared" si="27"/>
        <v/>
      </c>
      <c r="N1756" s="9"/>
    </row>
    <row r="1757" spans="1:14" ht="15.75">
      <c r="A1757" s="11"/>
      <c r="B1757" s="9"/>
      <c r="C1757" s="12" t="str">
        <f>IF(B1757="","",IFERROR(INDEX('Cashier Roster'!$C$5:$C$64,MATCH(B1757,'Cashier Roster'!$B$5:$B$64,0)),"Not on roster"))</f>
        <v/>
      </c>
      <c r="D1757" s="12" t="str">
        <f>IF(B1757="","",IFERROR(INDEX('Cashier Roster'!$D$5:$D$64,MATCH(B1757,'Cashier Roster'!$B$5:$B$64,0)),""))</f>
        <v/>
      </c>
      <c r="E1757" s="13"/>
      <c r="F1757" s="14"/>
      <c r="G1757" s="8" t="str">
        <f>IF(OR(B1757="",E1757=""),"",IF(E1757="No","Missed",IF(F1757="","",IF(F1757&lt;=Settings!$B$7,"On time","Late"))))</f>
        <v/>
      </c>
      <c r="H1757" s="15"/>
      <c r="I1757" s="16"/>
      <c r="J1757" s="16"/>
      <c r="K1757" s="17" t="str">
        <f>IF(J1757="","",ROUND(J1757*Settings!$B$8,2))</f>
        <v/>
      </c>
      <c r="L1757" s="16"/>
      <c r="M1757" s="8" t="str">
        <f t="shared" si="27"/>
        <v/>
      </c>
      <c r="N1757" s="9"/>
    </row>
    <row r="1758" spans="1:14" ht="15.75">
      <c r="A1758" s="11"/>
      <c r="B1758" s="9"/>
      <c r="C1758" s="12" t="str">
        <f>IF(B1758="","",IFERROR(INDEX('Cashier Roster'!$C$5:$C$64,MATCH(B1758,'Cashier Roster'!$B$5:$B$64,0)),"Not on roster"))</f>
        <v/>
      </c>
      <c r="D1758" s="12" t="str">
        <f>IF(B1758="","",IFERROR(INDEX('Cashier Roster'!$D$5:$D$64,MATCH(B1758,'Cashier Roster'!$B$5:$B$64,0)),""))</f>
        <v/>
      </c>
      <c r="E1758" s="13"/>
      <c r="F1758" s="14"/>
      <c r="G1758" s="8" t="str">
        <f>IF(OR(B1758="",E1758=""),"",IF(E1758="No","Missed",IF(F1758="","",IF(F1758&lt;=Settings!$B$7,"On time","Late"))))</f>
        <v/>
      </c>
      <c r="H1758" s="15"/>
      <c r="I1758" s="16"/>
      <c r="J1758" s="16"/>
      <c r="K1758" s="17" t="str">
        <f>IF(J1758="","",ROUND(J1758*Settings!$B$8,2))</f>
        <v/>
      </c>
      <c r="L1758" s="16"/>
      <c r="M1758" s="8" t="str">
        <f t="shared" si="27"/>
        <v/>
      </c>
      <c r="N1758" s="9"/>
    </row>
    <row r="1759" spans="1:14" ht="15.75">
      <c r="A1759" s="11"/>
      <c r="B1759" s="9"/>
      <c r="C1759" s="12" t="str">
        <f>IF(B1759="","",IFERROR(INDEX('Cashier Roster'!$C$5:$C$64,MATCH(B1759,'Cashier Roster'!$B$5:$B$64,0)),"Not on roster"))</f>
        <v/>
      </c>
      <c r="D1759" s="12" t="str">
        <f>IF(B1759="","",IFERROR(INDEX('Cashier Roster'!$D$5:$D$64,MATCH(B1759,'Cashier Roster'!$B$5:$B$64,0)),""))</f>
        <v/>
      </c>
      <c r="E1759" s="13"/>
      <c r="F1759" s="14"/>
      <c r="G1759" s="8" t="str">
        <f>IF(OR(B1759="",E1759=""),"",IF(E1759="No","Missed",IF(F1759="","",IF(F1759&lt;=Settings!$B$7,"On time","Late"))))</f>
        <v/>
      </c>
      <c r="H1759" s="15"/>
      <c r="I1759" s="16"/>
      <c r="J1759" s="16"/>
      <c r="K1759" s="17" t="str">
        <f>IF(J1759="","",ROUND(J1759*Settings!$B$8,2))</f>
        <v/>
      </c>
      <c r="L1759" s="16"/>
      <c r="M1759" s="8" t="str">
        <f t="shared" si="27"/>
        <v/>
      </c>
      <c r="N1759" s="9"/>
    </row>
    <row r="1760" spans="1:14" ht="15.75">
      <c r="A1760" s="11"/>
      <c r="B1760" s="9"/>
      <c r="C1760" s="12" t="str">
        <f>IF(B1760="","",IFERROR(INDEX('Cashier Roster'!$C$5:$C$64,MATCH(B1760,'Cashier Roster'!$B$5:$B$64,0)),"Not on roster"))</f>
        <v/>
      </c>
      <c r="D1760" s="12" t="str">
        <f>IF(B1760="","",IFERROR(INDEX('Cashier Roster'!$D$5:$D$64,MATCH(B1760,'Cashier Roster'!$B$5:$B$64,0)),""))</f>
        <v/>
      </c>
      <c r="E1760" s="13"/>
      <c r="F1760" s="14"/>
      <c r="G1760" s="8" t="str">
        <f>IF(OR(B1760="",E1760=""),"",IF(E1760="No","Missed",IF(F1760="","",IF(F1760&lt;=Settings!$B$7,"On time","Late"))))</f>
        <v/>
      </c>
      <c r="H1760" s="15"/>
      <c r="I1760" s="16"/>
      <c r="J1760" s="16"/>
      <c r="K1760" s="17" t="str">
        <f>IF(J1760="","",ROUND(J1760*Settings!$B$8,2))</f>
        <v/>
      </c>
      <c r="L1760" s="16"/>
      <c r="M1760" s="8" t="str">
        <f t="shared" si="27"/>
        <v/>
      </c>
      <c r="N1760" s="9"/>
    </row>
    <row r="1761" spans="1:14" ht="15.75">
      <c r="A1761" s="11"/>
      <c r="B1761" s="9"/>
      <c r="C1761" s="12" t="str">
        <f>IF(B1761="","",IFERROR(INDEX('Cashier Roster'!$C$5:$C$64,MATCH(B1761,'Cashier Roster'!$B$5:$B$64,0)),"Not on roster"))</f>
        <v/>
      </c>
      <c r="D1761" s="12" t="str">
        <f>IF(B1761="","",IFERROR(INDEX('Cashier Roster'!$D$5:$D$64,MATCH(B1761,'Cashier Roster'!$B$5:$B$64,0)),""))</f>
        <v/>
      </c>
      <c r="E1761" s="13"/>
      <c r="F1761" s="14"/>
      <c r="G1761" s="8" t="str">
        <f>IF(OR(B1761="",E1761=""),"",IF(E1761="No","Missed",IF(F1761="","",IF(F1761&lt;=Settings!$B$7,"On time","Late"))))</f>
        <v/>
      </c>
      <c r="H1761" s="15"/>
      <c r="I1761" s="16"/>
      <c r="J1761" s="16"/>
      <c r="K1761" s="17" t="str">
        <f>IF(J1761="","",ROUND(J1761*Settings!$B$8,2))</f>
        <v/>
      </c>
      <c r="L1761" s="16"/>
      <c r="M1761" s="8" t="str">
        <f t="shared" si="27"/>
        <v/>
      </c>
      <c r="N1761" s="9"/>
    </row>
    <row r="1762" spans="1:14" ht="15.75">
      <c r="A1762" s="11"/>
      <c r="B1762" s="9"/>
      <c r="C1762" s="12" t="str">
        <f>IF(B1762="","",IFERROR(INDEX('Cashier Roster'!$C$5:$C$64,MATCH(B1762,'Cashier Roster'!$B$5:$B$64,0)),"Not on roster"))</f>
        <v/>
      </c>
      <c r="D1762" s="12" t="str">
        <f>IF(B1762="","",IFERROR(INDEX('Cashier Roster'!$D$5:$D$64,MATCH(B1762,'Cashier Roster'!$B$5:$B$64,0)),""))</f>
        <v/>
      </c>
      <c r="E1762" s="13"/>
      <c r="F1762" s="14"/>
      <c r="G1762" s="8" t="str">
        <f>IF(OR(B1762="",E1762=""),"",IF(E1762="No","Missed",IF(F1762="","",IF(F1762&lt;=Settings!$B$7,"On time","Late"))))</f>
        <v/>
      </c>
      <c r="H1762" s="15"/>
      <c r="I1762" s="16"/>
      <c r="J1762" s="16"/>
      <c r="K1762" s="17" t="str">
        <f>IF(J1762="","",ROUND(J1762*Settings!$B$8,2))</f>
        <v/>
      </c>
      <c r="L1762" s="16"/>
      <c r="M1762" s="8" t="str">
        <f t="shared" si="27"/>
        <v/>
      </c>
      <c r="N1762" s="9"/>
    </row>
    <row r="1763" spans="1:14" ht="15.75">
      <c r="A1763" s="11"/>
      <c r="B1763" s="9"/>
      <c r="C1763" s="12" t="str">
        <f>IF(B1763="","",IFERROR(INDEX('Cashier Roster'!$C$5:$C$64,MATCH(B1763,'Cashier Roster'!$B$5:$B$64,0)),"Not on roster"))</f>
        <v/>
      </c>
      <c r="D1763" s="12" t="str">
        <f>IF(B1763="","",IFERROR(INDEX('Cashier Roster'!$D$5:$D$64,MATCH(B1763,'Cashier Roster'!$B$5:$B$64,0)),""))</f>
        <v/>
      </c>
      <c r="E1763" s="13"/>
      <c r="F1763" s="14"/>
      <c r="G1763" s="8" t="str">
        <f>IF(OR(B1763="",E1763=""),"",IF(E1763="No","Missed",IF(F1763="","",IF(F1763&lt;=Settings!$B$7,"On time","Late"))))</f>
        <v/>
      </c>
      <c r="H1763" s="15"/>
      <c r="I1763" s="16"/>
      <c r="J1763" s="16"/>
      <c r="K1763" s="17" t="str">
        <f>IF(J1763="","",ROUND(J1763*Settings!$B$8,2))</f>
        <v/>
      </c>
      <c r="L1763" s="16"/>
      <c r="M1763" s="8" t="str">
        <f t="shared" si="27"/>
        <v/>
      </c>
      <c r="N1763" s="9"/>
    </row>
    <row r="1764" spans="1:14" ht="15.75">
      <c r="A1764" s="11"/>
      <c r="B1764" s="9"/>
      <c r="C1764" s="12" t="str">
        <f>IF(B1764="","",IFERROR(INDEX('Cashier Roster'!$C$5:$C$64,MATCH(B1764,'Cashier Roster'!$B$5:$B$64,0)),"Not on roster"))</f>
        <v/>
      </c>
      <c r="D1764" s="12" t="str">
        <f>IF(B1764="","",IFERROR(INDEX('Cashier Roster'!$D$5:$D$64,MATCH(B1764,'Cashier Roster'!$B$5:$B$64,0)),""))</f>
        <v/>
      </c>
      <c r="E1764" s="13"/>
      <c r="F1764" s="14"/>
      <c r="G1764" s="8" t="str">
        <f>IF(OR(B1764="",E1764=""),"",IF(E1764="No","Missed",IF(F1764="","",IF(F1764&lt;=Settings!$B$7,"On time","Late"))))</f>
        <v/>
      </c>
      <c r="H1764" s="15"/>
      <c r="I1764" s="16"/>
      <c r="J1764" s="16"/>
      <c r="K1764" s="17" t="str">
        <f>IF(J1764="","",ROUND(J1764*Settings!$B$8,2))</f>
        <v/>
      </c>
      <c r="L1764" s="16"/>
      <c r="M1764" s="8" t="str">
        <f t="shared" si="27"/>
        <v/>
      </c>
      <c r="N1764" s="9"/>
    </row>
    <row r="1765" spans="1:14" ht="15.75">
      <c r="A1765" s="11"/>
      <c r="B1765" s="9"/>
      <c r="C1765" s="12" t="str">
        <f>IF(B1765="","",IFERROR(INDEX('Cashier Roster'!$C$5:$C$64,MATCH(B1765,'Cashier Roster'!$B$5:$B$64,0)),"Not on roster"))</f>
        <v/>
      </c>
      <c r="D1765" s="12" t="str">
        <f>IF(B1765="","",IFERROR(INDEX('Cashier Roster'!$D$5:$D$64,MATCH(B1765,'Cashier Roster'!$B$5:$B$64,0)),""))</f>
        <v/>
      </c>
      <c r="E1765" s="13"/>
      <c r="F1765" s="14"/>
      <c r="G1765" s="8" t="str">
        <f>IF(OR(B1765="",E1765=""),"",IF(E1765="No","Missed",IF(F1765="","",IF(F1765&lt;=Settings!$B$7,"On time","Late"))))</f>
        <v/>
      </c>
      <c r="H1765" s="15"/>
      <c r="I1765" s="16"/>
      <c r="J1765" s="16"/>
      <c r="K1765" s="17" t="str">
        <f>IF(J1765="","",ROUND(J1765*Settings!$B$8,2))</f>
        <v/>
      </c>
      <c r="L1765" s="16"/>
      <c r="M1765" s="8" t="str">
        <f t="shared" si="27"/>
        <v/>
      </c>
      <c r="N1765" s="9"/>
    </row>
    <row r="1766" spans="1:14" ht="15.75">
      <c r="A1766" s="11"/>
      <c r="B1766" s="9"/>
      <c r="C1766" s="12" t="str">
        <f>IF(B1766="","",IFERROR(INDEX('Cashier Roster'!$C$5:$C$64,MATCH(B1766,'Cashier Roster'!$B$5:$B$64,0)),"Not on roster"))</f>
        <v/>
      </c>
      <c r="D1766" s="12" t="str">
        <f>IF(B1766="","",IFERROR(INDEX('Cashier Roster'!$D$5:$D$64,MATCH(B1766,'Cashier Roster'!$B$5:$B$64,0)),""))</f>
        <v/>
      </c>
      <c r="E1766" s="13"/>
      <c r="F1766" s="14"/>
      <c r="G1766" s="8" t="str">
        <f>IF(OR(B1766="",E1766=""),"",IF(E1766="No","Missed",IF(F1766="","",IF(F1766&lt;=Settings!$B$7,"On time","Late"))))</f>
        <v/>
      </c>
      <c r="H1766" s="15"/>
      <c r="I1766" s="16"/>
      <c r="J1766" s="16"/>
      <c r="K1766" s="17" t="str">
        <f>IF(J1766="","",ROUND(J1766*Settings!$B$8,2))</f>
        <v/>
      </c>
      <c r="L1766" s="16"/>
      <c r="M1766" s="8" t="str">
        <f t="shared" si="27"/>
        <v/>
      </c>
      <c r="N1766" s="9"/>
    </row>
    <row r="1767" spans="1:14" ht="15.75">
      <c r="A1767" s="11"/>
      <c r="B1767" s="9"/>
      <c r="C1767" s="12" t="str">
        <f>IF(B1767="","",IFERROR(INDEX('Cashier Roster'!$C$5:$C$64,MATCH(B1767,'Cashier Roster'!$B$5:$B$64,0)),"Not on roster"))</f>
        <v/>
      </c>
      <c r="D1767" s="12" t="str">
        <f>IF(B1767="","",IFERROR(INDEX('Cashier Roster'!$D$5:$D$64,MATCH(B1767,'Cashier Roster'!$B$5:$B$64,0)),""))</f>
        <v/>
      </c>
      <c r="E1767" s="13"/>
      <c r="F1767" s="14"/>
      <c r="G1767" s="8" t="str">
        <f>IF(OR(B1767="",E1767=""),"",IF(E1767="No","Missed",IF(F1767="","",IF(F1767&lt;=Settings!$B$7,"On time","Late"))))</f>
        <v/>
      </c>
      <c r="H1767" s="15"/>
      <c r="I1767" s="16"/>
      <c r="J1767" s="16"/>
      <c r="K1767" s="17" t="str">
        <f>IF(J1767="","",ROUND(J1767*Settings!$B$8,2))</f>
        <v/>
      </c>
      <c r="L1767" s="16"/>
      <c r="M1767" s="8" t="str">
        <f t="shared" si="27"/>
        <v/>
      </c>
      <c r="N1767" s="9"/>
    </row>
    <row r="1768" spans="1:14" ht="15.75">
      <c r="A1768" s="11"/>
      <c r="B1768" s="9"/>
      <c r="C1768" s="12" t="str">
        <f>IF(B1768="","",IFERROR(INDEX('Cashier Roster'!$C$5:$C$64,MATCH(B1768,'Cashier Roster'!$B$5:$B$64,0)),"Not on roster"))</f>
        <v/>
      </c>
      <c r="D1768" s="12" t="str">
        <f>IF(B1768="","",IFERROR(INDEX('Cashier Roster'!$D$5:$D$64,MATCH(B1768,'Cashier Roster'!$B$5:$B$64,0)),""))</f>
        <v/>
      </c>
      <c r="E1768" s="13"/>
      <c r="F1768" s="14"/>
      <c r="G1768" s="8" t="str">
        <f>IF(OR(B1768="",E1768=""),"",IF(E1768="No","Missed",IF(F1768="","",IF(F1768&lt;=Settings!$B$7,"On time","Late"))))</f>
        <v/>
      </c>
      <c r="H1768" s="15"/>
      <c r="I1768" s="16"/>
      <c r="J1768" s="16"/>
      <c r="K1768" s="17" t="str">
        <f>IF(J1768="","",ROUND(J1768*Settings!$B$8,2))</f>
        <v/>
      </c>
      <c r="L1768" s="16"/>
      <c r="M1768" s="8" t="str">
        <f t="shared" si="27"/>
        <v/>
      </c>
      <c r="N1768" s="9"/>
    </row>
    <row r="1769" spans="1:14" ht="15.75">
      <c r="A1769" s="11"/>
      <c r="B1769" s="9"/>
      <c r="C1769" s="12" t="str">
        <f>IF(B1769="","",IFERROR(INDEX('Cashier Roster'!$C$5:$C$64,MATCH(B1769,'Cashier Roster'!$B$5:$B$64,0)),"Not on roster"))</f>
        <v/>
      </c>
      <c r="D1769" s="12" t="str">
        <f>IF(B1769="","",IFERROR(INDEX('Cashier Roster'!$D$5:$D$64,MATCH(B1769,'Cashier Roster'!$B$5:$B$64,0)),""))</f>
        <v/>
      </c>
      <c r="E1769" s="13"/>
      <c r="F1769" s="14"/>
      <c r="G1769" s="8" t="str">
        <f>IF(OR(B1769="",E1769=""),"",IF(E1769="No","Missed",IF(F1769="","",IF(F1769&lt;=Settings!$B$7,"On time","Late"))))</f>
        <v/>
      </c>
      <c r="H1769" s="15"/>
      <c r="I1769" s="16"/>
      <c r="J1769" s="16"/>
      <c r="K1769" s="17" t="str">
        <f>IF(J1769="","",ROUND(J1769*Settings!$B$8,2))</f>
        <v/>
      </c>
      <c r="L1769" s="16"/>
      <c r="M1769" s="8" t="str">
        <f t="shared" si="27"/>
        <v/>
      </c>
      <c r="N1769" s="9"/>
    </row>
    <row r="1770" spans="1:14" ht="15.75">
      <c r="A1770" s="11"/>
      <c r="B1770" s="9"/>
      <c r="C1770" s="12" t="str">
        <f>IF(B1770="","",IFERROR(INDEX('Cashier Roster'!$C$5:$C$64,MATCH(B1770,'Cashier Roster'!$B$5:$B$64,0)),"Not on roster"))</f>
        <v/>
      </c>
      <c r="D1770" s="12" t="str">
        <f>IF(B1770="","",IFERROR(INDEX('Cashier Roster'!$D$5:$D$64,MATCH(B1770,'Cashier Roster'!$B$5:$B$64,0)),""))</f>
        <v/>
      </c>
      <c r="E1770" s="13"/>
      <c r="F1770" s="14"/>
      <c r="G1770" s="8" t="str">
        <f>IF(OR(B1770="",E1770=""),"",IF(E1770="No","Missed",IF(F1770="","",IF(F1770&lt;=Settings!$B$7,"On time","Late"))))</f>
        <v/>
      </c>
      <c r="H1770" s="15"/>
      <c r="I1770" s="16"/>
      <c r="J1770" s="16"/>
      <c r="K1770" s="17" t="str">
        <f>IF(J1770="","",ROUND(J1770*Settings!$B$8,2))</f>
        <v/>
      </c>
      <c r="L1770" s="16"/>
      <c r="M1770" s="8" t="str">
        <f t="shared" si="27"/>
        <v/>
      </c>
      <c r="N1770" s="9"/>
    </row>
    <row r="1771" spans="1:14" ht="15.75">
      <c r="A1771" s="11"/>
      <c r="B1771" s="9"/>
      <c r="C1771" s="12" t="str">
        <f>IF(B1771="","",IFERROR(INDEX('Cashier Roster'!$C$5:$C$64,MATCH(B1771,'Cashier Roster'!$B$5:$B$64,0)),"Not on roster"))</f>
        <v/>
      </c>
      <c r="D1771" s="12" t="str">
        <f>IF(B1771="","",IFERROR(INDEX('Cashier Roster'!$D$5:$D$64,MATCH(B1771,'Cashier Roster'!$B$5:$B$64,0)),""))</f>
        <v/>
      </c>
      <c r="E1771" s="13"/>
      <c r="F1771" s="14"/>
      <c r="G1771" s="8" t="str">
        <f>IF(OR(B1771="",E1771=""),"",IF(E1771="No","Missed",IF(F1771="","",IF(F1771&lt;=Settings!$B$7,"On time","Late"))))</f>
        <v/>
      </c>
      <c r="H1771" s="15"/>
      <c r="I1771" s="16"/>
      <c r="J1771" s="16"/>
      <c r="K1771" s="17" t="str">
        <f>IF(J1771="","",ROUND(J1771*Settings!$B$8,2))</f>
        <v/>
      </c>
      <c r="L1771" s="16"/>
      <c r="M1771" s="8" t="str">
        <f t="shared" si="27"/>
        <v/>
      </c>
      <c r="N1771" s="9"/>
    </row>
    <row r="1772" spans="1:14" ht="15.75">
      <c r="A1772" s="11"/>
      <c r="B1772" s="9"/>
      <c r="C1772" s="12" t="str">
        <f>IF(B1772="","",IFERROR(INDEX('Cashier Roster'!$C$5:$C$64,MATCH(B1772,'Cashier Roster'!$B$5:$B$64,0)),"Not on roster"))</f>
        <v/>
      </c>
      <c r="D1772" s="12" t="str">
        <f>IF(B1772="","",IFERROR(INDEX('Cashier Roster'!$D$5:$D$64,MATCH(B1772,'Cashier Roster'!$B$5:$B$64,0)),""))</f>
        <v/>
      </c>
      <c r="E1772" s="13"/>
      <c r="F1772" s="14"/>
      <c r="G1772" s="8" t="str">
        <f>IF(OR(B1772="",E1772=""),"",IF(E1772="No","Missed",IF(F1772="","",IF(F1772&lt;=Settings!$B$7,"On time","Late"))))</f>
        <v/>
      </c>
      <c r="H1772" s="15"/>
      <c r="I1772" s="16"/>
      <c r="J1772" s="16"/>
      <c r="K1772" s="17" t="str">
        <f>IF(J1772="","",ROUND(J1772*Settings!$B$8,2))</f>
        <v/>
      </c>
      <c r="L1772" s="16"/>
      <c r="M1772" s="8" t="str">
        <f t="shared" si="27"/>
        <v/>
      </c>
      <c r="N1772" s="9"/>
    </row>
    <row r="1773" spans="1:14" ht="15.75">
      <c r="A1773" s="11"/>
      <c r="B1773" s="9"/>
      <c r="C1773" s="12" t="str">
        <f>IF(B1773="","",IFERROR(INDEX('Cashier Roster'!$C$5:$C$64,MATCH(B1773,'Cashier Roster'!$B$5:$B$64,0)),"Not on roster"))</f>
        <v/>
      </c>
      <c r="D1773" s="12" t="str">
        <f>IF(B1773="","",IFERROR(INDEX('Cashier Roster'!$D$5:$D$64,MATCH(B1773,'Cashier Roster'!$B$5:$B$64,0)),""))</f>
        <v/>
      </c>
      <c r="E1773" s="13"/>
      <c r="F1773" s="14"/>
      <c r="G1773" s="8" t="str">
        <f>IF(OR(B1773="",E1773=""),"",IF(E1773="No","Missed",IF(F1773="","",IF(F1773&lt;=Settings!$B$7,"On time","Late"))))</f>
        <v/>
      </c>
      <c r="H1773" s="15"/>
      <c r="I1773" s="16"/>
      <c r="J1773" s="16"/>
      <c r="K1773" s="17" t="str">
        <f>IF(J1773="","",ROUND(J1773*Settings!$B$8,2))</f>
        <v/>
      </c>
      <c r="L1773" s="16"/>
      <c r="M1773" s="8" t="str">
        <f t="shared" si="27"/>
        <v/>
      </c>
      <c r="N1773" s="9"/>
    </row>
    <row r="1774" spans="1:14" ht="15.75">
      <c r="A1774" s="11"/>
      <c r="B1774" s="9"/>
      <c r="C1774" s="12" t="str">
        <f>IF(B1774="","",IFERROR(INDEX('Cashier Roster'!$C$5:$C$64,MATCH(B1774,'Cashier Roster'!$B$5:$B$64,0)),"Not on roster"))</f>
        <v/>
      </c>
      <c r="D1774" s="12" t="str">
        <f>IF(B1774="","",IFERROR(INDEX('Cashier Roster'!$D$5:$D$64,MATCH(B1774,'Cashier Roster'!$B$5:$B$64,0)),""))</f>
        <v/>
      </c>
      <c r="E1774" s="13"/>
      <c r="F1774" s="14"/>
      <c r="G1774" s="8" t="str">
        <f>IF(OR(B1774="",E1774=""),"",IF(E1774="No","Missed",IF(F1774="","",IF(F1774&lt;=Settings!$B$7,"On time","Late"))))</f>
        <v/>
      </c>
      <c r="H1774" s="15"/>
      <c r="I1774" s="16"/>
      <c r="J1774" s="16"/>
      <c r="K1774" s="17" t="str">
        <f>IF(J1774="","",ROUND(J1774*Settings!$B$8,2))</f>
        <v/>
      </c>
      <c r="L1774" s="16"/>
      <c r="M1774" s="8" t="str">
        <f t="shared" si="27"/>
        <v/>
      </c>
      <c r="N1774" s="9"/>
    </row>
    <row r="1775" spans="1:14" ht="15.75">
      <c r="A1775" s="11"/>
      <c r="B1775" s="9"/>
      <c r="C1775" s="12" t="str">
        <f>IF(B1775="","",IFERROR(INDEX('Cashier Roster'!$C$5:$C$64,MATCH(B1775,'Cashier Roster'!$B$5:$B$64,0)),"Not on roster"))</f>
        <v/>
      </c>
      <c r="D1775" s="12" t="str">
        <f>IF(B1775="","",IFERROR(INDEX('Cashier Roster'!$D$5:$D$64,MATCH(B1775,'Cashier Roster'!$B$5:$B$64,0)),""))</f>
        <v/>
      </c>
      <c r="E1775" s="13"/>
      <c r="F1775" s="14"/>
      <c r="G1775" s="8" t="str">
        <f>IF(OR(B1775="",E1775=""),"",IF(E1775="No","Missed",IF(F1775="","",IF(F1775&lt;=Settings!$B$7,"On time","Late"))))</f>
        <v/>
      </c>
      <c r="H1775" s="15"/>
      <c r="I1775" s="16"/>
      <c r="J1775" s="16"/>
      <c r="K1775" s="17" t="str">
        <f>IF(J1775="","",ROUND(J1775*Settings!$B$8,2))</f>
        <v/>
      </c>
      <c r="L1775" s="16"/>
      <c r="M1775" s="8" t="str">
        <f t="shared" si="27"/>
        <v/>
      </c>
      <c r="N1775" s="9"/>
    </row>
    <row r="1776" spans="1:14" ht="15.75">
      <c r="A1776" s="11"/>
      <c r="B1776" s="9"/>
      <c r="C1776" s="12" t="str">
        <f>IF(B1776="","",IFERROR(INDEX('Cashier Roster'!$C$5:$C$64,MATCH(B1776,'Cashier Roster'!$B$5:$B$64,0)),"Not on roster"))</f>
        <v/>
      </c>
      <c r="D1776" s="12" t="str">
        <f>IF(B1776="","",IFERROR(INDEX('Cashier Roster'!$D$5:$D$64,MATCH(B1776,'Cashier Roster'!$B$5:$B$64,0)),""))</f>
        <v/>
      </c>
      <c r="E1776" s="13"/>
      <c r="F1776" s="14"/>
      <c r="G1776" s="8" t="str">
        <f>IF(OR(B1776="",E1776=""),"",IF(E1776="No","Missed",IF(F1776="","",IF(F1776&lt;=Settings!$B$7,"On time","Late"))))</f>
        <v/>
      </c>
      <c r="H1776" s="15"/>
      <c r="I1776" s="16"/>
      <c r="J1776" s="16"/>
      <c r="K1776" s="17" t="str">
        <f>IF(J1776="","",ROUND(J1776*Settings!$B$8,2))</f>
        <v/>
      </c>
      <c r="L1776" s="16"/>
      <c r="M1776" s="8" t="str">
        <f t="shared" si="27"/>
        <v/>
      </c>
      <c r="N1776" s="9"/>
    </row>
    <row r="1777" spans="1:14" ht="15.75">
      <c r="A1777" s="11"/>
      <c r="B1777" s="9"/>
      <c r="C1777" s="12" t="str">
        <f>IF(B1777="","",IFERROR(INDEX('Cashier Roster'!$C$5:$C$64,MATCH(B1777,'Cashier Roster'!$B$5:$B$64,0)),"Not on roster"))</f>
        <v/>
      </c>
      <c r="D1777" s="12" t="str">
        <f>IF(B1777="","",IFERROR(INDEX('Cashier Roster'!$D$5:$D$64,MATCH(B1777,'Cashier Roster'!$B$5:$B$64,0)),""))</f>
        <v/>
      </c>
      <c r="E1777" s="13"/>
      <c r="F1777" s="14"/>
      <c r="G1777" s="8" t="str">
        <f>IF(OR(B1777="",E1777=""),"",IF(E1777="No","Missed",IF(F1777="","",IF(F1777&lt;=Settings!$B$7,"On time","Late"))))</f>
        <v/>
      </c>
      <c r="H1777" s="15"/>
      <c r="I1777" s="16"/>
      <c r="J1777" s="16"/>
      <c r="K1777" s="17" t="str">
        <f>IF(J1777="","",ROUND(J1777*Settings!$B$8,2))</f>
        <v/>
      </c>
      <c r="L1777" s="16"/>
      <c r="M1777" s="8" t="str">
        <f t="shared" si="27"/>
        <v/>
      </c>
      <c r="N1777" s="9"/>
    </row>
    <row r="1778" spans="1:14" ht="15.75">
      <c r="A1778" s="11"/>
      <c r="B1778" s="9"/>
      <c r="C1778" s="12" t="str">
        <f>IF(B1778="","",IFERROR(INDEX('Cashier Roster'!$C$5:$C$64,MATCH(B1778,'Cashier Roster'!$B$5:$B$64,0)),"Not on roster"))</f>
        <v/>
      </c>
      <c r="D1778" s="12" t="str">
        <f>IF(B1778="","",IFERROR(INDEX('Cashier Roster'!$D$5:$D$64,MATCH(B1778,'Cashier Roster'!$B$5:$B$64,0)),""))</f>
        <v/>
      </c>
      <c r="E1778" s="13"/>
      <c r="F1778" s="14"/>
      <c r="G1778" s="8" t="str">
        <f>IF(OR(B1778="",E1778=""),"",IF(E1778="No","Missed",IF(F1778="","",IF(F1778&lt;=Settings!$B$7,"On time","Late"))))</f>
        <v/>
      </c>
      <c r="H1778" s="15"/>
      <c r="I1778" s="16"/>
      <c r="J1778" s="16"/>
      <c r="K1778" s="17" t="str">
        <f>IF(J1778="","",ROUND(J1778*Settings!$B$8,2))</f>
        <v/>
      </c>
      <c r="L1778" s="16"/>
      <c r="M1778" s="8" t="str">
        <f t="shared" si="27"/>
        <v/>
      </c>
      <c r="N1778" s="9"/>
    </row>
    <row r="1779" spans="1:14" ht="15.75">
      <c r="A1779" s="11"/>
      <c r="B1779" s="9"/>
      <c r="C1779" s="12" t="str">
        <f>IF(B1779="","",IFERROR(INDEX('Cashier Roster'!$C$5:$C$64,MATCH(B1779,'Cashier Roster'!$B$5:$B$64,0)),"Not on roster"))</f>
        <v/>
      </c>
      <c r="D1779" s="12" t="str">
        <f>IF(B1779="","",IFERROR(INDEX('Cashier Roster'!$D$5:$D$64,MATCH(B1779,'Cashier Roster'!$B$5:$B$64,0)),""))</f>
        <v/>
      </c>
      <c r="E1779" s="13"/>
      <c r="F1779" s="14"/>
      <c r="G1779" s="8" t="str">
        <f>IF(OR(B1779="",E1779=""),"",IF(E1779="No","Missed",IF(F1779="","",IF(F1779&lt;=Settings!$B$7,"On time","Late"))))</f>
        <v/>
      </c>
      <c r="H1779" s="15"/>
      <c r="I1779" s="16"/>
      <c r="J1779" s="16"/>
      <c r="K1779" s="17" t="str">
        <f>IF(J1779="","",ROUND(J1779*Settings!$B$8,2))</f>
        <v/>
      </c>
      <c r="L1779" s="16"/>
      <c r="M1779" s="8" t="str">
        <f t="shared" si="27"/>
        <v/>
      </c>
      <c r="N1779" s="9"/>
    </row>
    <row r="1780" spans="1:14" ht="15.75">
      <c r="A1780" s="11"/>
      <c r="B1780" s="9"/>
      <c r="C1780" s="12" t="str">
        <f>IF(B1780="","",IFERROR(INDEX('Cashier Roster'!$C$5:$C$64,MATCH(B1780,'Cashier Roster'!$B$5:$B$64,0)),"Not on roster"))</f>
        <v/>
      </c>
      <c r="D1780" s="12" t="str">
        <f>IF(B1780="","",IFERROR(INDEX('Cashier Roster'!$D$5:$D$64,MATCH(B1780,'Cashier Roster'!$B$5:$B$64,0)),""))</f>
        <v/>
      </c>
      <c r="E1780" s="13"/>
      <c r="F1780" s="14"/>
      <c r="G1780" s="8" t="str">
        <f>IF(OR(B1780="",E1780=""),"",IF(E1780="No","Missed",IF(F1780="","",IF(F1780&lt;=Settings!$B$7,"On time","Late"))))</f>
        <v/>
      </c>
      <c r="H1780" s="15"/>
      <c r="I1780" s="16"/>
      <c r="J1780" s="16"/>
      <c r="K1780" s="17" t="str">
        <f>IF(J1780="","",ROUND(J1780*Settings!$B$8,2))</f>
        <v/>
      </c>
      <c r="L1780" s="16"/>
      <c r="M1780" s="8" t="str">
        <f t="shared" si="27"/>
        <v/>
      </c>
      <c r="N1780" s="9"/>
    </row>
    <row r="1781" spans="1:14" ht="15.75">
      <c r="A1781" s="11"/>
      <c r="B1781" s="9"/>
      <c r="C1781" s="12" t="str">
        <f>IF(B1781="","",IFERROR(INDEX('Cashier Roster'!$C$5:$C$64,MATCH(B1781,'Cashier Roster'!$B$5:$B$64,0)),"Not on roster"))</f>
        <v/>
      </c>
      <c r="D1781" s="12" t="str">
        <f>IF(B1781="","",IFERROR(INDEX('Cashier Roster'!$D$5:$D$64,MATCH(B1781,'Cashier Roster'!$B$5:$B$64,0)),""))</f>
        <v/>
      </c>
      <c r="E1781" s="13"/>
      <c r="F1781" s="14"/>
      <c r="G1781" s="8" t="str">
        <f>IF(OR(B1781="",E1781=""),"",IF(E1781="No","Missed",IF(F1781="","",IF(F1781&lt;=Settings!$B$7,"On time","Late"))))</f>
        <v/>
      </c>
      <c r="H1781" s="15"/>
      <c r="I1781" s="16"/>
      <c r="J1781" s="16"/>
      <c r="K1781" s="17" t="str">
        <f>IF(J1781="","",ROUND(J1781*Settings!$B$8,2))</f>
        <v/>
      </c>
      <c r="L1781" s="16"/>
      <c r="M1781" s="8" t="str">
        <f t="shared" si="27"/>
        <v/>
      </c>
      <c r="N1781" s="9"/>
    </row>
    <row r="1782" spans="1:14" ht="15.75">
      <c r="A1782" s="11"/>
      <c r="B1782" s="9"/>
      <c r="C1782" s="12" t="str">
        <f>IF(B1782="","",IFERROR(INDEX('Cashier Roster'!$C$5:$C$64,MATCH(B1782,'Cashier Roster'!$B$5:$B$64,0)),"Not on roster"))</f>
        <v/>
      </c>
      <c r="D1782" s="12" t="str">
        <f>IF(B1782="","",IFERROR(INDEX('Cashier Roster'!$D$5:$D$64,MATCH(B1782,'Cashier Roster'!$B$5:$B$64,0)),""))</f>
        <v/>
      </c>
      <c r="E1782" s="13"/>
      <c r="F1782" s="14"/>
      <c r="G1782" s="8" t="str">
        <f>IF(OR(B1782="",E1782=""),"",IF(E1782="No","Missed",IF(F1782="","",IF(F1782&lt;=Settings!$B$7,"On time","Late"))))</f>
        <v/>
      </c>
      <c r="H1782" s="15"/>
      <c r="I1782" s="16"/>
      <c r="J1782" s="16"/>
      <c r="K1782" s="17" t="str">
        <f>IF(J1782="","",ROUND(J1782*Settings!$B$8,2))</f>
        <v/>
      </c>
      <c r="L1782" s="16"/>
      <c r="M1782" s="8" t="str">
        <f t="shared" si="27"/>
        <v/>
      </c>
      <c r="N1782" s="9"/>
    </row>
    <row r="1783" spans="1:14" ht="15.75">
      <c r="A1783" s="11"/>
      <c r="B1783" s="9"/>
      <c r="C1783" s="12" t="str">
        <f>IF(B1783="","",IFERROR(INDEX('Cashier Roster'!$C$5:$C$64,MATCH(B1783,'Cashier Roster'!$B$5:$B$64,0)),"Not on roster"))</f>
        <v/>
      </c>
      <c r="D1783" s="12" t="str">
        <f>IF(B1783="","",IFERROR(INDEX('Cashier Roster'!$D$5:$D$64,MATCH(B1783,'Cashier Roster'!$B$5:$B$64,0)),""))</f>
        <v/>
      </c>
      <c r="E1783" s="13"/>
      <c r="F1783" s="14"/>
      <c r="G1783" s="8" t="str">
        <f>IF(OR(B1783="",E1783=""),"",IF(E1783="No","Missed",IF(F1783="","",IF(F1783&lt;=Settings!$B$7,"On time","Late"))))</f>
        <v/>
      </c>
      <c r="H1783" s="15"/>
      <c r="I1783" s="16"/>
      <c r="J1783" s="16"/>
      <c r="K1783" s="17" t="str">
        <f>IF(J1783="","",ROUND(J1783*Settings!$B$8,2))</f>
        <v/>
      </c>
      <c r="L1783" s="16"/>
      <c r="M1783" s="8" t="str">
        <f t="shared" si="27"/>
        <v/>
      </c>
      <c r="N1783" s="9"/>
    </row>
    <row r="1784" spans="1:14" ht="15.75">
      <c r="A1784" s="11"/>
      <c r="B1784" s="9"/>
      <c r="C1784" s="12" t="str">
        <f>IF(B1784="","",IFERROR(INDEX('Cashier Roster'!$C$5:$C$64,MATCH(B1784,'Cashier Roster'!$B$5:$B$64,0)),"Not on roster"))</f>
        <v/>
      </c>
      <c r="D1784" s="12" t="str">
        <f>IF(B1784="","",IFERROR(INDEX('Cashier Roster'!$D$5:$D$64,MATCH(B1784,'Cashier Roster'!$B$5:$B$64,0)),""))</f>
        <v/>
      </c>
      <c r="E1784" s="13"/>
      <c r="F1784" s="14"/>
      <c r="G1784" s="8" t="str">
        <f>IF(OR(B1784="",E1784=""),"",IF(E1784="No","Missed",IF(F1784="","",IF(F1784&lt;=Settings!$B$7,"On time","Late"))))</f>
        <v/>
      </c>
      <c r="H1784" s="15"/>
      <c r="I1784" s="16"/>
      <c r="J1784" s="16"/>
      <c r="K1784" s="17" t="str">
        <f>IF(J1784="","",ROUND(J1784*Settings!$B$8,2))</f>
        <v/>
      </c>
      <c r="L1784" s="16"/>
      <c r="M1784" s="8" t="str">
        <f t="shared" si="27"/>
        <v/>
      </c>
      <c r="N1784" s="9"/>
    </row>
    <row r="1785" spans="1:14" ht="15.75">
      <c r="A1785" s="11"/>
      <c r="B1785" s="9"/>
      <c r="C1785" s="12" t="str">
        <f>IF(B1785="","",IFERROR(INDEX('Cashier Roster'!$C$5:$C$64,MATCH(B1785,'Cashier Roster'!$B$5:$B$64,0)),"Not on roster"))</f>
        <v/>
      </c>
      <c r="D1785" s="12" t="str">
        <f>IF(B1785="","",IFERROR(INDEX('Cashier Roster'!$D$5:$D$64,MATCH(B1785,'Cashier Roster'!$B$5:$B$64,0)),""))</f>
        <v/>
      </c>
      <c r="E1785" s="13"/>
      <c r="F1785" s="14"/>
      <c r="G1785" s="8" t="str">
        <f>IF(OR(B1785="",E1785=""),"",IF(E1785="No","Missed",IF(F1785="","",IF(F1785&lt;=Settings!$B$7,"On time","Late"))))</f>
        <v/>
      </c>
      <c r="H1785" s="15"/>
      <c r="I1785" s="16"/>
      <c r="J1785" s="16"/>
      <c r="K1785" s="17" t="str">
        <f>IF(J1785="","",ROUND(J1785*Settings!$B$8,2))</f>
        <v/>
      </c>
      <c r="L1785" s="16"/>
      <c r="M1785" s="8" t="str">
        <f t="shared" si="27"/>
        <v/>
      </c>
      <c r="N1785" s="9"/>
    </row>
    <row r="1786" spans="1:14" ht="15.75">
      <c r="A1786" s="11"/>
      <c r="B1786" s="9"/>
      <c r="C1786" s="12" t="str">
        <f>IF(B1786="","",IFERROR(INDEX('Cashier Roster'!$C$5:$C$64,MATCH(B1786,'Cashier Roster'!$B$5:$B$64,0)),"Not on roster"))</f>
        <v/>
      </c>
      <c r="D1786" s="12" t="str">
        <f>IF(B1786="","",IFERROR(INDEX('Cashier Roster'!$D$5:$D$64,MATCH(B1786,'Cashier Roster'!$B$5:$B$64,0)),""))</f>
        <v/>
      </c>
      <c r="E1786" s="13"/>
      <c r="F1786" s="14"/>
      <c r="G1786" s="8" t="str">
        <f>IF(OR(B1786="",E1786=""),"",IF(E1786="No","Missed",IF(F1786="","",IF(F1786&lt;=Settings!$B$7,"On time","Late"))))</f>
        <v/>
      </c>
      <c r="H1786" s="15"/>
      <c r="I1786" s="16"/>
      <c r="J1786" s="16"/>
      <c r="K1786" s="17" t="str">
        <f>IF(J1786="","",ROUND(J1786*Settings!$B$8,2))</f>
        <v/>
      </c>
      <c r="L1786" s="16"/>
      <c r="M1786" s="8" t="str">
        <f t="shared" si="27"/>
        <v/>
      </c>
      <c r="N1786" s="9"/>
    </row>
    <row r="1787" spans="1:14" ht="15.75">
      <c r="A1787" s="11"/>
      <c r="B1787" s="9"/>
      <c r="C1787" s="12" t="str">
        <f>IF(B1787="","",IFERROR(INDEX('Cashier Roster'!$C$5:$C$64,MATCH(B1787,'Cashier Roster'!$B$5:$B$64,0)),"Not on roster"))</f>
        <v/>
      </c>
      <c r="D1787" s="12" t="str">
        <f>IF(B1787="","",IFERROR(INDEX('Cashier Roster'!$D$5:$D$64,MATCH(B1787,'Cashier Roster'!$B$5:$B$64,0)),""))</f>
        <v/>
      </c>
      <c r="E1787" s="13"/>
      <c r="F1787" s="14"/>
      <c r="G1787" s="8" t="str">
        <f>IF(OR(B1787="",E1787=""),"",IF(E1787="No","Missed",IF(F1787="","",IF(F1787&lt;=Settings!$B$7,"On time","Late"))))</f>
        <v/>
      </c>
      <c r="H1787" s="15"/>
      <c r="I1787" s="16"/>
      <c r="J1787" s="16"/>
      <c r="K1787" s="17" t="str">
        <f>IF(J1787="","",ROUND(J1787*Settings!$B$8,2))</f>
        <v/>
      </c>
      <c r="L1787" s="16"/>
      <c r="M1787" s="8" t="str">
        <f t="shared" si="27"/>
        <v/>
      </c>
      <c r="N1787" s="9"/>
    </row>
    <row r="1788" spans="1:14" ht="15.75">
      <c r="A1788" s="11"/>
      <c r="B1788" s="9"/>
      <c r="C1788" s="12" t="str">
        <f>IF(B1788="","",IFERROR(INDEX('Cashier Roster'!$C$5:$C$64,MATCH(B1788,'Cashier Roster'!$B$5:$B$64,0)),"Not on roster"))</f>
        <v/>
      </c>
      <c r="D1788" s="12" t="str">
        <f>IF(B1788="","",IFERROR(INDEX('Cashier Roster'!$D$5:$D$64,MATCH(B1788,'Cashier Roster'!$B$5:$B$64,0)),""))</f>
        <v/>
      </c>
      <c r="E1788" s="13"/>
      <c r="F1788" s="14"/>
      <c r="G1788" s="8" t="str">
        <f>IF(OR(B1788="",E1788=""),"",IF(E1788="No","Missed",IF(F1788="","",IF(F1788&lt;=Settings!$B$7,"On time","Late"))))</f>
        <v/>
      </c>
      <c r="H1788" s="15"/>
      <c r="I1788" s="16"/>
      <c r="J1788" s="16"/>
      <c r="K1788" s="17" t="str">
        <f>IF(J1788="","",ROUND(J1788*Settings!$B$8,2))</f>
        <v/>
      </c>
      <c r="L1788" s="16"/>
      <c r="M1788" s="8" t="str">
        <f t="shared" si="27"/>
        <v/>
      </c>
      <c r="N1788" s="9"/>
    </row>
    <row r="1789" spans="1:14" ht="15.75">
      <c r="A1789" s="11"/>
      <c r="B1789" s="9"/>
      <c r="C1789" s="12" t="str">
        <f>IF(B1789="","",IFERROR(INDEX('Cashier Roster'!$C$5:$C$64,MATCH(B1789,'Cashier Roster'!$B$5:$B$64,0)),"Not on roster"))</f>
        <v/>
      </c>
      <c r="D1789" s="12" t="str">
        <f>IF(B1789="","",IFERROR(INDEX('Cashier Roster'!$D$5:$D$64,MATCH(B1789,'Cashier Roster'!$B$5:$B$64,0)),""))</f>
        <v/>
      </c>
      <c r="E1789" s="13"/>
      <c r="F1789" s="14"/>
      <c r="G1789" s="8" t="str">
        <f>IF(OR(B1789="",E1789=""),"",IF(E1789="No","Missed",IF(F1789="","",IF(F1789&lt;=Settings!$B$7,"On time","Late"))))</f>
        <v/>
      </c>
      <c r="H1789" s="15"/>
      <c r="I1789" s="16"/>
      <c r="J1789" s="16"/>
      <c r="K1789" s="17" t="str">
        <f>IF(J1789="","",ROUND(J1789*Settings!$B$8,2))</f>
        <v/>
      </c>
      <c r="L1789" s="16"/>
      <c r="M1789" s="8" t="str">
        <f t="shared" si="27"/>
        <v/>
      </c>
      <c r="N1789" s="9"/>
    </row>
    <row r="1790" spans="1:14" ht="15.75">
      <c r="A1790" s="11"/>
      <c r="B1790" s="9"/>
      <c r="C1790" s="12" t="str">
        <f>IF(B1790="","",IFERROR(INDEX('Cashier Roster'!$C$5:$C$64,MATCH(B1790,'Cashier Roster'!$B$5:$B$64,0)),"Not on roster"))</f>
        <v/>
      </c>
      <c r="D1790" s="12" t="str">
        <f>IF(B1790="","",IFERROR(INDEX('Cashier Roster'!$D$5:$D$64,MATCH(B1790,'Cashier Roster'!$B$5:$B$64,0)),""))</f>
        <v/>
      </c>
      <c r="E1790" s="13"/>
      <c r="F1790" s="14"/>
      <c r="G1790" s="8" t="str">
        <f>IF(OR(B1790="",E1790=""),"",IF(E1790="No","Missed",IF(F1790="","",IF(F1790&lt;=Settings!$B$7,"On time","Late"))))</f>
        <v/>
      </c>
      <c r="H1790" s="15"/>
      <c r="I1790" s="16"/>
      <c r="J1790" s="16"/>
      <c r="K1790" s="17" t="str">
        <f>IF(J1790="","",ROUND(J1790*Settings!$B$8,2))</f>
        <v/>
      </c>
      <c r="L1790" s="16"/>
      <c r="M1790" s="8" t="str">
        <f t="shared" si="27"/>
        <v/>
      </c>
      <c r="N1790" s="9"/>
    </row>
    <row r="1791" spans="1:14" ht="15.75">
      <c r="A1791" s="11"/>
      <c r="B1791" s="9"/>
      <c r="C1791" s="12" t="str">
        <f>IF(B1791="","",IFERROR(INDEX('Cashier Roster'!$C$5:$C$64,MATCH(B1791,'Cashier Roster'!$B$5:$B$64,0)),"Not on roster"))</f>
        <v/>
      </c>
      <c r="D1791" s="12" t="str">
        <f>IF(B1791="","",IFERROR(INDEX('Cashier Roster'!$D$5:$D$64,MATCH(B1791,'Cashier Roster'!$B$5:$B$64,0)),""))</f>
        <v/>
      </c>
      <c r="E1791" s="13"/>
      <c r="F1791" s="14"/>
      <c r="G1791" s="8" t="str">
        <f>IF(OR(B1791="",E1791=""),"",IF(E1791="No","Missed",IF(F1791="","",IF(F1791&lt;=Settings!$B$7,"On time","Late"))))</f>
        <v/>
      </c>
      <c r="H1791" s="15"/>
      <c r="I1791" s="16"/>
      <c r="J1791" s="16"/>
      <c r="K1791" s="17" t="str">
        <f>IF(J1791="","",ROUND(J1791*Settings!$B$8,2))</f>
        <v/>
      </c>
      <c r="L1791" s="16"/>
      <c r="M1791" s="8" t="str">
        <f t="shared" si="27"/>
        <v/>
      </c>
      <c r="N1791" s="9"/>
    </row>
    <row r="1792" spans="1:14" ht="15.75">
      <c r="A1792" s="11"/>
      <c r="B1792" s="9"/>
      <c r="C1792" s="12" t="str">
        <f>IF(B1792="","",IFERROR(INDEX('Cashier Roster'!$C$5:$C$64,MATCH(B1792,'Cashier Roster'!$B$5:$B$64,0)),"Not on roster"))</f>
        <v/>
      </c>
      <c r="D1792" s="12" t="str">
        <f>IF(B1792="","",IFERROR(INDEX('Cashier Roster'!$D$5:$D$64,MATCH(B1792,'Cashier Roster'!$B$5:$B$64,0)),""))</f>
        <v/>
      </c>
      <c r="E1792" s="13"/>
      <c r="F1792" s="14"/>
      <c r="G1792" s="8" t="str">
        <f>IF(OR(B1792="",E1792=""),"",IF(E1792="No","Missed",IF(F1792="","",IF(F1792&lt;=Settings!$B$7,"On time","Late"))))</f>
        <v/>
      </c>
      <c r="H1792" s="15"/>
      <c r="I1792" s="16"/>
      <c r="J1792" s="16"/>
      <c r="K1792" s="17" t="str">
        <f>IF(J1792="","",ROUND(J1792*Settings!$B$8,2))</f>
        <v/>
      </c>
      <c r="L1792" s="16"/>
      <c r="M1792" s="8" t="str">
        <f t="shared" si="27"/>
        <v/>
      </c>
      <c r="N1792" s="9"/>
    </row>
    <row r="1793" spans="1:14" ht="15.75">
      <c r="A1793" s="11"/>
      <c r="B1793" s="9"/>
      <c r="C1793" s="12" t="str">
        <f>IF(B1793="","",IFERROR(INDEX('Cashier Roster'!$C$5:$C$64,MATCH(B1793,'Cashier Roster'!$B$5:$B$64,0)),"Not on roster"))</f>
        <v/>
      </c>
      <c r="D1793" s="12" t="str">
        <f>IF(B1793="","",IFERROR(INDEX('Cashier Roster'!$D$5:$D$64,MATCH(B1793,'Cashier Roster'!$B$5:$B$64,0)),""))</f>
        <v/>
      </c>
      <c r="E1793" s="13"/>
      <c r="F1793" s="14"/>
      <c r="G1793" s="8" t="str">
        <f>IF(OR(B1793="",E1793=""),"",IF(E1793="No","Missed",IF(F1793="","",IF(F1793&lt;=Settings!$B$7,"On time","Late"))))</f>
        <v/>
      </c>
      <c r="H1793" s="15"/>
      <c r="I1793" s="16"/>
      <c r="J1793" s="16"/>
      <c r="K1793" s="17" t="str">
        <f>IF(J1793="","",ROUND(J1793*Settings!$B$8,2))</f>
        <v/>
      </c>
      <c r="L1793" s="16"/>
      <c r="M1793" s="8" t="str">
        <f t="shared" si="27"/>
        <v/>
      </c>
      <c r="N1793" s="9"/>
    </row>
    <row r="1794" spans="1:14" ht="15.75">
      <c r="A1794" s="11"/>
      <c r="B1794" s="9"/>
      <c r="C1794" s="12" t="str">
        <f>IF(B1794="","",IFERROR(INDEX('Cashier Roster'!$C$5:$C$64,MATCH(B1794,'Cashier Roster'!$B$5:$B$64,0)),"Not on roster"))</f>
        <v/>
      </c>
      <c r="D1794" s="12" t="str">
        <f>IF(B1794="","",IFERROR(INDEX('Cashier Roster'!$D$5:$D$64,MATCH(B1794,'Cashier Roster'!$B$5:$B$64,0)),""))</f>
        <v/>
      </c>
      <c r="E1794" s="13"/>
      <c r="F1794" s="14"/>
      <c r="G1794" s="8" t="str">
        <f>IF(OR(B1794="",E1794=""),"",IF(E1794="No","Missed",IF(F1794="","",IF(F1794&lt;=Settings!$B$7,"On time","Late"))))</f>
        <v/>
      </c>
      <c r="H1794" s="15"/>
      <c r="I1794" s="16"/>
      <c r="J1794" s="16"/>
      <c r="K1794" s="17" t="str">
        <f>IF(J1794="","",ROUND(J1794*Settings!$B$8,2))</f>
        <v/>
      </c>
      <c r="L1794" s="16"/>
      <c r="M1794" s="8" t="str">
        <f t="shared" si="27"/>
        <v/>
      </c>
      <c r="N1794" s="9"/>
    </row>
    <row r="1795" spans="1:14" ht="15.75">
      <c r="A1795" s="11"/>
      <c r="B1795" s="9"/>
      <c r="C1795" s="12" t="str">
        <f>IF(B1795="","",IFERROR(INDEX('Cashier Roster'!$C$5:$C$64,MATCH(B1795,'Cashier Roster'!$B$5:$B$64,0)),"Not on roster"))</f>
        <v/>
      </c>
      <c r="D1795" s="12" t="str">
        <f>IF(B1795="","",IFERROR(INDEX('Cashier Roster'!$D$5:$D$64,MATCH(B1795,'Cashier Roster'!$B$5:$B$64,0)),""))</f>
        <v/>
      </c>
      <c r="E1795" s="13"/>
      <c r="F1795" s="14"/>
      <c r="G1795" s="8" t="str">
        <f>IF(OR(B1795="",E1795=""),"",IF(E1795="No","Missed",IF(F1795="","",IF(F1795&lt;=Settings!$B$7,"On time","Late"))))</f>
        <v/>
      </c>
      <c r="H1795" s="15"/>
      <c r="I1795" s="16"/>
      <c r="J1795" s="16"/>
      <c r="K1795" s="17" t="str">
        <f>IF(J1795="","",ROUND(J1795*Settings!$B$8,2))</f>
        <v/>
      </c>
      <c r="L1795" s="16"/>
      <c r="M1795" s="8" t="str">
        <f t="shared" si="27"/>
        <v/>
      </c>
      <c r="N1795" s="9"/>
    </row>
    <row r="1796" spans="1:14" ht="15.75">
      <c r="A1796" s="11"/>
      <c r="B1796" s="9"/>
      <c r="C1796" s="12" t="str">
        <f>IF(B1796="","",IFERROR(INDEX('Cashier Roster'!$C$5:$C$64,MATCH(B1796,'Cashier Roster'!$B$5:$B$64,0)),"Not on roster"))</f>
        <v/>
      </c>
      <c r="D1796" s="12" t="str">
        <f>IF(B1796="","",IFERROR(INDEX('Cashier Roster'!$D$5:$D$64,MATCH(B1796,'Cashier Roster'!$B$5:$B$64,0)),""))</f>
        <v/>
      </c>
      <c r="E1796" s="13"/>
      <c r="F1796" s="14"/>
      <c r="G1796" s="8" t="str">
        <f>IF(OR(B1796="",E1796=""),"",IF(E1796="No","Missed",IF(F1796="","",IF(F1796&lt;=Settings!$B$7,"On time","Late"))))</f>
        <v/>
      </c>
      <c r="H1796" s="15"/>
      <c r="I1796" s="16"/>
      <c r="J1796" s="16"/>
      <c r="K1796" s="17" t="str">
        <f>IF(J1796="","",ROUND(J1796*Settings!$B$8,2))</f>
        <v/>
      </c>
      <c r="L1796" s="16"/>
      <c r="M1796" s="8" t="str">
        <f t="shared" si="27"/>
        <v/>
      </c>
      <c r="N1796" s="9"/>
    </row>
    <row r="1797" spans="1:14" ht="15.75">
      <c r="A1797" s="11"/>
      <c r="B1797" s="9"/>
      <c r="C1797" s="12" t="str">
        <f>IF(B1797="","",IFERROR(INDEX('Cashier Roster'!$C$5:$C$64,MATCH(B1797,'Cashier Roster'!$B$5:$B$64,0)),"Not on roster"))</f>
        <v/>
      </c>
      <c r="D1797" s="12" t="str">
        <f>IF(B1797="","",IFERROR(INDEX('Cashier Roster'!$D$5:$D$64,MATCH(B1797,'Cashier Roster'!$B$5:$B$64,0)),""))</f>
        <v/>
      </c>
      <c r="E1797" s="13"/>
      <c r="F1797" s="14"/>
      <c r="G1797" s="8" t="str">
        <f>IF(OR(B1797="",E1797=""),"",IF(E1797="No","Missed",IF(F1797="","",IF(F1797&lt;=Settings!$B$7,"On time","Late"))))</f>
        <v/>
      </c>
      <c r="H1797" s="15"/>
      <c r="I1797" s="16"/>
      <c r="J1797" s="16"/>
      <c r="K1797" s="17" t="str">
        <f>IF(J1797="","",ROUND(J1797*Settings!$B$8,2))</f>
        <v/>
      </c>
      <c r="L1797" s="16"/>
      <c r="M1797" s="8" t="str">
        <f t="shared" ref="M1797:M1860" si="28">IF(L1797="","",IF(L1797&lt;=0,"Yes","No"))</f>
        <v/>
      </c>
      <c r="N1797" s="9"/>
    </row>
    <row r="1798" spans="1:14" ht="15.75">
      <c r="A1798" s="11"/>
      <c r="B1798" s="9"/>
      <c r="C1798" s="12" t="str">
        <f>IF(B1798="","",IFERROR(INDEX('Cashier Roster'!$C$5:$C$64,MATCH(B1798,'Cashier Roster'!$B$5:$B$64,0)),"Not on roster"))</f>
        <v/>
      </c>
      <c r="D1798" s="12" t="str">
        <f>IF(B1798="","",IFERROR(INDEX('Cashier Roster'!$D$5:$D$64,MATCH(B1798,'Cashier Roster'!$B$5:$B$64,0)),""))</f>
        <v/>
      </c>
      <c r="E1798" s="13"/>
      <c r="F1798" s="14"/>
      <c r="G1798" s="8" t="str">
        <f>IF(OR(B1798="",E1798=""),"",IF(E1798="No","Missed",IF(F1798="","",IF(F1798&lt;=Settings!$B$7,"On time","Late"))))</f>
        <v/>
      </c>
      <c r="H1798" s="15"/>
      <c r="I1798" s="16"/>
      <c r="J1798" s="16"/>
      <c r="K1798" s="17" t="str">
        <f>IF(J1798="","",ROUND(J1798*Settings!$B$8,2))</f>
        <v/>
      </c>
      <c r="L1798" s="16"/>
      <c r="M1798" s="8" t="str">
        <f t="shared" si="28"/>
        <v/>
      </c>
      <c r="N1798" s="9"/>
    </row>
    <row r="1799" spans="1:14" ht="15.75">
      <c r="A1799" s="11"/>
      <c r="B1799" s="9"/>
      <c r="C1799" s="12" t="str">
        <f>IF(B1799="","",IFERROR(INDEX('Cashier Roster'!$C$5:$C$64,MATCH(B1799,'Cashier Roster'!$B$5:$B$64,0)),"Not on roster"))</f>
        <v/>
      </c>
      <c r="D1799" s="12" t="str">
        <f>IF(B1799="","",IFERROR(INDEX('Cashier Roster'!$D$5:$D$64,MATCH(B1799,'Cashier Roster'!$B$5:$B$64,0)),""))</f>
        <v/>
      </c>
      <c r="E1799" s="13"/>
      <c r="F1799" s="14"/>
      <c r="G1799" s="8" t="str">
        <f>IF(OR(B1799="",E1799=""),"",IF(E1799="No","Missed",IF(F1799="","",IF(F1799&lt;=Settings!$B$7,"On time","Late"))))</f>
        <v/>
      </c>
      <c r="H1799" s="15"/>
      <c r="I1799" s="16"/>
      <c r="J1799" s="16"/>
      <c r="K1799" s="17" t="str">
        <f>IF(J1799="","",ROUND(J1799*Settings!$B$8,2))</f>
        <v/>
      </c>
      <c r="L1799" s="16"/>
      <c r="M1799" s="8" t="str">
        <f t="shared" si="28"/>
        <v/>
      </c>
      <c r="N1799" s="9"/>
    </row>
    <row r="1800" spans="1:14" ht="15.75">
      <c r="A1800" s="11"/>
      <c r="B1800" s="9"/>
      <c r="C1800" s="12" t="str">
        <f>IF(B1800="","",IFERROR(INDEX('Cashier Roster'!$C$5:$C$64,MATCH(B1800,'Cashier Roster'!$B$5:$B$64,0)),"Not on roster"))</f>
        <v/>
      </c>
      <c r="D1800" s="12" t="str">
        <f>IF(B1800="","",IFERROR(INDEX('Cashier Roster'!$D$5:$D$64,MATCH(B1800,'Cashier Roster'!$B$5:$B$64,0)),""))</f>
        <v/>
      </c>
      <c r="E1800" s="13"/>
      <c r="F1800" s="14"/>
      <c r="G1800" s="8" t="str">
        <f>IF(OR(B1800="",E1800=""),"",IF(E1800="No","Missed",IF(F1800="","",IF(F1800&lt;=Settings!$B$7,"On time","Late"))))</f>
        <v/>
      </c>
      <c r="H1800" s="15"/>
      <c r="I1800" s="16"/>
      <c r="J1800" s="16"/>
      <c r="K1800" s="17" t="str">
        <f>IF(J1800="","",ROUND(J1800*Settings!$B$8,2))</f>
        <v/>
      </c>
      <c r="L1800" s="16"/>
      <c r="M1800" s="8" t="str">
        <f t="shared" si="28"/>
        <v/>
      </c>
      <c r="N1800" s="9"/>
    </row>
    <row r="1801" spans="1:14" ht="15.75">
      <c r="A1801" s="11"/>
      <c r="B1801" s="9"/>
      <c r="C1801" s="12" t="str">
        <f>IF(B1801="","",IFERROR(INDEX('Cashier Roster'!$C$5:$C$64,MATCH(B1801,'Cashier Roster'!$B$5:$B$64,0)),"Not on roster"))</f>
        <v/>
      </c>
      <c r="D1801" s="12" t="str">
        <f>IF(B1801="","",IFERROR(INDEX('Cashier Roster'!$D$5:$D$64,MATCH(B1801,'Cashier Roster'!$B$5:$B$64,0)),""))</f>
        <v/>
      </c>
      <c r="E1801" s="13"/>
      <c r="F1801" s="14"/>
      <c r="G1801" s="8" t="str">
        <f>IF(OR(B1801="",E1801=""),"",IF(E1801="No","Missed",IF(F1801="","",IF(F1801&lt;=Settings!$B$7,"On time","Late"))))</f>
        <v/>
      </c>
      <c r="H1801" s="15"/>
      <c r="I1801" s="16"/>
      <c r="J1801" s="16"/>
      <c r="K1801" s="17" t="str">
        <f>IF(J1801="","",ROUND(J1801*Settings!$B$8,2))</f>
        <v/>
      </c>
      <c r="L1801" s="16"/>
      <c r="M1801" s="8" t="str">
        <f t="shared" si="28"/>
        <v/>
      </c>
      <c r="N1801" s="9"/>
    </row>
    <row r="1802" spans="1:14" ht="15.75">
      <c r="A1802" s="11"/>
      <c r="B1802" s="9"/>
      <c r="C1802" s="12" t="str">
        <f>IF(B1802="","",IFERROR(INDEX('Cashier Roster'!$C$5:$C$64,MATCH(B1802,'Cashier Roster'!$B$5:$B$64,0)),"Not on roster"))</f>
        <v/>
      </c>
      <c r="D1802" s="12" t="str">
        <f>IF(B1802="","",IFERROR(INDEX('Cashier Roster'!$D$5:$D$64,MATCH(B1802,'Cashier Roster'!$B$5:$B$64,0)),""))</f>
        <v/>
      </c>
      <c r="E1802" s="13"/>
      <c r="F1802" s="14"/>
      <c r="G1802" s="8" t="str">
        <f>IF(OR(B1802="",E1802=""),"",IF(E1802="No","Missed",IF(F1802="","",IF(F1802&lt;=Settings!$B$7,"On time","Late"))))</f>
        <v/>
      </c>
      <c r="H1802" s="15"/>
      <c r="I1802" s="16"/>
      <c r="J1802" s="16"/>
      <c r="K1802" s="17" t="str">
        <f>IF(J1802="","",ROUND(J1802*Settings!$B$8,2))</f>
        <v/>
      </c>
      <c r="L1802" s="16"/>
      <c r="M1802" s="8" t="str">
        <f t="shared" si="28"/>
        <v/>
      </c>
      <c r="N1802" s="9"/>
    </row>
    <row r="1803" spans="1:14" ht="15.75">
      <c r="A1803" s="11"/>
      <c r="B1803" s="9"/>
      <c r="C1803" s="12" t="str">
        <f>IF(B1803="","",IFERROR(INDEX('Cashier Roster'!$C$5:$C$64,MATCH(B1803,'Cashier Roster'!$B$5:$B$64,0)),"Not on roster"))</f>
        <v/>
      </c>
      <c r="D1803" s="12" t="str">
        <f>IF(B1803="","",IFERROR(INDEX('Cashier Roster'!$D$5:$D$64,MATCH(B1803,'Cashier Roster'!$B$5:$B$64,0)),""))</f>
        <v/>
      </c>
      <c r="E1803" s="13"/>
      <c r="F1803" s="14"/>
      <c r="G1803" s="8" t="str">
        <f>IF(OR(B1803="",E1803=""),"",IF(E1803="No","Missed",IF(F1803="","",IF(F1803&lt;=Settings!$B$7,"On time","Late"))))</f>
        <v/>
      </c>
      <c r="H1803" s="15"/>
      <c r="I1803" s="16"/>
      <c r="J1803" s="16"/>
      <c r="K1803" s="17" t="str">
        <f>IF(J1803="","",ROUND(J1803*Settings!$B$8,2))</f>
        <v/>
      </c>
      <c r="L1803" s="16"/>
      <c r="M1803" s="8" t="str">
        <f t="shared" si="28"/>
        <v/>
      </c>
      <c r="N1803" s="9"/>
    </row>
    <row r="1804" spans="1:14" ht="15.75">
      <c r="A1804" s="11"/>
      <c r="B1804" s="9"/>
      <c r="C1804" s="12" t="str">
        <f>IF(B1804="","",IFERROR(INDEX('Cashier Roster'!$C$5:$C$64,MATCH(B1804,'Cashier Roster'!$B$5:$B$64,0)),"Not on roster"))</f>
        <v/>
      </c>
      <c r="D1804" s="12" t="str">
        <f>IF(B1804="","",IFERROR(INDEX('Cashier Roster'!$D$5:$D$64,MATCH(B1804,'Cashier Roster'!$B$5:$B$64,0)),""))</f>
        <v/>
      </c>
      <c r="E1804" s="13"/>
      <c r="F1804" s="14"/>
      <c r="G1804" s="8" t="str">
        <f>IF(OR(B1804="",E1804=""),"",IF(E1804="No","Missed",IF(F1804="","",IF(F1804&lt;=Settings!$B$7,"On time","Late"))))</f>
        <v/>
      </c>
      <c r="H1804" s="15"/>
      <c r="I1804" s="16"/>
      <c r="J1804" s="16"/>
      <c r="K1804" s="17" t="str">
        <f>IF(J1804="","",ROUND(J1804*Settings!$B$8,2))</f>
        <v/>
      </c>
      <c r="L1804" s="16"/>
      <c r="M1804" s="8" t="str">
        <f t="shared" si="28"/>
        <v/>
      </c>
      <c r="N1804" s="9"/>
    </row>
    <row r="1805" spans="1:14" ht="15.75">
      <c r="A1805" s="11"/>
      <c r="B1805" s="9"/>
      <c r="C1805" s="12" t="str">
        <f>IF(B1805="","",IFERROR(INDEX('Cashier Roster'!$C$5:$C$64,MATCH(B1805,'Cashier Roster'!$B$5:$B$64,0)),"Not on roster"))</f>
        <v/>
      </c>
      <c r="D1805" s="12" t="str">
        <f>IF(B1805="","",IFERROR(INDEX('Cashier Roster'!$D$5:$D$64,MATCH(B1805,'Cashier Roster'!$B$5:$B$64,0)),""))</f>
        <v/>
      </c>
      <c r="E1805" s="13"/>
      <c r="F1805" s="14"/>
      <c r="G1805" s="8" t="str">
        <f>IF(OR(B1805="",E1805=""),"",IF(E1805="No","Missed",IF(F1805="","",IF(F1805&lt;=Settings!$B$7,"On time","Late"))))</f>
        <v/>
      </c>
      <c r="H1805" s="15"/>
      <c r="I1805" s="16"/>
      <c r="J1805" s="16"/>
      <c r="K1805" s="17" t="str">
        <f>IF(J1805="","",ROUND(J1805*Settings!$B$8,2))</f>
        <v/>
      </c>
      <c r="L1805" s="16"/>
      <c r="M1805" s="8" t="str">
        <f t="shared" si="28"/>
        <v/>
      </c>
      <c r="N1805" s="9"/>
    </row>
    <row r="1806" spans="1:14" ht="15.75">
      <c r="A1806" s="11"/>
      <c r="B1806" s="9"/>
      <c r="C1806" s="12" t="str">
        <f>IF(B1806="","",IFERROR(INDEX('Cashier Roster'!$C$5:$C$64,MATCH(B1806,'Cashier Roster'!$B$5:$B$64,0)),"Not on roster"))</f>
        <v/>
      </c>
      <c r="D1806" s="12" t="str">
        <f>IF(B1806="","",IFERROR(INDEX('Cashier Roster'!$D$5:$D$64,MATCH(B1806,'Cashier Roster'!$B$5:$B$64,0)),""))</f>
        <v/>
      </c>
      <c r="E1806" s="13"/>
      <c r="F1806" s="14"/>
      <c r="G1806" s="8" t="str">
        <f>IF(OR(B1806="",E1806=""),"",IF(E1806="No","Missed",IF(F1806="","",IF(F1806&lt;=Settings!$B$7,"On time","Late"))))</f>
        <v/>
      </c>
      <c r="H1806" s="15"/>
      <c r="I1806" s="16"/>
      <c r="J1806" s="16"/>
      <c r="K1806" s="17" t="str">
        <f>IF(J1806="","",ROUND(J1806*Settings!$B$8,2))</f>
        <v/>
      </c>
      <c r="L1806" s="16"/>
      <c r="M1806" s="8" t="str">
        <f t="shared" si="28"/>
        <v/>
      </c>
      <c r="N1806" s="9"/>
    </row>
    <row r="1807" spans="1:14" ht="15.75">
      <c r="A1807" s="11"/>
      <c r="B1807" s="9"/>
      <c r="C1807" s="12" t="str">
        <f>IF(B1807="","",IFERROR(INDEX('Cashier Roster'!$C$5:$C$64,MATCH(B1807,'Cashier Roster'!$B$5:$B$64,0)),"Not on roster"))</f>
        <v/>
      </c>
      <c r="D1807" s="12" t="str">
        <f>IF(B1807="","",IFERROR(INDEX('Cashier Roster'!$D$5:$D$64,MATCH(B1807,'Cashier Roster'!$B$5:$B$64,0)),""))</f>
        <v/>
      </c>
      <c r="E1807" s="13"/>
      <c r="F1807" s="14"/>
      <c r="G1807" s="8" t="str">
        <f>IF(OR(B1807="",E1807=""),"",IF(E1807="No","Missed",IF(F1807="","",IF(F1807&lt;=Settings!$B$7,"On time","Late"))))</f>
        <v/>
      </c>
      <c r="H1807" s="15"/>
      <c r="I1807" s="16"/>
      <c r="J1807" s="16"/>
      <c r="K1807" s="17" t="str">
        <f>IF(J1807="","",ROUND(J1807*Settings!$B$8,2))</f>
        <v/>
      </c>
      <c r="L1807" s="16"/>
      <c r="M1807" s="8" t="str">
        <f t="shared" si="28"/>
        <v/>
      </c>
      <c r="N1807" s="9"/>
    </row>
    <row r="1808" spans="1:14" ht="15.75">
      <c r="A1808" s="11"/>
      <c r="B1808" s="9"/>
      <c r="C1808" s="12" t="str">
        <f>IF(B1808="","",IFERROR(INDEX('Cashier Roster'!$C$5:$C$64,MATCH(B1808,'Cashier Roster'!$B$5:$B$64,0)),"Not on roster"))</f>
        <v/>
      </c>
      <c r="D1808" s="12" t="str">
        <f>IF(B1808="","",IFERROR(INDEX('Cashier Roster'!$D$5:$D$64,MATCH(B1808,'Cashier Roster'!$B$5:$B$64,0)),""))</f>
        <v/>
      </c>
      <c r="E1808" s="13"/>
      <c r="F1808" s="14"/>
      <c r="G1808" s="8" t="str">
        <f>IF(OR(B1808="",E1808=""),"",IF(E1808="No","Missed",IF(F1808="","",IF(F1808&lt;=Settings!$B$7,"On time","Late"))))</f>
        <v/>
      </c>
      <c r="H1808" s="15"/>
      <c r="I1808" s="16"/>
      <c r="J1808" s="16"/>
      <c r="K1808" s="17" t="str">
        <f>IF(J1808="","",ROUND(J1808*Settings!$B$8,2))</f>
        <v/>
      </c>
      <c r="L1808" s="16"/>
      <c r="M1808" s="8" t="str">
        <f t="shared" si="28"/>
        <v/>
      </c>
      <c r="N1808" s="9"/>
    </row>
    <row r="1809" spans="1:14" ht="15.75">
      <c r="A1809" s="11"/>
      <c r="B1809" s="9"/>
      <c r="C1809" s="12" t="str">
        <f>IF(B1809="","",IFERROR(INDEX('Cashier Roster'!$C$5:$C$64,MATCH(B1809,'Cashier Roster'!$B$5:$B$64,0)),"Not on roster"))</f>
        <v/>
      </c>
      <c r="D1809" s="12" t="str">
        <f>IF(B1809="","",IFERROR(INDEX('Cashier Roster'!$D$5:$D$64,MATCH(B1809,'Cashier Roster'!$B$5:$B$64,0)),""))</f>
        <v/>
      </c>
      <c r="E1809" s="13"/>
      <c r="F1809" s="14"/>
      <c r="G1809" s="8" t="str">
        <f>IF(OR(B1809="",E1809=""),"",IF(E1809="No","Missed",IF(F1809="","",IF(F1809&lt;=Settings!$B$7,"On time","Late"))))</f>
        <v/>
      </c>
      <c r="H1809" s="15"/>
      <c r="I1809" s="16"/>
      <c r="J1809" s="16"/>
      <c r="K1809" s="17" t="str">
        <f>IF(J1809="","",ROUND(J1809*Settings!$B$8,2))</f>
        <v/>
      </c>
      <c r="L1809" s="16"/>
      <c r="M1809" s="8" t="str">
        <f t="shared" si="28"/>
        <v/>
      </c>
      <c r="N1809" s="9"/>
    </row>
    <row r="1810" spans="1:14" ht="15.75">
      <c r="A1810" s="11"/>
      <c r="B1810" s="9"/>
      <c r="C1810" s="12" t="str">
        <f>IF(B1810="","",IFERROR(INDEX('Cashier Roster'!$C$5:$C$64,MATCH(B1810,'Cashier Roster'!$B$5:$B$64,0)),"Not on roster"))</f>
        <v/>
      </c>
      <c r="D1810" s="12" t="str">
        <f>IF(B1810="","",IFERROR(INDEX('Cashier Roster'!$D$5:$D$64,MATCH(B1810,'Cashier Roster'!$B$5:$B$64,0)),""))</f>
        <v/>
      </c>
      <c r="E1810" s="13"/>
      <c r="F1810" s="14"/>
      <c r="G1810" s="8" t="str">
        <f>IF(OR(B1810="",E1810=""),"",IF(E1810="No","Missed",IF(F1810="","",IF(F1810&lt;=Settings!$B$7,"On time","Late"))))</f>
        <v/>
      </c>
      <c r="H1810" s="15"/>
      <c r="I1810" s="16"/>
      <c r="J1810" s="16"/>
      <c r="K1810" s="17" t="str">
        <f>IF(J1810="","",ROUND(J1810*Settings!$B$8,2))</f>
        <v/>
      </c>
      <c r="L1810" s="16"/>
      <c r="M1810" s="8" t="str">
        <f t="shared" si="28"/>
        <v/>
      </c>
      <c r="N1810" s="9"/>
    </row>
    <row r="1811" spans="1:14" ht="15.75">
      <c r="A1811" s="11"/>
      <c r="B1811" s="9"/>
      <c r="C1811" s="12" t="str">
        <f>IF(B1811="","",IFERROR(INDEX('Cashier Roster'!$C$5:$C$64,MATCH(B1811,'Cashier Roster'!$B$5:$B$64,0)),"Not on roster"))</f>
        <v/>
      </c>
      <c r="D1811" s="12" t="str">
        <f>IF(B1811="","",IFERROR(INDEX('Cashier Roster'!$D$5:$D$64,MATCH(B1811,'Cashier Roster'!$B$5:$B$64,0)),""))</f>
        <v/>
      </c>
      <c r="E1811" s="13"/>
      <c r="F1811" s="14"/>
      <c r="G1811" s="8" t="str">
        <f>IF(OR(B1811="",E1811=""),"",IF(E1811="No","Missed",IF(F1811="","",IF(F1811&lt;=Settings!$B$7,"On time","Late"))))</f>
        <v/>
      </c>
      <c r="H1811" s="15"/>
      <c r="I1811" s="16"/>
      <c r="J1811" s="16"/>
      <c r="K1811" s="17" t="str">
        <f>IF(J1811="","",ROUND(J1811*Settings!$B$8,2))</f>
        <v/>
      </c>
      <c r="L1811" s="16"/>
      <c r="M1811" s="8" t="str">
        <f t="shared" si="28"/>
        <v/>
      </c>
      <c r="N1811" s="9"/>
    </row>
    <row r="1812" spans="1:14" ht="15.75">
      <c r="A1812" s="11"/>
      <c r="B1812" s="9"/>
      <c r="C1812" s="12" t="str">
        <f>IF(B1812="","",IFERROR(INDEX('Cashier Roster'!$C$5:$C$64,MATCH(B1812,'Cashier Roster'!$B$5:$B$64,0)),"Not on roster"))</f>
        <v/>
      </c>
      <c r="D1812" s="12" t="str">
        <f>IF(B1812="","",IFERROR(INDEX('Cashier Roster'!$D$5:$D$64,MATCH(B1812,'Cashier Roster'!$B$5:$B$64,0)),""))</f>
        <v/>
      </c>
      <c r="E1812" s="13"/>
      <c r="F1812" s="14"/>
      <c r="G1812" s="8" t="str">
        <f>IF(OR(B1812="",E1812=""),"",IF(E1812="No","Missed",IF(F1812="","",IF(F1812&lt;=Settings!$B$7,"On time","Late"))))</f>
        <v/>
      </c>
      <c r="H1812" s="15"/>
      <c r="I1812" s="16"/>
      <c r="J1812" s="16"/>
      <c r="K1812" s="17" t="str">
        <f>IF(J1812="","",ROUND(J1812*Settings!$B$8,2))</f>
        <v/>
      </c>
      <c r="L1812" s="16"/>
      <c r="M1812" s="8" t="str">
        <f t="shared" si="28"/>
        <v/>
      </c>
      <c r="N1812" s="9"/>
    </row>
    <row r="1813" spans="1:14" ht="15.75">
      <c r="A1813" s="11"/>
      <c r="B1813" s="9"/>
      <c r="C1813" s="12" t="str">
        <f>IF(B1813="","",IFERROR(INDEX('Cashier Roster'!$C$5:$C$64,MATCH(B1813,'Cashier Roster'!$B$5:$B$64,0)),"Not on roster"))</f>
        <v/>
      </c>
      <c r="D1813" s="12" t="str">
        <f>IF(B1813="","",IFERROR(INDEX('Cashier Roster'!$D$5:$D$64,MATCH(B1813,'Cashier Roster'!$B$5:$B$64,0)),""))</f>
        <v/>
      </c>
      <c r="E1813" s="13"/>
      <c r="F1813" s="14"/>
      <c r="G1813" s="8" t="str">
        <f>IF(OR(B1813="",E1813=""),"",IF(E1813="No","Missed",IF(F1813="","",IF(F1813&lt;=Settings!$B$7,"On time","Late"))))</f>
        <v/>
      </c>
      <c r="H1813" s="15"/>
      <c r="I1813" s="16"/>
      <c r="J1813" s="16"/>
      <c r="K1813" s="17" t="str">
        <f>IF(J1813="","",ROUND(J1813*Settings!$B$8,2))</f>
        <v/>
      </c>
      <c r="L1813" s="16"/>
      <c r="M1813" s="8" t="str">
        <f t="shared" si="28"/>
        <v/>
      </c>
      <c r="N1813" s="9"/>
    </row>
    <row r="1814" spans="1:14" ht="15.75">
      <c r="A1814" s="11"/>
      <c r="B1814" s="9"/>
      <c r="C1814" s="12" t="str">
        <f>IF(B1814="","",IFERROR(INDEX('Cashier Roster'!$C$5:$C$64,MATCH(B1814,'Cashier Roster'!$B$5:$B$64,0)),"Not on roster"))</f>
        <v/>
      </c>
      <c r="D1814" s="12" t="str">
        <f>IF(B1814="","",IFERROR(INDEX('Cashier Roster'!$D$5:$D$64,MATCH(B1814,'Cashier Roster'!$B$5:$B$64,0)),""))</f>
        <v/>
      </c>
      <c r="E1814" s="13"/>
      <c r="F1814" s="14"/>
      <c r="G1814" s="8" t="str">
        <f>IF(OR(B1814="",E1814=""),"",IF(E1814="No","Missed",IF(F1814="","",IF(F1814&lt;=Settings!$B$7,"On time","Late"))))</f>
        <v/>
      </c>
      <c r="H1814" s="15"/>
      <c r="I1814" s="16"/>
      <c r="J1814" s="16"/>
      <c r="K1814" s="17" t="str">
        <f>IF(J1814="","",ROUND(J1814*Settings!$B$8,2))</f>
        <v/>
      </c>
      <c r="L1814" s="16"/>
      <c r="M1814" s="8" t="str">
        <f t="shared" si="28"/>
        <v/>
      </c>
      <c r="N1814" s="9"/>
    </row>
    <row r="1815" spans="1:14" ht="15.75">
      <c r="A1815" s="11"/>
      <c r="B1815" s="9"/>
      <c r="C1815" s="12" t="str">
        <f>IF(B1815="","",IFERROR(INDEX('Cashier Roster'!$C$5:$C$64,MATCH(B1815,'Cashier Roster'!$B$5:$B$64,0)),"Not on roster"))</f>
        <v/>
      </c>
      <c r="D1815" s="12" t="str">
        <f>IF(B1815="","",IFERROR(INDEX('Cashier Roster'!$D$5:$D$64,MATCH(B1815,'Cashier Roster'!$B$5:$B$64,0)),""))</f>
        <v/>
      </c>
      <c r="E1815" s="13"/>
      <c r="F1815" s="14"/>
      <c r="G1815" s="8" t="str">
        <f>IF(OR(B1815="",E1815=""),"",IF(E1815="No","Missed",IF(F1815="","",IF(F1815&lt;=Settings!$B$7,"On time","Late"))))</f>
        <v/>
      </c>
      <c r="H1815" s="15"/>
      <c r="I1815" s="16"/>
      <c r="J1815" s="16"/>
      <c r="K1815" s="17" t="str">
        <f>IF(J1815="","",ROUND(J1815*Settings!$B$8,2))</f>
        <v/>
      </c>
      <c r="L1815" s="16"/>
      <c r="M1815" s="8" t="str">
        <f t="shared" si="28"/>
        <v/>
      </c>
      <c r="N1815" s="9"/>
    </row>
    <row r="1816" spans="1:14" ht="15.75">
      <c r="A1816" s="11"/>
      <c r="B1816" s="9"/>
      <c r="C1816" s="12" t="str">
        <f>IF(B1816="","",IFERROR(INDEX('Cashier Roster'!$C$5:$C$64,MATCH(B1816,'Cashier Roster'!$B$5:$B$64,0)),"Not on roster"))</f>
        <v/>
      </c>
      <c r="D1816" s="12" t="str">
        <f>IF(B1816="","",IFERROR(INDEX('Cashier Roster'!$D$5:$D$64,MATCH(B1816,'Cashier Roster'!$B$5:$B$64,0)),""))</f>
        <v/>
      </c>
      <c r="E1816" s="13"/>
      <c r="F1816" s="14"/>
      <c r="G1816" s="8" t="str">
        <f>IF(OR(B1816="",E1816=""),"",IF(E1816="No","Missed",IF(F1816="","",IF(F1816&lt;=Settings!$B$7,"On time","Late"))))</f>
        <v/>
      </c>
      <c r="H1816" s="15"/>
      <c r="I1816" s="16"/>
      <c r="J1816" s="16"/>
      <c r="K1816" s="17" t="str">
        <f>IF(J1816="","",ROUND(J1816*Settings!$B$8,2))</f>
        <v/>
      </c>
      <c r="L1816" s="16"/>
      <c r="M1816" s="8" t="str">
        <f t="shared" si="28"/>
        <v/>
      </c>
      <c r="N1816" s="9"/>
    </row>
    <row r="1817" spans="1:14" ht="15.75">
      <c r="A1817" s="11"/>
      <c r="B1817" s="9"/>
      <c r="C1817" s="12" t="str">
        <f>IF(B1817="","",IFERROR(INDEX('Cashier Roster'!$C$5:$C$64,MATCH(B1817,'Cashier Roster'!$B$5:$B$64,0)),"Not on roster"))</f>
        <v/>
      </c>
      <c r="D1817" s="12" t="str">
        <f>IF(B1817="","",IFERROR(INDEX('Cashier Roster'!$D$5:$D$64,MATCH(B1817,'Cashier Roster'!$B$5:$B$64,0)),""))</f>
        <v/>
      </c>
      <c r="E1817" s="13"/>
      <c r="F1817" s="14"/>
      <c r="G1817" s="8" t="str">
        <f>IF(OR(B1817="",E1817=""),"",IF(E1817="No","Missed",IF(F1817="","",IF(F1817&lt;=Settings!$B$7,"On time","Late"))))</f>
        <v/>
      </c>
      <c r="H1817" s="15"/>
      <c r="I1817" s="16"/>
      <c r="J1817" s="16"/>
      <c r="K1817" s="17" t="str">
        <f>IF(J1817="","",ROUND(J1817*Settings!$B$8,2))</f>
        <v/>
      </c>
      <c r="L1817" s="16"/>
      <c r="M1817" s="8" t="str">
        <f t="shared" si="28"/>
        <v/>
      </c>
      <c r="N1817" s="9"/>
    </row>
    <row r="1818" spans="1:14" ht="15.75">
      <c r="A1818" s="11"/>
      <c r="B1818" s="9"/>
      <c r="C1818" s="12" t="str">
        <f>IF(B1818="","",IFERROR(INDEX('Cashier Roster'!$C$5:$C$64,MATCH(B1818,'Cashier Roster'!$B$5:$B$64,0)),"Not on roster"))</f>
        <v/>
      </c>
      <c r="D1818" s="12" t="str">
        <f>IF(B1818="","",IFERROR(INDEX('Cashier Roster'!$D$5:$D$64,MATCH(B1818,'Cashier Roster'!$B$5:$B$64,0)),""))</f>
        <v/>
      </c>
      <c r="E1818" s="13"/>
      <c r="F1818" s="14"/>
      <c r="G1818" s="8" t="str">
        <f>IF(OR(B1818="",E1818=""),"",IF(E1818="No","Missed",IF(F1818="","",IF(F1818&lt;=Settings!$B$7,"On time","Late"))))</f>
        <v/>
      </c>
      <c r="H1818" s="15"/>
      <c r="I1818" s="16"/>
      <c r="J1818" s="16"/>
      <c r="K1818" s="17" t="str">
        <f>IF(J1818="","",ROUND(J1818*Settings!$B$8,2))</f>
        <v/>
      </c>
      <c r="L1818" s="16"/>
      <c r="M1818" s="8" t="str">
        <f t="shared" si="28"/>
        <v/>
      </c>
      <c r="N1818" s="9"/>
    </row>
    <row r="1819" spans="1:14" ht="15.75">
      <c r="A1819" s="11"/>
      <c r="B1819" s="9"/>
      <c r="C1819" s="12" t="str">
        <f>IF(B1819="","",IFERROR(INDEX('Cashier Roster'!$C$5:$C$64,MATCH(B1819,'Cashier Roster'!$B$5:$B$64,0)),"Not on roster"))</f>
        <v/>
      </c>
      <c r="D1819" s="12" t="str">
        <f>IF(B1819="","",IFERROR(INDEX('Cashier Roster'!$D$5:$D$64,MATCH(B1819,'Cashier Roster'!$B$5:$B$64,0)),""))</f>
        <v/>
      </c>
      <c r="E1819" s="13"/>
      <c r="F1819" s="14"/>
      <c r="G1819" s="8" t="str">
        <f>IF(OR(B1819="",E1819=""),"",IF(E1819="No","Missed",IF(F1819="","",IF(F1819&lt;=Settings!$B$7,"On time","Late"))))</f>
        <v/>
      </c>
      <c r="H1819" s="15"/>
      <c r="I1819" s="16"/>
      <c r="J1819" s="16"/>
      <c r="K1819" s="17" t="str">
        <f>IF(J1819="","",ROUND(J1819*Settings!$B$8,2))</f>
        <v/>
      </c>
      <c r="L1819" s="16"/>
      <c r="M1819" s="8" t="str">
        <f t="shared" si="28"/>
        <v/>
      </c>
      <c r="N1819" s="9"/>
    </row>
    <row r="1820" spans="1:14" ht="15.75">
      <c r="A1820" s="11"/>
      <c r="B1820" s="9"/>
      <c r="C1820" s="12" t="str">
        <f>IF(B1820="","",IFERROR(INDEX('Cashier Roster'!$C$5:$C$64,MATCH(B1820,'Cashier Roster'!$B$5:$B$64,0)),"Not on roster"))</f>
        <v/>
      </c>
      <c r="D1820" s="12" t="str">
        <f>IF(B1820="","",IFERROR(INDEX('Cashier Roster'!$D$5:$D$64,MATCH(B1820,'Cashier Roster'!$B$5:$B$64,0)),""))</f>
        <v/>
      </c>
      <c r="E1820" s="13"/>
      <c r="F1820" s="14"/>
      <c r="G1820" s="8" t="str">
        <f>IF(OR(B1820="",E1820=""),"",IF(E1820="No","Missed",IF(F1820="","",IF(F1820&lt;=Settings!$B$7,"On time","Late"))))</f>
        <v/>
      </c>
      <c r="H1820" s="15"/>
      <c r="I1820" s="16"/>
      <c r="J1820" s="16"/>
      <c r="K1820" s="17" t="str">
        <f>IF(J1820="","",ROUND(J1820*Settings!$B$8,2))</f>
        <v/>
      </c>
      <c r="L1820" s="16"/>
      <c r="M1820" s="8" t="str">
        <f t="shared" si="28"/>
        <v/>
      </c>
      <c r="N1820" s="9"/>
    </row>
    <row r="1821" spans="1:14" ht="15.75">
      <c r="A1821" s="11"/>
      <c r="B1821" s="9"/>
      <c r="C1821" s="12" t="str">
        <f>IF(B1821="","",IFERROR(INDEX('Cashier Roster'!$C$5:$C$64,MATCH(B1821,'Cashier Roster'!$B$5:$B$64,0)),"Not on roster"))</f>
        <v/>
      </c>
      <c r="D1821" s="12" t="str">
        <f>IF(B1821="","",IFERROR(INDEX('Cashier Roster'!$D$5:$D$64,MATCH(B1821,'Cashier Roster'!$B$5:$B$64,0)),""))</f>
        <v/>
      </c>
      <c r="E1821" s="13"/>
      <c r="F1821" s="14"/>
      <c r="G1821" s="8" t="str">
        <f>IF(OR(B1821="",E1821=""),"",IF(E1821="No","Missed",IF(F1821="","",IF(F1821&lt;=Settings!$B$7,"On time","Late"))))</f>
        <v/>
      </c>
      <c r="H1821" s="15"/>
      <c r="I1821" s="16"/>
      <c r="J1821" s="16"/>
      <c r="K1821" s="17" t="str">
        <f>IF(J1821="","",ROUND(J1821*Settings!$B$8,2))</f>
        <v/>
      </c>
      <c r="L1821" s="16"/>
      <c r="M1821" s="8" t="str">
        <f t="shared" si="28"/>
        <v/>
      </c>
      <c r="N1821" s="9"/>
    </row>
    <row r="1822" spans="1:14" ht="15.75">
      <c r="A1822" s="11"/>
      <c r="B1822" s="9"/>
      <c r="C1822" s="12" t="str">
        <f>IF(B1822="","",IFERROR(INDEX('Cashier Roster'!$C$5:$C$64,MATCH(B1822,'Cashier Roster'!$B$5:$B$64,0)),"Not on roster"))</f>
        <v/>
      </c>
      <c r="D1822" s="12" t="str">
        <f>IF(B1822="","",IFERROR(INDEX('Cashier Roster'!$D$5:$D$64,MATCH(B1822,'Cashier Roster'!$B$5:$B$64,0)),""))</f>
        <v/>
      </c>
      <c r="E1822" s="13"/>
      <c r="F1822" s="14"/>
      <c r="G1822" s="8" t="str">
        <f>IF(OR(B1822="",E1822=""),"",IF(E1822="No","Missed",IF(F1822="","",IF(F1822&lt;=Settings!$B$7,"On time","Late"))))</f>
        <v/>
      </c>
      <c r="H1822" s="15"/>
      <c r="I1822" s="16"/>
      <c r="J1822" s="16"/>
      <c r="K1822" s="17" t="str">
        <f>IF(J1822="","",ROUND(J1822*Settings!$B$8,2))</f>
        <v/>
      </c>
      <c r="L1822" s="16"/>
      <c r="M1822" s="8" t="str">
        <f t="shared" si="28"/>
        <v/>
      </c>
      <c r="N1822" s="9"/>
    </row>
    <row r="1823" spans="1:14" ht="15.75">
      <c r="A1823" s="11"/>
      <c r="B1823" s="9"/>
      <c r="C1823" s="12" t="str">
        <f>IF(B1823="","",IFERROR(INDEX('Cashier Roster'!$C$5:$C$64,MATCH(B1823,'Cashier Roster'!$B$5:$B$64,0)),"Not on roster"))</f>
        <v/>
      </c>
      <c r="D1823" s="12" t="str">
        <f>IF(B1823="","",IFERROR(INDEX('Cashier Roster'!$D$5:$D$64,MATCH(B1823,'Cashier Roster'!$B$5:$B$64,0)),""))</f>
        <v/>
      </c>
      <c r="E1823" s="13"/>
      <c r="F1823" s="14"/>
      <c r="G1823" s="8" t="str">
        <f>IF(OR(B1823="",E1823=""),"",IF(E1823="No","Missed",IF(F1823="","",IF(F1823&lt;=Settings!$B$7,"On time","Late"))))</f>
        <v/>
      </c>
      <c r="H1823" s="15"/>
      <c r="I1823" s="16"/>
      <c r="J1823" s="16"/>
      <c r="K1823" s="17" t="str">
        <f>IF(J1823="","",ROUND(J1823*Settings!$B$8,2))</f>
        <v/>
      </c>
      <c r="L1823" s="16"/>
      <c r="M1823" s="8" t="str">
        <f t="shared" si="28"/>
        <v/>
      </c>
      <c r="N1823" s="9"/>
    </row>
    <row r="1824" spans="1:14" ht="15.75">
      <c r="A1824" s="11"/>
      <c r="B1824" s="9"/>
      <c r="C1824" s="12" t="str">
        <f>IF(B1824="","",IFERROR(INDEX('Cashier Roster'!$C$5:$C$64,MATCH(B1824,'Cashier Roster'!$B$5:$B$64,0)),"Not on roster"))</f>
        <v/>
      </c>
      <c r="D1824" s="12" t="str">
        <f>IF(B1824="","",IFERROR(INDEX('Cashier Roster'!$D$5:$D$64,MATCH(B1824,'Cashier Roster'!$B$5:$B$64,0)),""))</f>
        <v/>
      </c>
      <c r="E1824" s="13"/>
      <c r="F1824" s="14"/>
      <c r="G1824" s="8" t="str">
        <f>IF(OR(B1824="",E1824=""),"",IF(E1824="No","Missed",IF(F1824="","",IF(F1824&lt;=Settings!$B$7,"On time","Late"))))</f>
        <v/>
      </c>
      <c r="H1824" s="15"/>
      <c r="I1824" s="16"/>
      <c r="J1824" s="16"/>
      <c r="K1824" s="17" t="str">
        <f>IF(J1824="","",ROUND(J1824*Settings!$B$8,2))</f>
        <v/>
      </c>
      <c r="L1824" s="16"/>
      <c r="M1824" s="8" t="str">
        <f t="shared" si="28"/>
        <v/>
      </c>
      <c r="N1824" s="9"/>
    </row>
    <row r="1825" spans="1:14" ht="15.75">
      <c r="A1825" s="11"/>
      <c r="B1825" s="9"/>
      <c r="C1825" s="12" t="str">
        <f>IF(B1825="","",IFERROR(INDEX('Cashier Roster'!$C$5:$C$64,MATCH(B1825,'Cashier Roster'!$B$5:$B$64,0)),"Not on roster"))</f>
        <v/>
      </c>
      <c r="D1825" s="12" t="str">
        <f>IF(B1825="","",IFERROR(INDEX('Cashier Roster'!$D$5:$D$64,MATCH(B1825,'Cashier Roster'!$B$5:$B$64,0)),""))</f>
        <v/>
      </c>
      <c r="E1825" s="13"/>
      <c r="F1825" s="14"/>
      <c r="G1825" s="8" t="str">
        <f>IF(OR(B1825="",E1825=""),"",IF(E1825="No","Missed",IF(F1825="","",IF(F1825&lt;=Settings!$B$7,"On time","Late"))))</f>
        <v/>
      </c>
      <c r="H1825" s="15"/>
      <c r="I1825" s="16"/>
      <c r="J1825" s="16"/>
      <c r="K1825" s="17" t="str">
        <f>IF(J1825="","",ROUND(J1825*Settings!$B$8,2))</f>
        <v/>
      </c>
      <c r="L1825" s="16"/>
      <c r="M1825" s="8" t="str">
        <f t="shared" si="28"/>
        <v/>
      </c>
      <c r="N1825" s="9"/>
    </row>
    <row r="1826" spans="1:14" ht="15.75">
      <c r="A1826" s="11"/>
      <c r="B1826" s="9"/>
      <c r="C1826" s="12" t="str">
        <f>IF(B1826="","",IFERROR(INDEX('Cashier Roster'!$C$5:$C$64,MATCH(B1826,'Cashier Roster'!$B$5:$B$64,0)),"Not on roster"))</f>
        <v/>
      </c>
      <c r="D1826" s="12" t="str">
        <f>IF(B1826="","",IFERROR(INDEX('Cashier Roster'!$D$5:$D$64,MATCH(B1826,'Cashier Roster'!$B$5:$B$64,0)),""))</f>
        <v/>
      </c>
      <c r="E1826" s="13"/>
      <c r="F1826" s="14"/>
      <c r="G1826" s="8" t="str">
        <f>IF(OR(B1826="",E1826=""),"",IF(E1826="No","Missed",IF(F1826="","",IF(F1826&lt;=Settings!$B$7,"On time","Late"))))</f>
        <v/>
      </c>
      <c r="H1826" s="15"/>
      <c r="I1826" s="16"/>
      <c r="J1826" s="16"/>
      <c r="K1826" s="17" t="str">
        <f>IF(J1826="","",ROUND(J1826*Settings!$B$8,2))</f>
        <v/>
      </c>
      <c r="L1826" s="16"/>
      <c r="M1826" s="8" t="str">
        <f t="shared" si="28"/>
        <v/>
      </c>
      <c r="N1826" s="9"/>
    </row>
    <row r="1827" spans="1:14" ht="15.75">
      <c r="A1827" s="11"/>
      <c r="B1827" s="9"/>
      <c r="C1827" s="12" t="str">
        <f>IF(B1827="","",IFERROR(INDEX('Cashier Roster'!$C$5:$C$64,MATCH(B1827,'Cashier Roster'!$B$5:$B$64,0)),"Not on roster"))</f>
        <v/>
      </c>
      <c r="D1827" s="12" t="str">
        <f>IF(B1827="","",IFERROR(INDEX('Cashier Roster'!$D$5:$D$64,MATCH(B1827,'Cashier Roster'!$B$5:$B$64,0)),""))</f>
        <v/>
      </c>
      <c r="E1827" s="13"/>
      <c r="F1827" s="14"/>
      <c r="G1827" s="8" t="str">
        <f>IF(OR(B1827="",E1827=""),"",IF(E1827="No","Missed",IF(F1827="","",IF(F1827&lt;=Settings!$B$7,"On time","Late"))))</f>
        <v/>
      </c>
      <c r="H1827" s="15"/>
      <c r="I1827" s="16"/>
      <c r="J1827" s="16"/>
      <c r="K1827" s="17" t="str">
        <f>IF(J1827="","",ROUND(J1827*Settings!$B$8,2))</f>
        <v/>
      </c>
      <c r="L1827" s="16"/>
      <c r="M1827" s="8" t="str">
        <f t="shared" si="28"/>
        <v/>
      </c>
      <c r="N1827" s="9"/>
    </row>
    <row r="1828" spans="1:14" ht="15.75">
      <c r="A1828" s="11"/>
      <c r="B1828" s="9"/>
      <c r="C1828" s="12" t="str">
        <f>IF(B1828="","",IFERROR(INDEX('Cashier Roster'!$C$5:$C$64,MATCH(B1828,'Cashier Roster'!$B$5:$B$64,0)),"Not on roster"))</f>
        <v/>
      </c>
      <c r="D1828" s="12" t="str">
        <f>IF(B1828="","",IFERROR(INDEX('Cashier Roster'!$D$5:$D$64,MATCH(B1828,'Cashier Roster'!$B$5:$B$64,0)),""))</f>
        <v/>
      </c>
      <c r="E1828" s="13"/>
      <c r="F1828" s="14"/>
      <c r="G1828" s="8" t="str">
        <f>IF(OR(B1828="",E1828=""),"",IF(E1828="No","Missed",IF(F1828="","",IF(F1828&lt;=Settings!$B$7,"On time","Late"))))</f>
        <v/>
      </c>
      <c r="H1828" s="15"/>
      <c r="I1828" s="16"/>
      <c r="J1828" s="16"/>
      <c r="K1828" s="17" t="str">
        <f>IF(J1828="","",ROUND(J1828*Settings!$B$8,2))</f>
        <v/>
      </c>
      <c r="L1828" s="16"/>
      <c r="M1828" s="8" t="str">
        <f t="shared" si="28"/>
        <v/>
      </c>
      <c r="N1828" s="9"/>
    </row>
    <row r="1829" spans="1:14" ht="15.75">
      <c r="A1829" s="11"/>
      <c r="B1829" s="9"/>
      <c r="C1829" s="12" t="str">
        <f>IF(B1829="","",IFERROR(INDEX('Cashier Roster'!$C$5:$C$64,MATCH(B1829,'Cashier Roster'!$B$5:$B$64,0)),"Not on roster"))</f>
        <v/>
      </c>
      <c r="D1829" s="12" t="str">
        <f>IF(B1829="","",IFERROR(INDEX('Cashier Roster'!$D$5:$D$64,MATCH(B1829,'Cashier Roster'!$B$5:$B$64,0)),""))</f>
        <v/>
      </c>
      <c r="E1829" s="13"/>
      <c r="F1829" s="14"/>
      <c r="G1829" s="8" t="str">
        <f>IF(OR(B1829="",E1829=""),"",IF(E1829="No","Missed",IF(F1829="","",IF(F1829&lt;=Settings!$B$7,"On time","Late"))))</f>
        <v/>
      </c>
      <c r="H1829" s="15"/>
      <c r="I1829" s="16"/>
      <c r="J1829" s="16"/>
      <c r="K1829" s="17" t="str">
        <f>IF(J1829="","",ROUND(J1829*Settings!$B$8,2))</f>
        <v/>
      </c>
      <c r="L1829" s="16"/>
      <c r="M1829" s="8" t="str">
        <f t="shared" si="28"/>
        <v/>
      </c>
      <c r="N1829" s="9"/>
    </row>
    <row r="1830" spans="1:14" ht="15.75">
      <c r="A1830" s="11"/>
      <c r="B1830" s="9"/>
      <c r="C1830" s="12" t="str">
        <f>IF(B1830="","",IFERROR(INDEX('Cashier Roster'!$C$5:$C$64,MATCH(B1830,'Cashier Roster'!$B$5:$B$64,0)),"Not on roster"))</f>
        <v/>
      </c>
      <c r="D1830" s="12" t="str">
        <f>IF(B1830="","",IFERROR(INDEX('Cashier Roster'!$D$5:$D$64,MATCH(B1830,'Cashier Roster'!$B$5:$B$64,0)),""))</f>
        <v/>
      </c>
      <c r="E1830" s="13"/>
      <c r="F1830" s="14"/>
      <c r="G1830" s="8" t="str">
        <f>IF(OR(B1830="",E1830=""),"",IF(E1830="No","Missed",IF(F1830="","",IF(F1830&lt;=Settings!$B$7,"On time","Late"))))</f>
        <v/>
      </c>
      <c r="H1830" s="15"/>
      <c r="I1830" s="16"/>
      <c r="J1830" s="16"/>
      <c r="K1830" s="17" t="str">
        <f>IF(J1830="","",ROUND(J1830*Settings!$B$8,2))</f>
        <v/>
      </c>
      <c r="L1830" s="16"/>
      <c r="M1830" s="8" t="str">
        <f t="shared" si="28"/>
        <v/>
      </c>
      <c r="N1830" s="9"/>
    </row>
    <row r="1831" spans="1:14" ht="15.75">
      <c r="A1831" s="11"/>
      <c r="B1831" s="9"/>
      <c r="C1831" s="12" t="str">
        <f>IF(B1831="","",IFERROR(INDEX('Cashier Roster'!$C$5:$C$64,MATCH(B1831,'Cashier Roster'!$B$5:$B$64,0)),"Not on roster"))</f>
        <v/>
      </c>
      <c r="D1831" s="12" t="str">
        <f>IF(B1831="","",IFERROR(INDEX('Cashier Roster'!$D$5:$D$64,MATCH(B1831,'Cashier Roster'!$B$5:$B$64,0)),""))</f>
        <v/>
      </c>
      <c r="E1831" s="13"/>
      <c r="F1831" s="14"/>
      <c r="G1831" s="8" t="str">
        <f>IF(OR(B1831="",E1831=""),"",IF(E1831="No","Missed",IF(F1831="","",IF(F1831&lt;=Settings!$B$7,"On time","Late"))))</f>
        <v/>
      </c>
      <c r="H1831" s="15"/>
      <c r="I1831" s="16"/>
      <c r="J1831" s="16"/>
      <c r="K1831" s="17" t="str">
        <f>IF(J1831="","",ROUND(J1831*Settings!$B$8,2))</f>
        <v/>
      </c>
      <c r="L1831" s="16"/>
      <c r="M1831" s="8" t="str">
        <f t="shared" si="28"/>
        <v/>
      </c>
      <c r="N1831" s="9"/>
    </row>
    <row r="1832" spans="1:14" ht="15.75">
      <c r="A1832" s="11"/>
      <c r="B1832" s="9"/>
      <c r="C1832" s="12" t="str">
        <f>IF(B1832="","",IFERROR(INDEX('Cashier Roster'!$C$5:$C$64,MATCH(B1832,'Cashier Roster'!$B$5:$B$64,0)),"Not on roster"))</f>
        <v/>
      </c>
      <c r="D1832" s="12" t="str">
        <f>IF(B1832="","",IFERROR(INDEX('Cashier Roster'!$D$5:$D$64,MATCH(B1832,'Cashier Roster'!$B$5:$B$64,0)),""))</f>
        <v/>
      </c>
      <c r="E1832" s="13"/>
      <c r="F1832" s="14"/>
      <c r="G1832" s="8" t="str">
        <f>IF(OR(B1832="",E1832=""),"",IF(E1832="No","Missed",IF(F1832="","",IF(F1832&lt;=Settings!$B$7,"On time","Late"))))</f>
        <v/>
      </c>
      <c r="H1832" s="15"/>
      <c r="I1832" s="16"/>
      <c r="J1832" s="16"/>
      <c r="K1832" s="17" t="str">
        <f>IF(J1832="","",ROUND(J1832*Settings!$B$8,2))</f>
        <v/>
      </c>
      <c r="L1832" s="16"/>
      <c r="M1832" s="8" t="str">
        <f t="shared" si="28"/>
        <v/>
      </c>
      <c r="N1832" s="9"/>
    </row>
    <row r="1833" spans="1:14" ht="15.75">
      <c r="A1833" s="11"/>
      <c r="B1833" s="9"/>
      <c r="C1833" s="12" t="str">
        <f>IF(B1833="","",IFERROR(INDEX('Cashier Roster'!$C$5:$C$64,MATCH(B1833,'Cashier Roster'!$B$5:$B$64,0)),"Not on roster"))</f>
        <v/>
      </c>
      <c r="D1833" s="12" t="str">
        <f>IF(B1833="","",IFERROR(INDEX('Cashier Roster'!$D$5:$D$64,MATCH(B1833,'Cashier Roster'!$B$5:$B$64,0)),""))</f>
        <v/>
      </c>
      <c r="E1833" s="13"/>
      <c r="F1833" s="14"/>
      <c r="G1833" s="8" t="str">
        <f>IF(OR(B1833="",E1833=""),"",IF(E1833="No","Missed",IF(F1833="","",IF(F1833&lt;=Settings!$B$7,"On time","Late"))))</f>
        <v/>
      </c>
      <c r="H1833" s="15"/>
      <c r="I1833" s="16"/>
      <c r="J1833" s="16"/>
      <c r="K1833" s="17" t="str">
        <f>IF(J1833="","",ROUND(J1833*Settings!$B$8,2))</f>
        <v/>
      </c>
      <c r="L1833" s="16"/>
      <c r="M1833" s="8" t="str">
        <f t="shared" si="28"/>
        <v/>
      </c>
      <c r="N1833" s="9"/>
    </row>
    <row r="1834" spans="1:14" ht="15.75">
      <c r="A1834" s="11"/>
      <c r="B1834" s="9"/>
      <c r="C1834" s="12" t="str">
        <f>IF(B1834="","",IFERROR(INDEX('Cashier Roster'!$C$5:$C$64,MATCH(B1834,'Cashier Roster'!$B$5:$B$64,0)),"Not on roster"))</f>
        <v/>
      </c>
      <c r="D1834" s="12" t="str">
        <f>IF(B1834="","",IFERROR(INDEX('Cashier Roster'!$D$5:$D$64,MATCH(B1834,'Cashier Roster'!$B$5:$B$64,0)),""))</f>
        <v/>
      </c>
      <c r="E1834" s="13"/>
      <c r="F1834" s="14"/>
      <c r="G1834" s="8" t="str">
        <f>IF(OR(B1834="",E1834=""),"",IF(E1834="No","Missed",IF(F1834="","",IF(F1834&lt;=Settings!$B$7,"On time","Late"))))</f>
        <v/>
      </c>
      <c r="H1834" s="15"/>
      <c r="I1834" s="16"/>
      <c r="J1834" s="16"/>
      <c r="K1834" s="17" t="str">
        <f>IF(J1834="","",ROUND(J1834*Settings!$B$8,2))</f>
        <v/>
      </c>
      <c r="L1834" s="16"/>
      <c r="M1834" s="8" t="str">
        <f t="shared" si="28"/>
        <v/>
      </c>
      <c r="N1834" s="9"/>
    </row>
    <row r="1835" spans="1:14" ht="15.75">
      <c r="A1835" s="11"/>
      <c r="B1835" s="9"/>
      <c r="C1835" s="12" t="str">
        <f>IF(B1835="","",IFERROR(INDEX('Cashier Roster'!$C$5:$C$64,MATCH(B1835,'Cashier Roster'!$B$5:$B$64,0)),"Not on roster"))</f>
        <v/>
      </c>
      <c r="D1835" s="12" t="str">
        <f>IF(B1835="","",IFERROR(INDEX('Cashier Roster'!$D$5:$D$64,MATCH(B1835,'Cashier Roster'!$B$5:$B$64,0)),""))</f>
        <v/>
      </c>
      <c r="E1835" s="13"/>
      <c r="F1835" s="14"/>
      <c r="G1835" s="8" t="str">
        <f>IF(OR(B1835="",E1835=""),"",IF(E1835="No","Missed",IF(F1835="","",IF(F1835&lt;=Settings!$B$7,"On time","Late"))))</f>
        <v/>
      </c>
      <c r="H1835" s="15"/>
      <c r="I1835" s="16"/>
      <c r="J1835" s="16"/>
      <c r="K1835" s="17" t="str">
        <f>IF(J1835="","",ROUND(J1835*Settings!$B$8,2))</f>
        <v/>
      </c>
      <c r="L1835" s="16"/>
      <c r="M1835" s="8" t="str">
        <f t="shared" si="28"/>
        <v/>
      </c>
      <c r="N1835" s="9"/>
    </row>
    <row r="1836" spans="1:14" ht="15.75">
      <c r="A1836" s="11"/>
      <c r="B1836" s="9"/>
      <c r="C1836" s="12" t="str">
        <f>IF(B1836="","",IFERROR(INDEX('Cashier Roster'!$C$5:$C$64,MATCH(B1836,'Cashier Roster'!$B$5:$B$64,0)),"Not on roster"))</f>
        <v/>
      </c>
      <c r="D1836" s="12" t="str">
        <f>IF(B1836="","",IFERROR(INDEX('Cashier Roster'!$D$5:$D$64,MATCH(B1836,'Cashier Roster'!$B$5:$B$64,0)),""))</f>
        <v/>
      </c>
      <c r="E1836" s="13"/>
      <c r="F1836" s="14"/>
      <c r="G1836" s="8" t="str">
        <f>IF(OR(B1836="",E1836=""),"",IF(E1836="No","Missed",IF(F1836="","",IF(F1836&lt;=Settings!$B$7,"On time","Late"))))</f>
        <v/>
      </c>
      <c r="H1836" s="15"/>
      <c r="I1836" s="16"/>
      <c r="J1836" s="16"/>
      <c r="K1836" s="17" t="str">
        <f>IF(J1836="","",ROUND(J1836*Settings!$B$8,2))</f>
        <v/>
      </c>
      <c r="L1836" s="16"/>
      <c r="M1836" s="8" t="str">
        <f t="shared" si="28"/>
        <v/>
      </c>
      <c r="N1836" s="9"/>
    </row>
    <row r="1837" spans="1:14" ht="15.75">
      <c r="A1837" s="11"/>
      <c r="B1837" s="9"/>
      <c r="C1837" s="12" t="str">
        <f>IF(B1837="","",IFERROR(INDEX('Cashier Roster'!$C$5:$C$64,MATCH(B1837,'Cashier Roster'!$B$5:$B$64,0)),"Not on roster"))</f>
        <v/>
      </c>
      <c r="D1837" s="12" t="str">
        <f>IF(B1837="","",IFERROR(INDEX('Cashier Roster'!$D$5:$D$64,MATCH(B1837,'Cashier Roster'!$B$5:$B$64,0)),""))</f>
        <v/>
      </c>
      <c r="E1837" s="13"/>
      <c r="F1837" s="14"/>
      <c r="G1837" s="8" t="str">
        <f>IF(OR(B1837="",E1837=""),"",IF(E1837="No","Missed",IF(F1837="","",IF(F1837&lt;=Settings!$B$7,"On time","Late"))))</f>
        <v/>
      </c>
      <c r="H1837" s="15"/>
      <c r="I1837" s="16"/>
      <c r="J1837" s="16"/>
      <c r="K1837" s="17" t="str">
        <f>IF(J1837="","",ROUND(J1837*Settings!$B$8,2))</f>
        <v/>
      </c>
      <c r="L1837" s="16"/>
      <c r="M1837" s="8" t="str">
        <f t="shared" si="28"/>
        <v/>
      </c>
      <c r="N1837" s="9"/>
    </row>
    <row r="1838" spans="1:14" ht="15.75">
      <c r="A1838" s="11"/>
      <c r="B1838" s="9"/>
      <c r="C1838" s="12" t="str">
        <f>IF(B1838="","",IFERROR(INDEX('Cashier Roster'!$C$5:$C$64,MATCH(B1838,'Cashier Roster'!$B$5:$B$64,0)),"Not on roster"))</f>
        <v/>
      </c>
      <c r="D1838" s="12" t="str">
        <f>IF(B1838="","",IFERROR(INDEX('Cashier Roster'!$D$5:$D$64,MATCH(B1838,'Cashier Roster'!$B$5:$B$64,0)),""))</f>
        <v/>
      </c>
      <c r="E1838" s="13"/>
      <c r="F1838" s="14"/>
      <c r="G1838" s="8" t="str">
        <f>IF(OR(B1838="",E1838=""),"",IF(E1838="No","Missed",IF(F1838="","",IF(F1838&lt;=Settings!$B$7,"On time","Late"))))</f>
        <v/>
      </c>
      <c r="H1838" s="15"/>
      <c r="I1838" s="16"/>
      <c r="J1838" s="16"/>
      <c r="K1838" s="17" t="str">
        <f>IF(J1838="","",ROUND(J1838*Settings!$B$8,2))</f>
        <v/>
      </c>
      <c r="L1838" s="16"/>
      <c r="M1838" s="8" t="str">
        <f t="shared" si="28"/>
        <v/>
      </c>
      <c r="N1838" s="9"/>
    </row>
    <row r="1839" spans="1:14" ht="15.75">
      <c r="A1839" s="11"/>
      <c r="B1839" s="9"/>
      <c r="C1839" s="12" t="str">
        <f>IF(B1839="","",IFERROR(INDEX('Cashier Roster'!$C$5:$C$64,MATCH(B1839,'Cashier Roster'!$B$5:$B$64,0)),"Not on roster"))</f>
        <v/>
      </c>
      <c r="D1839" s="12" t="str">
        <f>IF(B1839="","",IFERROR(INDEX('Cashier Roster'!$D$5:$D$64,MATCH(B1839,'Cashier Roster'!$B$5:$B$64,0)),""))</f>
        <v/>
      </c>
      <c r="E1839" s="13"/>
      <c r="F1839" s="14"/>
      <c r="G1839" s="8" t="str">
        <f>IF(OR(B1839="",E1839=""),"",IF(E1839="No","Missed",IF(F1839="","",IF(F1839&lt;=Settings!$B$7,"On time","Late"))))</f>
        <v/>
      </c>
      <c r="H1839" s="15"/>
      <c r="I1839" s="16"/>
      <c r="J1839" s="16"/>
      <c r="K1839" s="17" t="str">
        <f>IF(J1839="","",ROUND(J1839*Settings!$B$8,2))</f>
        <v/>
      </c>
      <c r="L1839" s="16"/>
      <c r="M1839" s="8" t="str">
        <f t="shared" si="28"/>
        <v/>
      </c>
      <c r="N1839" s="9"/>
    </row>
    <row r="1840" spans="1:14" ht="15.75">
      <c r="A1840" s="11"/>
      <c r="B1840" s="9"/>
      <c r="C1840" s="12" t="str">
        <f>IF(B1840="","",IFERROR(INDEX('Cashier Roster'!$C$5:$C$64,MATCH(B1840,'Cashier Roster'!$B$5:$B$64,0)),"Not on roster"))</f>
        <v/>
      </c>
      <c r="D1840" s="12" t="str">
        <f>IF(B1840="","",IFERROR(INDEX('Cashier Roster'!$D$5:$D$64,MATCH(B1840,'Cashier Roster'!$B$5:$B$64,0)),""))</f>
        <v/>
      </c>
      <c r="E1840" s="13"/>
      <c r="F1840" s="14"/>
      <c r="G1840" s="8" t="str">
        <f>IF(OR(B1840="",E1840=""),"",IF(E1840="No","Missed",IF(F1840="","",IF(F1840&lt;=Settings!$B$7,"On time","Late"))))</f>
        <v/>
      </c>
      <c r="H1840" s="15"/>
      <c r="I1840" s="16"/>
      <c r="J1840" s="16"/>
      <c r="K1840" s="17" t="str">
        <f>IF(J1840="","",ROUND(J1840*Settings!$B$8,2))</f>
        <v/>
      </c>
      <c r="L1840" s="16"/>
      <c r="M1840" s="8" t="str">
        <f t="shared" si="28"/>
        <v/>
      </c>
      <c r="N1840" s="9"/>
    </row>
    <row r="1841" spans="1:14" ht="15.75">
      <c r="A1841" s="11"/>
      <c r="B1841" s="9"/>
      <c r="C1841" s="12" t="str">
        <f>IF(B1841="","",IFERROR(INDEX('Cashier Roster'!$C$5:$C$64,MATCH(B1841,'Cashier Roster'!$B$5:$B$64,0)),"Not on roster"))</f>
        <v/>
      </c>
      <c r="D1841" s="12" t="str">
        <f>IF(B1841="","",IFERROR(INDEX('Cashier Roster'!$D$5:$D$64,MATCH(B1841,'Cashier Roster'!$B$5:$B$64,0)),""))</f>
        <v/>
      </c>
      <c r="E1841" s="13"/>
      <c r="F1841" s="14"/>
      <c r="G1841" s="8" t="str">
        <f>IF(OR(B1841="",E1841=""),"",IF(E1841="No","Missed",IF(F1841="","",IF(F1841&lt;=Settings!$B$7,"On time","Late"))))</f>
        <v/>
      </c>
      <c r="H1841" s="15"/>
      <c r="I1841" s="16"/>
      <c r="J1841" s="16"/>
      <c r="K1841" s="17" t="str">
        <f>IF(J1841="","",ROUND(J1841*Settings!$B$8,2))</f>
        <v/>
      </c>
      <c r="L1841" s="16"/>
      <c r="M1841" s="8" t="str">
        <f t="shared" si="28"/>
        <v/>
      </c>
      <c r="N1841" s="9"/>
    </row>
    <row r="1842" spans="1:14" ht="15.75">
      <c r="A1842" s="11"/>
      <c r="B1842" s="9"/>
      <c r="C1842" s="12" t="str">
        <f>IF(B1842="","",IFERROR(INDEX('Cashier Roster'!$C$5:$C$64,MATCH(B1842,'Cashier Roster'!$B$5:$B$64,0)),"Not on roster"))</f>
        <v/>
      </c>
      <c r="D1842" s="12" t="str">
        <f>IF(B1842="","",IFERROR(INDEX('Cashier Roster'!$D$5:$D$64,MATCH(B1842,'Cashier Roster'!$B$5:$B$64,0)),""))</f>
        <v/>
      </c>
      <c r="E1842" s="13"/>
      <c r="F1842" s="14"/>
      <c r="G1842" s="8" t="str">
        <f>IF(OR(B1842="",E1842=""),"",IF(E1842="No","Missed",IF(F1842="","",IF(F1842&lt;=Settings!$B$7,"On time","Late"))))</f>
        <v/>
      </c>
      <c r="H1842" s="15"/>
      <c r="I1842" s="16"/>
      <c r="J1842" s="16"/>
      <c r="K1842" s="17" t="str">
        <f>IF(J1842="","",ROUND(J1842*Settings!$B$8,2))</f>
        <v/>
      </c>
      <c r="L1842" s="16"/>
      <c r="M1842" s="8" t="str">
        <f t="shared" si="28"/>
        <v/>
      </c>
      <c r="N1842" s="9"/>
    </row>
    <row r="1843" spans="1:14" ht="15.75">
      <c r="A1843" s="11"/>
      <c r="B1843" s="9"/>
      <c r="C1843" s="12" t="str">
        <f>IF(B1843="","",IFERROR(INDEX('Cashier Roster'!$C$5:$C$64,MATCH(B1843,'Cashier Roster'!$B$5:$B$64,0)),"Not on roster"))</f>
        <v/>
      </c>
      <c r="D1843" s="12" t="str">
        <f>IF(B1843="","",IFERROR(INDEX('Cashier Roster'!$D$5:$D$64,MATCH(B1843,'Cashier Roster'!$B$5:$B$64,0)),""))</f>
        <v/>
      </c>
      <c r="E1843" s="13"/>
      <c r="F1843" s="14"/>
      <c r="G1843" s="8" t="str">
        <f>IF(OR(B1843="",E1843=""),"",IF(E1843="No","Missed",IF(F1843="","",IF(F1843&lt;=Settings!$B$7,"On time","Late"))))</f>
        <v/>
      </c>
      <c r="H1843" s="15"/>
      <c r="I1843" s="16"/>
      <c r="J1843" s="16"/>
      <c r="K1843" s="17" t="str">
        <f>IF(J1843="","",ROUND(J1843*Settings!$B$8,2))</f>
        <v/>
      </c>
      <c r="L1843" s="16"/>
      <c r="M1843" s="8" t="str">
        <f t="shared" si="28"/>
        <v/>
      </c>
      <c r="N1843" s="9"/>
    </row>
    <row r="1844" spans="1:14" ht="15.75">
      <c r="A1844" s="11"/>
      <c r="B1844" s="9"/>
      <c r="C1844" s="12" t="str">
        <f>IF(B1844="","",IFERROR(INDEX('Cashier Roster'!$C$5:$C$64,MATCH(B1844,'Cashier Roster'!$B$5:$B$64,0)),"Not on roster"))</f>
        <v/>
      </c>
      <c r="D1844" s="12" t="str">
        <f>IF(B1844="","",IFERROR(INDEX('Cashier Roster'!$D$5:$D$64,MATCH(B1844,'Cashier Roster'!$B$5:$B$64,0)),""))</f>
        <v/>
      </c>
      <c r="E1844" s="13"/>
      <c r="F1844" s="14"/>
      <c r="G1844" s="8" t="str">
        <f>IF(OR(B1844="",E1844=""),"",IF(E1844="No","Missed",IF(F1844="","",IF(F1844&lt;=Settings!$B$7,"On time","Late"))))</f>
        <v/>
      </c>
      <c r="H1844" s="15"/>
      <c r="I1844" s="16"/>
      <c r="J1844" s="16"/>
      <c r="K1844" s="17" t="str">
        <f>IF(J1844="","",ROUND(J1844*Settings!$B$8,2))</f>
        <v/>
      </c>
      <c r="L1844" s="16"/>
      <c r="M1844" s="8" t="str">
        <f t="shared" si="28"/>
        <v/>
      </c>
      <c r="N1844" s="9"/>
    </row>
    <row r="1845" spans="1:14" ht="15.75">
      <c r="A1845" s="11"/>
      <c r="B1845" s="9"/>
      <c r="C1845" s="12" t="str">
        <f>IF(B1845="","",IFERROR(INDEX('Cashier Roster'!$C$5:$C$64,MATCH(B1845,'Cashier Roster'!$B$5:$B$64,0)),"Not on roster"))</f>
        <v/>
      </c>
      <c r="D1845" s="12" t="str">
        <f>IF(B1845="","",IFERROR(INDEX('Cashier Roster'!$D$5:$D$64,MATCH(B1845,'Cashier Roster'!$B$5:$B$64,0)),""))</f>
        <v/>
      </c>
      <c r="E1845" s="13"/>
      <c r="F1845" s="14"/>
      <c r="G1845" s="8" t="str">
        <f>IF(OR(B1845="",E1845=""),"",IF(E1845="No","Missed",IF(F1845="","",IF(F1845&lt;=Settings!$B$7,"On time","Late"))))</f>
        <v/>
      </c>
      <c r="H1845" s="15"/>
      <c r="I1845" s="16"/>
      <c r="J1845" s="16"/>
      <c r="K1845" s="17" t="str">
        <f>IF(J1845="","",ROUND(J1845*Settings!$B$8,2))</f>
        <v/>
      </c>
      <c r="L1845" s="16"/>
      <c r="M1845" s="8" t="str">
        <f t="shared" si="28"/>
        <v/>
      </c>
      <c r="N1845" s="9"/>
    </row>
    <row r="1846" spans="1:14" ht="15.75">
      <c r="A1846" s="11"/>
      <c r="B1846" s="9"/>
      <c r="C1846" s="12" t="str">
        <f>IF(B1846="","",IFERROR(INDEX('Cashier Roster'!$C$5:$C$64,MATCH(B1846,'Cashier Roster'!$B$5:$B$64,0)),"Not on roster"))</f>
        <v/>
      </c>
      <c r="D1846" s="12" t="str">
        <f>IF(B1846="","",IFERROR(INDEX('Cashier Roster'!$D$5:$D$64,MATCH(B1846,'Cashier Roster'!$B$5:$B$64,0)),""))</f>
        <v/>
      </c>
      <c r="E1846" s="13"/>
      <c r="F1846" s="14"/>
      <c r="G1846" s="8" t="str">
        <f>IF(OR(B1846="",E1846=""),"",IF(E1846="No","Missed",IF(F1846="","",IF(F1846&lt;=Settings!$B$7,"On time","Late"))))</f>
        <v/>
      </c>
      <c r="H1846" s="15"/>
      <c r="I1846" s="16"/>
      <c r="J1846" s="16"/>
      <c r="K1846" s="17" t="str">
        <f>IF(J1846="","",ROUND(J1846*Settings!$B$8,2))</f>
        <v/>
      </c>
      <c r="L1846" s="16"/>
      <c r="M1846" s="8" t="str">
        <f t="shared" si="28"/>
        <v/>
      </c>
      <c r="N1846" s="9"/>
    </row>
    <row r="1847" spans="1:14" ht="15.75">
      <c r="A1847" s="11"/>
      <c r="B1847" s="9"/>
      <c r="C1847" s="12" t="str">
        <f>IF(B1847="","",IFERROR(INDEX('Cashier Roster'!$C$5:$C$64,MATCH(B1847,'Cashier Roster'!$B$5:$B$64,0)),"Not on roster"))</f>
        <v/>
      </c>
      <c r="D1847" s="12" t="str">
        <f>IF(B1847="","",IFERROR(INDEX('Cashier Roster'!$D$5:$D$64,MATCH(B1847,'Cashier Roster'!$B$5:$B$64,0)),""))</f>
        <v/>
      </c>
      <c r="E1847" s="13"/>
      <c r="F1847" s="14"/>
      <c r="G1847" s="8" t="str">
        <f>IF(OR(B1847="",E1847=""),"",IF(E1847="No","Missed",IF(F1847="","",IF(F1847&lt;=Settings!$B$7,"On time","Late"))))</f>
        <v/>
      </c>
      <c r="H1847" s="15"/>
      <c r="I1847" s="16"/>
      <c r="J1847" s="16"/>
      <c r="K1847" s="17" t="str">
        <f>IF(J1847="","",ROUND(J1847*Settings!$B$8,2))</f>
        <v/>
      </c>
      <c r="L1847" s="16"/>
      <c r="M1847" s="8" t="str">
        <f t="shared" si="28"/>
        <v/>
      </c>
      <c r="N1847" s="9"/>
    </row>
    <row r="1848" spans="1:14" ht="15.75">
      <c r="A1848" s="11"/>
      <c r="B1848" s="9"/>
      <c r="C1848" s="12" t="str">
        <f>IF(B1848="","",IFERROR(INDEX('Cashier Roster'!$C$5:$C$64,MATCH(B1848,'Cashier Roster'!$B$5:$B$64,0)),"Not on roster"))</f>
        <v/>
      </c>
      <c r="D1848" s="12" t="str">
        <f>IF(B1848="","",IFERROR(INDEX('Cashier Roster'!$D$5:$D$64,MATCH(B1848,'Cashier Roster'!$B$5:$B$64,0)),""))</f>
        <v/>
      </c>
      <c r="E1848" s="13"/>
      <c r="F1848" s="14"/>
      <c r="G1848" s="8" t="str">
        <f>IF(OR(B1848="",E1848=""),"",IF(E1848="No","Missed",IF(F1848="","",IF(F1848&lt;=Settings!$B$7,"On time","Late"))))</f>
        <v/>
      </c>
      <c r="H1848" s="15"/>
      <c r="I1848" s="16"/>
      <c r="J1848" s="16"/>
      <c r="K1848" s="17" t="str">
        <f>IF(J1848="","",ROUND(J1848*Settings!$B$8,2))</f>
        <v/>
      </c>
      <c r="L1848" s="16"/>
      <c r="M1848" s="8" t="str">
        <f t="shared" si="28"/>
        <v/>
      </c>
      <c r="N1848" s="9"/>
    </row>
    <row r="1849" spans="1:14" ht="15.75">
      <c r="A1849" s="11"/>
      <c r="B1849" s="9"/>
      <c r="C1849" s="12" t="str">
        <f>IF(B1849="","",IFERROR(INDEX('Cashier Roster'!$C$5:$C$64,MATCH(B1849,'Cashier Roster'!$B$5:$B$64,0)),"Not on roster"))</f>
        <v/>
      </c>
      <c r="D1849" s="12" t="str">
        <f>IF(B1849="","",IFERROR(INDEX('Cashier Roster'!$D$5:$D$64,MATCH(B1849,'Cashier Roster'!$B$5:$B$64,0)),""))</f>
        <v/>
      </c>
      <c r="E1849" s="13"/>
      <c r="F1849" s="14"/>
      <c r="G1849" s="8" t="str">
        <f>IF(OR(B1849="",E1849=""),"",IF(E1849="No","Missed",IF(F1849="","",IF(F1849&lt;=Settings!$B$7,"On time","Late"))))</f>
        <v/>
      </c>
      <c r="H1849" s="15"/>
      <c r="I1849" s="16"/>
      <c r="J1849" s="16"/>
      <c r="K1849" s="17" t="str">
        <f>IF(J1849="","",ROUND(J1849*Settings!$B$8,2))</f>
        <v/>
      </c>
      <c r="L1849" s="16"/>
      <c r="M1849" s="8" t="str">
        <f t="shared" si="28"/>
        <v/>
      </c>
      <c r="N1849" s="9"/>
    </row>
    <row r="1850" spans="1:14" ht="15.75">
      <c r="A1850" s="11"/>
      <c r="B1850" s="9"/>
      <c r="C1850" s="12" t="str">
        <f>IF(B1850="","",IFERROR(INDEX('Cashier Roster'!$C$5:$C$64,MATCH(B1850,'Cashier Roster'!$B$5:$B$64,0)),"Not on roster"))</f>
        <v/>
      </c>
      <c r="D1850" s="12" t="str">
        <f>IF(B1850="","",IFERROR(INDEX('Cashier Roster'!$D$5:$D$64,MATCH(B1850,'Cashier Roster'!$B$5:$B$64,0)),""))</f>
        <v/>
      </c>
      <c r="E1850" s="13"/>
      <c r="F1850" s="14"/>
      <c r="G1850" s="8" t="str">
        <f>IF(OR(B1850="",E1850=""),"",IF(E1850="No","Missed",IF(F1850="","",IF(F1850&lt;=Settings!$B$7,"On time","Late"))))</f>
        <v/>
      </c>
      <c r="H1850" s="15"/>
      <c r="I1850" s="16"/>
      <c r="J1850" s="16"/>
      <c r="K1850" s="17" t="str">
        <f>IF(J1850="","",ROUND(J1850*Settings!$B$8,2))</f>
        <v/>
      </c>
      <c r="L1850" s="16"/>
      <c r="M1850" s="8" t="str">
        <f t="shared" si="28"/>
        <v/>
      </c>
      <c r="N1850" s="9"/>
    </row>
    <row r="1851" spans="1:14" ht="15.75">
      <c r="A1851" s="11"/>
      <c r="B1851" s="9"/>
      <c r="C1851" s="12" t="str">
        <f>IF(B1851="","",IFERROR(INDEX('Cashier Roster'!$C$5:$C$64,MATCH(B1851,'Cashier Roster'!$B$5:$B$64,0)),"Not on roster"))</f>
        <v/>
      </c>
      <c r="D1851" s="12" t="str">
        <f>IF(B1851="","",IFERROR(INDEX('Cashier Roster'!$D$5:$D$64,MATCH(B1851,'Cashier Roster'!$B$5:$B$64,0)),""))</f>
        <v/>
      </c>
      <c r="E1851" s="13"/>
      <c r="F1851" s="14"/>
      <c r="G1851" s="8" t="str">
        <f>IF(OR(B1851="",E1851=""),"",IF(E1851="No","Missed",IF(F1851="","",IF(F1851&lt;=Settings!$B$7,"On time","Late"))))</f>
        <v/>
      </c>
      <c r="H1851" s="15"/>
      <c r="I1851" s="16"/>
      <c r="J1851" s="16"/>
      <c r="K1851" s="17" t="str">
        <f>IF(J1851="","",ROUND(J1851*Settings!$B$8,2))</f>
        <v/>
      </c>
      <c r="L1851" s="16"/>
      <c r="M1851" s="8" t="str">
        <f t="shared" si="28"/>
        <v/>
      </c>
      <c r="N1851" s="9"/>
    </row>
    <row r="1852" spans="1:14" ht="15.75">
      <c r="A1852" s="11"/>
      <c r="B1852" s="9"/>
      <c r="C1852" s="12" t="str">
        <f>IF(B1852="","",IFERROR(INDEX('Cashier Roster'!$C$5:$C$64,MATCH(B1852,'Cashier Roster'!$B$5:$B$64,0)),"Not on roster"))</f>
        <v/>
      </c>
      <c r="D1852" s="12" t="str">
        <f>IF(B1852="","",IFERROR(INDEX('Cashier Roster'!$D$5:$D$64,MATCH(B1852,'Cashier Roster'!$B$5:$B$64,0)),""))</f>
        <v/>
      </c>
      <c r="E1852" s="13"/>
      <c r="F1852" s="14"/>
      <c r="G1852" s="8" t="str">
        <f>IF(OR(B1852="",E1852=""),"",IF(E1852="No","Missed",IF(F1852="","",IF(F1852&lt;=Settings!$B$7,"On time","Late"))))</f>
        <v/>
      </c>
      <c r="H1852" s="15"/>
      <c r="I1852" s="16"/>
      <c r="J1852" s="16"/>
      <c r="K1852" s="17" t="str">
        <f>IF(J1852="","",ROUND(J1852*Settings!$B$8,2))</f>
        <v/>
      </c>
      <c r="L1852" s="16"/>
      <c r="M1852" s="8" t="str">
        <f t="shared" si="28"/>
        <v/>
      </c>
      <c r="N1852" s="9"/>
    </row>
    <row r="1853" spans="1:14" ht="15.75">
      <c r="A1853" s="11"/>
      <c r="B1853" s="9"/>
      <c r="C1853" s="12" t="str">
        <f>IF(B1853="","",IFERROR(INDEX('Cashier Roster'!$C$5:$C$64,MATCH(B1853,'Cashier Roster'!$B$5:$B$64,0)),"Not on roster"))</f>
        <v/>
      </c>
      <c r="D1853" s="12" t="str">
        <f>IF(B1853="","",IFERROR(INDEX('Cashier Roster'!$D$5:$D$64,MATCH(B1853,'Cashier Roster'!$B$5:$B$64,0)),""))</f>
        <v/>
      </c>
      <c r="E1853" s="13"/>
      <c r="F1853" s="14"/>
      <c r="G1853" s="8" t="str">
        <f>IF(OR(B1853="",E1853=""),"",IF(E1853="No","Missed",IF(F1853="","",IF(F1853&lt;=Settings!$B$7,"On time","Late"))))</f>
        <v/>
      </c>
      <c r="H1853" s="15"/>
      <c r="I1853" s="16"/>
      <c r="J1853" s="16"/>
      <c r="K1853" s="17" t="str">
        <f>IF(J1853="","",ROUND(J1853*Settings!$B$8,2))</f>
        <v/>
      </c>
      <c r="L1853" s="16"/>
      <c r="M1853" s="8" t="str">
        <f t="shared" si="28"/>
        <v/>
      </c>
      <c r="N1853" s="9"/>
    </row>
    <row r="1854" spans="1:14" ht="15.75">
      <c r="A1854" s="11"/>
      <c r="B1854" s="9"/>
      <c r="C1854" s="12" t="str">
        <f>IF(B1854="","",IFERROR(INDEX('Cashier Roster'!$C$5:$C$64,MATCH(B1854,'Cashier Roster'!$B$5:$B$64,0)),"Not on roster"))</f>
        <v/>
      </c>
      <c r="D1854" s="12" t="str">
        <f>IF(B1854="","",IFERROR(INDEX('Cashier Roster'!$D$5:$D$64,MATCH(B1854,'Cashier Roster'!$B$5:$B$64,0)),""))</f>
        <v/>
      </c>
      <c r="E1854" s="13"/>
      <c r="F1854" s="14"/>
      <c r="G1854" s="8" t="str">
        <f>IF(OR(B1854="",E1854=""),"",IF(E1854="No","Missed",IF(F1854="","",IF(F1854&lt;=Settings!$B$7,"On time","Late"))))</f>
        <v/>
      </c>
      <c r="H1854" s="15"/>
      <c r="I1854" s="16"/>
      <c r="J1854" s="16"/>
      <c r="K1854" s="17" t="str">
        <f>IF(J1854="","",ROUND(J1854*Settings!$B$8,2))</f>
        <v/>
      </c>
      <c r="L1854" s="16"/>
      <c r="M1854" s="8" t="str">
        <f t="shared" si="28"/>
        <v/>
      </c>
      <c r="N1854" s="9"/>
    </row>
    <row r="1855" spans="1:14" ht="15.75">
      <c r="A1855" s="11"/>
      <c r="B1855" s="9"/>
      <c r="C1855" s="12" t="str">
        <f>IF(B1855="","",IFERROR(INDEX('Cashier Roster'!$C$5:$C$64,MATCH(B1855,'Cashier Roster'!$B$5:$B$64,0)),"Not on roster"))</f>
        <v/>
      </c>
      <c r="D1855" s="12" t="str">
        <f>IF(B1855="","",IFERROR(INDEX('Cashier Roster'!$D$5:$D$64,MATCH(B1855,'Cashier Roster'!$B$5:$B$64,0)),""))</f>
        <v/>
      </c>
      <c r="E1855" s="13"/>
      <c r="F1855" s="14"/>
      <c r="G1855" s="8" t="str">
        <f>IF(OR(B1855="",E1855=""),"",IF(E1855="No","Missed",IF(F1855="","",IF(F1855&lt;=Settings!$B$7,"On time","Late"))))</f>
        <v/>
      </c>
      <c r="H1855" s="15"/>
      <c r="I1855" s="16"/>
      <c r="J1855" s="16"/>
      <c r="K1855" s="17" t="str">
        <f>IF(J1855="","",ROUND(J1855*Settings!$B$8,2))</f>
        <v/>
      </c>
      <c r="L1855" s="16"/>
      <c r="M1855" s="8" t="str">
        <f t="shared" si="28"/>
        <v/>
      </c>
      <c r="N1855" s="9"/>
    </row>
    <row r="1856" spans="1:14" ht="15.75">
      <c r="A1856" s="11"/>
      <c r="B1856" s="9"/>
      <c r="C1856" s="12" t="str">
        <f>IF(B1856="","",IFERROR(INDEX('Cashier Roster'!$C$5:$C$64,MATCH(B1856,'Cashier Roster'!$B$5:$B$64,0)),"Not on roster"))</f>
        <v/>
      </c>
      <c r="D1856" s="12" t="str">
        <f>IF(B1856="","",IFERROR(INDEX('Cashier Roster'!$D$5:$D$64,MATCH(B1856,'Cashier Roster'!$B$5:$B$64,0)),""))</f>
        <v/>
      </c>
      <c r="E1856" s="13"/>
      <c r="F1856" s="14"/>
      <c r="G1856" s="8" t="str">
        <f>IF(OR(B1856="",E1856=""),"",IF(E1856="No","Missed",IF(F1856="","",IF(F1856&lt;=Settings!$B$7,"On time","Late"))))</f>
        <v/>
      </c>
      <c r="H1856" s="15"/>
      <c r="I1856" s="16"/>
      <c r="J1856" s="16"/>
      <c r="K1856" s="17" t="str">
        <f>IF(J1856="","",ROUND(J1856*Settings!$B$8,2))</f>
        <v/>
      </c>
      <c r="L1856" s="16"/>
      <c r="M1856" s="8" t="str">
        <f t="shared" si="28"/>
        <v/>
      </c>
      <c r="N1856" s="9"/>
    </row>
    <row r="1857" spans="1:14" ht="15.75">
      <c r="A1857" s="11"/>
      <c r="B1857" s="9"/>
      <c r="C1857" s="12" t="str">
        <f>IF(B1857="","",IFERROR(INDEX('Cashier Roster'!$C$5:$C$64,MATCH(B1857,'Cashier Roster'!$B$5:$B$64,0)),"Not on roster"))</f>
        <v/>
      </c>
      <c r="D1857" s="12" t="str">
        <f>IF(B1857="","",IFERROR(INDEX('Cashier Roster'!$D$5:$D$64,MATCH(B1857,'Cashier Roster'!$B$5:$B$64,0)),""))</f>
        <v/>
      </c>
      <c r="E1857" s="13"/>
      <c r="F1857" s="14"/>
      <c r="G1857" s="8" t="str">
        <f>IF(OR(B1857="",E1857=""),"",IF(E1857="No","Missed",IF(F1857="","",IF(F1857&lt;=Settings!$B$7,"On time","Late"))))</f>
        <v/>
      </c>
      <c r="H1857" s="15"/>
      <c r="I1857" s="16"/>
      <c r="J1857" s="16"/>
      <c r="K1857" s="17" t="str">
        <f>IF(J1857="","",ROUND(J1857*Settings!$B$8,2))</f>
        <v/>
      </c>
      <c r="L1857" s="16"/>
      <c r="M1857" s="8" t="str">
        <f t="shared" si="28"/>
        <v/>
      </c>
      <c r="N1857" s="9"/>
    </row>
    <row r="1858" spans="1:14" ht="15.75">
      <c r="A1858" s="11"/>
      <c r="B1858" s="9"/>
      <c r="C1858" s="12" t="str">
        <f>IF(B1858="","",IFERROR(INDEX('Cashier Roster'!$C$5:$C$64,MATCH(B1858,'Cashier Roster'!$B$5:$B$64,0)),"Not on roster"))</f>
        <v/>
      </c>
      <c r="D1858" s="12" t="str">
        <f>IF(B1858="","",IFERROR(INDEX('Cashier Roster'!$D$5:$D$64,MATCH(B1858,'Cashier Roster'!$B$5:$B$64,0)),""))</f>
        <v/>
      </c>
      <c r="E1858" s="13"/>
      <c r="F1858" s="14"/>
      <c r="G1858" s="8" t="str">
        <f>IF(OR(B1858="",E1858=""),"",IF(E1858="No","Missed",IF(F1858="","",IF(F1858&lt;=Settings!$B$7,"On time","Late"))))</f>
        <v/>
      </c>
      <c r="H1858" s="15"/>
      <c r="I1858" s="16"/>
      <c r="J1858" s="16"/>
      <c r="K1858" s="17" t="str">
        <f>IF(J1858="","",ROUND(J1858*Settings!$B$8,2))</f>
        <v/>
      </c>
      <c r="L1858" s="16"/>
      <c r="M1858" s="8" t="str">
        <f t="shared" si="28"/>
        <v/>
      </c>
      <c r="N1858" s="9"/>
    </row>
    <row r="1859" spans="1:14" ht="15.75">
      <c r="A1859" s="11"/>
      <c r="B1859" s="9"/>
      <c r="C1859" s="12" t="str">
        <f>IF(B1859="","",IFERROR(INDEX('Cashier Roster'!$C$5:$C$64,MATCH(B1859,'Cashier Roster'!$B$5:$B$64,0)),"Not on roster"))</f>
        <v/>
      </c>
      <c r="D1859" s="12" t="str">
        <f>IF(B1859="","",IFERROR(INDEX('Cashier Roster'!$D$5:$D$64,MATCH(B1859,'Cashier Roster'!$B$5:$B$64,0)),""))</f>
        <v/>
      </c>
      <c r="E1859" s="13"/>
      <c r="F1859" s="14"/>
      <c r="G1859" s="8" t="str">
        <f>IF(OR(B1859="",E1859=""),"",IF(E1859="No","Missed",IF(F1859="","",IF(F1859&lt;=Settings!$B$7,"On time","Late"))))</f>
        <v/>
      </c>
      <c r="H1859" s="15"/>
      <c r="I1859" s="16"/>
      <c r="J1859" s="16"/>
      <c r="K1859" s="17" t="str">
        <f>IF(J1859="","",ROUND(J1859*Settings!$B$8,2))</f>
        <v/>
      </c>
      <c r="L1859" s="16"/>
      <c r="M1859" s="8" t="str">
        <f t="shared" si="28"/>
        <v/>
      </c>
      <c r="N1859" s="9"/>
    </row>
    <row r="1860" spans="1:14" ht="15.75">
      <c r="A1860" s="11"/>
      <c r="B1860" s="9"/>
      <c r="C1860" s="12" t="str">
        <f>IF(B1860="","",IFERROR(INDEX('Cashier Roster'!$C$5:$C$64,MATCH(B1860,'Cashier Roster'!$B$5:$B$64,0)),"Not on roster"))</f>
        <v/>
      </c>
      <c r="D1860" s="12" t="str">
        <f>IF(B1860="","",IFERROR(INDEX('Cashier Roster'!$D$5:$D$64,MATCH(B1860,'Cashier Roster'!$B$5:$B$64,0)),""))</f>
        <v/>
      </c>
      <c r="E1860" s="13"/>
      <c r="F1860" s="14"/>
      <c r="G1860" s="8" t="str">
        <f>IF(OR(B1860="",E1860=""),"",IF(E1860="No","Missed",IF(F1860="","",IF(F1860&lt;=Settings!$B$7,"On time","Late"))))</f>
        <v/>
      </c>
      <c r="H1860" s="15"/>
      <c r="I1860" s="16"/>
      <c r="J1860" s="16"/>
      <c r="K1860" s="17" t="str">
        <f>IF(J1860="","",ROUND(J1860*Settings!$B$8,2))</f>
        <v/>
      </c>
      <c r="L1860" s="16"/>
      <c r="M1860" s="8" t="str">
        <f t="shared" si="28"/>
        <v/>
      </c>
      <c r="N1860" s="9"/>
    </row>
    <row r="1861" spans="1:14" ht="15.75">
      <c r="A1861" s="11"/>
      <c r="B1861" s="9"/>
      <c r="C1861" s="12" t="str">
        <f>IF(B1861="","",IFERROR(INDEX('Cashier Roster'!$C$5:$C$64,MATCH(B1861,'Cashier Roster'!$B$5:$B$64,0)),"Not on roster"))</f>
        <v/>
      </c>
      <c r="D1861" s="12" t="str">
        <f>IF(B1861="","",IFERROR(INDEX('Cashier Roster'!$D$5:$D$64,MATCH(B1861,'Cashier Roster'!$B$5:$B$64,0)),""))</f>
        <v/>
      </c>
      <c r="E1861" s="13"/>
      <c r="F1861" s="14"/>
      <c r="G1861" s="8" t="str">
        <f>IF(OR(B1861="",E1861=""),"",IF(E1861="No","Missed",IF(F1861="","",IF(F1861&lt;=Settings!$B$7,"On time","Late"))))</f>
        <v/>
      </c>
      <c r="H1861" s="15"/>
      <c r="I1861" s="16"/>
      <c r="J1861" s="16"/>
      <c r="K1861" s="17" t="str">
        <f>IF(J1861="","",ROUND(J1861*Settings!$B$8,2))</f>
        <v/>
      </c>
      <c r="L1861" s="16"/>
      <c r="M1861" s="8" t="str">
        <f t="shared" ref="M1861:M1924" si="29">IF(L1861="","",IF(L1861&lt;=0,"Yes","No"))</f>
        <v/>
      </c>
      <c r="N1861" s="9"/>
    </row>
    <row r="1862" spans="1:14" ht="15.75">
      <c r="A1862" s="11"/>
      <c r="B1862" s="9"/>
      <c r="C1862" s="12" t="str">
        <f>IF(B1862="","",IFERROR(INDEX('Cashier Roster'!$C$5:$C$64,MATCH(B1862,'Cashier Roster'!$B$5:$B$64,0)),"Not on roster"))</f>
        <v/>
      </c>
      <c r="D1862" s="12" t="str">
        <f>IF(B1862="","",IFERROR(INDEX('Cashier Roster'!$D$5:$D$64,MATCH(B1862,'Cashier Roster'!$B$5:$B$64,0)),""))</f>
        <v/>
      </c>
      <c r="E1862" s="13"/>
      <c r="F1862" s="14"/>
      <c r="G1862" s="8" t="str">
        <f>IF(OR(B1862="",E1862=""),"",IF(E1862="No","Missed",IF(F1862="","",IF(F1862&lt;=Settings!$B$7,"On time","Late"))))</f>
        <v/>
      </c>
      <c r="H1862" s="15"/>
      <c r="I1862" s="16"/>
      <c r="J1862" s="16"/>
      <c r="K1862" s="17" t="str">
        <f>IF(J1862="","",ROUND(J1862*Settings!$B$8,2))</f>
        <v/>
      </c>
      <c r="L1862" s="16"/>
      <c r="M1862" s="8" t="str">
        <f t="shared" si="29"/>
        <v/>
      </c>
      <c r="N1862" s="9"/>
    </row>
    <row r="1863" spans="1:14" ht="15.75">
      <c r="A1863" s="11"/>
      <c r="B1863" s="9"/>
      <c r="C1863" s="12" t="str">
        <f>IF(B1863="","",IFERROR(INDEX('Cashier Roster'!$C$5:$C$64,MATCH(B1863,'Cashier Roster'!$B$5:$B$64,0)),"Not on roster"))</f>
        <v/>
      </c>
      <c r="D1863" s="12" t="str">
        <f>IF(B1863="","",IFERROR(INDEX('Cashier Roster'!$D$5:$D$64,MATCH(B1863,'Cashier Roster'!$B$5:$B$64,0)),""))</f>
        <v/>
      </c>
      <c r="E1863" s="13"/>
      <c r="F1863" s="14"/>
      <c r="G1863" s="8" t="str">
        <f>IF(OR(B1863="",E1863=""),"",IF(E1863="No","Missed",IF(F1863="","",IF(F1863&lt;=Settings!$B$7,"On time","Late"))))</f>
        <v/>
      </c>
      <c r="H1863" s="15"/>
      <c r="I1863" s="16"/>
      <c r="J1863" s="16"/>
      <c r="K1863" s="17" t="str">
        <f>IF(J1863="","",ROUND(J1863*Settings!$B$8,2))</f>
        <v/>
      </c>
      <c r="L1863" s="16"/>
      <c r="M1863" s="8" t="str">
        <f t="shared" si="29"/>
        <v/>
      </c>
      <c r="N1863" s="9"/>
    </row>
    <row r="1864" spans="1:14" ht="15.75">
      <c r="A1864" s="11"/>
      <c r="B1864" s="9"/>
      <c r="C1864" s="12" t="str">
        <f>IF(B1864="","",IFERROR(INDEX('Cashier Roster'!$C$5:$C$64,MATCH(B1864,'Cashier Roster'!$B$5:$B$64,0)),"Not on roster"))</f>
        <v/>
      </c>
      <c r="D1864" s="12" t="str">
        <f>IF(B1864="","",IFERROR(INDEX('Cashier Roster'!$D$5:$D$64,MATCH(B1864,'Cashier Roster'!$B$5:$B$64,0)),""))</f>
        <v/>
      </c>
      <c r="E1864" s="13"/>
      <c r="F1864" s="14"/>
      <c r="G1864" s="8" t="str">
        <f>IF(OR(B1864="",E1864=""),"",IF(E1864="No","Missed",IF(F1864="","",IF(F1864&lt;=Settings!$B$7,"On time","Late"))))</f>
        <v/>
      </c>
      <c r="H1864" s="15"/>
      <c r="I1864" s="16"/>
      <c r="J1864" s="16"/>
      <c r="K1864" s="17" t="str">
        <f>IF(J1864="","",ROUND(J1864*Settings!$B$8,2))</f>
        <v/>
      </c>
      <c r="L1864" s="16"/>
      <c r="M1864" s="8" t="str">
        <f t="shared" si="29"/>
        <v/>
      </c>
      <c r="N1864" s="9"/>
    </row>
    <row r="1865" spans="1:14" ht="15.75">
      <c r="A1865" s="11"/>
      <c r="B1865" s="9"/>
      <c r="C1865" s="12" t="str">
        <f>IF(B1865="","",IFERROR(INDEX('Cashier Roster'!$C$5:$C$64,MATCH(B1865,'Cashier Roster'!$B$5:$B$64,0)),"Not on roster"))</f>
        <v/>
      </c>
      <c r="D1865" s="12" t="str">
        <f>IF(B1865="","",IFERROR(INDEX('Cashier Roster'!$D$5:$D$64,MATCH(B1865,'Cashier Roster'!$B$5:$B$64,0)),""))</f>
        <v/>
      </c>
      <c r="E1865" s="13"/>
      <c r="F1865" s="14"/>
      <c r="G1865" s="8" t="str">
        <f>IF(OR(B1865="",E1865=""),"",IF(E1865="No","Missed",IF(F1865="","",IF(F1865&lt;=Settings!$B$7,"On time","Late"))))</f>
        <v/>
      </c>
      <c r="H1865" s="15"/>
      <c r="I1865" s="16"/>
      <c r="J1865" s="16"/>
      <c r="K1865" s="17" t="str">
        <f>IF(J1865="","",ROUND(J1865*Settings!$B$8,2))</f>
        <v/>
      </c>
      <c r="L1865" s="16"/>
      <c r="M1865" s="8" t="str">
        <f t="shared" si="29"/>
        <v/>
      </c>
      <c r="N1865" s="9"/>
    </row>
    <row r="1866" spans="1:14" ht="15.75">
      <c r="A1866" s="11"/>
      <c r="B1866" s="9"/>
      <c r="C1866" s="12" t="str">
        <f>IF(B1866="","",IFERROR(INDEX('Cashier Roster'!$C$5:$C$64,MATCH(B1866,'Cashier Roster'!$B$5:$B$64,0)),"Not on roster"))</f>
        <v/>
      </c>
      <c r="D1866" s="12" t="str">
        <f>IF(B1866="","",IFERROR(INDEX('Cashier Roster'!$D$5:$D$64,MATCH(B1866,'Cashier Roster'!$B$5:$B$64,0)),""))</f>
        <v/>
      </c>
      <c r="E1866" s="13"/>
      <c r="F1866" s="14"/>
      <c r="G1866" s="8" t="str">
        <f>IF(OR(B1866="",E1866=""),"",IF(E1866="No","Missed",IF(F1866="","",IF(F1866&lt;=Settings!$B$7,"On time","Late"))))</f>
        <v/>
      </c>
      <c r="H1866" s="15"/>
      <c r="I1866" s="16"/>
      <c r="J1866" s="16"/>
      <c r="K1866" s="17" t="str">
        <f>IF(J1866="","",ROUND(J1866*Settings!$B$8,2))</f>
        <v/>
      </c>
      <c r="L1866" s="16"/>
      <c r="M1866" s="8" t="str">
        <f t="shared" si="29"/>
        <v/>
      </c>
      <c r="N1866" s="9"/>
    </row>
    <row r="1867" spans="1:14" ht="15.75">
      <c r="A1867" s="11"/>
      <c r="B1867" s="9"/>
      <c r="C1867" s="12" t="str">
        <f>IF(B1867="","",IFERROR(INDEX('Cashier Roster'!$C$5:$C$64,MATCH(B1867,'Cashier Roster'!$B$5:$B$64,0)),"Not on roster"))</f>
        <v/>
      </c>
      <c r="D1867" s="12" t="str">
        <f>IF(B1867="","",IFERROR(INDEX('Cashier Roster'!$D$5:$D$64,MATCH(B1867,'Cashier Roster'!$B$5:$B$64,0)),""))</f>
        <v/>
      </c>
      <c r="E1867" s="13"/>
      <c r="F1867" s="14"/>
      <c r="G1867" s="8" t="str">
        <f>IF(OR(B1867="",E1867=""),"",IF(E1867="No","Missed",IF(F1867="","",IF(F1867&lt;=Settings!$B$7,"On time","Late"))))</f>
        <v/>
      </c>
      <c r="H1867" s="15"/>
      <c r="I1867" s="16"/>
      <c r="J1867" s="16"/>
      <c r="K1867" s="17" t="str">
        <f>IF(J1867="","",ROUND(J1867*Settings!$B$8,2))</f>
        <v/>
      </c>
      <c r="L1867" s="16"/>
      <c r="M1867" s="8" t="str">
        <f t="shared" si="29"/>
        <v/>
      </c>
      <c r="N1867" s="9"/>
    </row>
    <row r="1868" spans="1:14" ht="15.75">
      <c r="A1868" s="11"/>
      <c r="B1868" s="9"/>
      <c r="C1868" s="12" t="str">
        <f>IF(B1868="","",IFERROR(INDEX('Cashier Roster'!$C$5:$C$64,MATCH(B1868,'Cashier Roster'!$B$5:$B$64,0)),"Not on roster"))</f>
        <v/>
      </c>
      <c r="D1868" s="12" t="str">
        <f>IF(B1868="","",IFERROR(INDEX('Cashier Roster'!$D$5:$D$64,MATCH(B1868,'Cashier Roster'!$B$5:$B$64,0)),""))</f>
        <v/>
      </c>
      <c r="E1868" s="13"/>
      <c r="F1868" s="14"/>
      <c r="G1868" s="8" t="str">
        <f>IF(OR(B1868="",E1868=""),"",IF(E1868="No","Missed",IF(F1868="","",IF(F1868&lt;=Settings!$B$7,"On time","Late"))))</f>
        <v/>
      </c>
      <c r="H1868" s="15"/>
      <c r="I1868" s="16"/>
      <c r="J1868" s="16"/>
      <c r="K1868" s="17" t="str">
        <f>IF(J1868="","",ROUND(J1868*Settings!$B$8,2))</f>
        <v/>
      </c>
      <c r="L1868" s="16"/>
      <c r="M1868" s="8" t="str">
        <f t="shared" si="29"/>
        <v/>
      </c>
      <c r="N1868" s="9"/>
    </row>
    <row r="1869" spans="1:14" ht="15.75">
      <c r="A1869" s="11"/>
      <c r="B1869" s="9"/>
      <c r="C1869" s="12" t="str">
        <f>IF(B1869="","",IFERROR(INDEX('Cashier Roster'!$C$5:$C$64,MATCH(B1869,'Cashier Roster'!$B$5:$B$64,0)),"Not on roster"))</f>
        <v/>
      </c>
      <c r="D1869" s="12" t="str">
        <f>IF(B1869="","",IFERROR(INDEX('Cashier Roster'!$D$5:$D$64,MATCH(B1869,'Cashier Roster'!$B$5:$B$64,0)),""))</f>
        <v/>
      </c>
      <c r="E1869" s="13"/>
      <c r="F1869" s="14"/>
      <c r="G1869" s="8" t="str">
        <f>IF(OR(B1869="",E1869=""),"",IF(E1869="No","Missed",IF(F1869="","",IF(F1869&lt;=Settings!$B$7,"On time","Late"))))</f>
        <v/>
      </c>
      <c r="H1869" s="15"/>
      <c r="I1869" s="16"/>
      <c r="J1869" s="16"/>
      <c r="K1869" s="17" t="str">
        <f>IF(J1869="","",ROUND(J1869*Settings!$B$8,2))</f>
        <v/>
      </c>
      <c r="L1869" s="16"/>
      <c r="M1869" s="8" t="str">
        <f t="shared" si="29"/>
        <v/>
      </c>
      <c r="N1869" s="9"/>
    </row>
    <row r="1870" spans="1:14" ht="15.75">
      <c r="A1870" s="11"/>
      <c r="B1870" s="9"/>
      <c r="C1870" s="12" t="str">
        <f>IF(B1870="","",IFERROR(INDEX('Cashier Roster'!$C$5:$C$64,MATCH(B1870,'Cashier Roster'!$B$5:$B$64,0)),"Not on roster"))</f>
        <v/>
      </c>
      <c r="D1870" s="12" t="str">
        <f>IF(B1870="","",IFERROR(INDEX('Cashier Roster'!$D$5:$D$64,MATCH(B1870,'Cashier Roster'!$B$5:$B$64,0)),""))</f>
        <v/>
      </c>
      <c r="E1870" s="13"/>
      <c r="F1870" s="14"/>
      <c r="G1870" s="8" t="str">
        <f>IF(OR(B1870="",E1870=""),"",IF(E1870="No","Missed",IF(F1870="","",IF(F1870&lt;=Settings!$B$7,"On time","Late"))))</f>
        <v/>
      </c>
      <c r="H1870" s="15"/>
      <c r="I1870" s="16"/>
      <c r="J1870" s="16"/>
      <c r="K1870" s="17" t="str">
        <f>IF(J1870="","",ROUND(J1870*Settings!$B$8,2))</f>
        <v/>
      </c>
      <c r="L1870" s="16"/>
      <c r="M1870" s="8" t="str">
        <f t="shared" si="29"/>
        <v/>
      </c>
      <c r="N1870" s="9"/>
    </row>
    <row r="1871" spans="1:14" ht="15.75">
      <c r="A1871" s="11"/>
      <c r="B1871" s="9"/>
      <c r="C1871" s="12" t="str">
        <f>IF(B1871="","",IFERROR(INDEX('Cashier Roster'!$C$5:$C$64,MATCH(B1871,'Cashier Roster'!$B$5:$B$64,0)),"Not on roster"))</f>
        <v/>
      </c>
      <c r="D1871" s="12" t="str">
        <f>IF(B1871="","",IFERROR(INDEX('Cashier Roster'!$D$5:$D$64,MATCH(B1871,'Cashier Roster'!$B$5:$B$64,0)),""))</f>
        <v/>
      </c>
      <c r="E1871" s="13"/>
      <c r="F1871" s="14"/>
      <c r="G1871" s="8" t="str">
        <f>IF(OR(B1871="",E1871=""),"",IF(E1871="No","Missed",IF(F1871="","",IF(F1871&lt;=Settings!$B$7,"On time","Late"))))</f>
        <v/>
      </c>
      <c r="H1871" s="15"/>
      <c r="I1871" s="16"/>
      <c r="J1871" s="16"/>
      <c r="K1871" s="17" t="str">
        <f>IF(J1871="","",ROUND(J1871*Settings!$B$8,2))</f>
        <v/>
      </c>
      <c r="L1871" s="16"/>
      <c r="M1871" s="8" t="str">
        <f t="shared" si="29"/>
        <v/>
      </c>
      <c r="N1871" s="9"/>
    </row>
    <row r="1872" spans="1:14" ht="15.75">
      <c r="A1872" s="11"/>
      <c r="B1872" s="9"/>
      <c r="C1872" s="12" t="str">
        <f>IF(B1872="","",IFERROR(INDEX('Cashier Roster'!$C$5:$C$64,MATCH(B1872,'Cashier Roster'!$B$5:$B$64,0)),"Not on roster"))</f>
        <v/>
      </c>
      <c r="D1872" s="12" t="str">
        <f>IF(B1872="","",IFERROR(INDEX('Cashier Roster'!$D$5:$D$64,MATCH(B1872,'Cashier Roster'!$B$5:$B$64,0)),""))</f>
        <v/>
      </c>
      <c r="E1872" s="13"/>
      <c r="F1872" s="14"/>
      <c r="G1872" s="8" t="str">
        <f>IF(OR(B1872="",E1872=""),"",IF(E1872="No","Missed",IF(F1872="","",IF(F1872&lt;=Settings!$B$7,"On time","Late"))))</f>
        <v/>
      </c>
      <c r="H1872" s="15"/>
      <c r="I1872" s="16"/>
      <c r="J1872" s="16"/>
      <c r="K1872" s="17" t="str">
        <f>IF(J1872="","",ROUND(J1872*Settings!$B$8,2))</f>
        <v/>
      </c>
      <c r="L1872" s="16"/>
      <c r="M1872" s="8" t="str">
        <f t="shared" si="29"/>
        <v/>
      </c>
      <c r="N1872" s="9"/>
    </row>
    <row r="1873" spans="1:14" ht="15.75">
      <c r="A1873" s="11"/>
      <c r="B1873" s="9"/>
      <c r="C1873" s="12" t="str">
        <f>IF(B1873="","",IFERROR(INDEX('Cashier Roster'!$C$5:$C$64,MATCH(B1873,'Cashier Roster'!$B$5:$B$64,0)),"Not on roster"))</f>
        <v/>
      </c>
      <c r="D1873" s="12" t="str">
        <f>IF(B1873="","",IFERROR(INDEX('Cashier Roster'!$D$5:$D$64,MATCH(B1873,'Cashier Roster'!$B$5:$B$64,0)),""))</f>
        <v/>
      </c>
      <c r="E1873" s="13"/>
      <c r="F1873" s="14"/>
      <c r="G1873" s="8" t="str">
        <f>IF(OR(B1873="",E1873=""),"",IF(E1873="No","Missed",IF(F1873="","",IF(F1873&lt;=Settings!$B$7,"On time","Late"))))</f>
        <v/>
      </c>
      <c r="H1873" s="15"/>
      <c r="I1873" s="16"/>
      <c r="J1873" s="16"/>
      <c r="K1873" s="17" t="str">
        <f>IF(J1873="","",ROUND(J1873*Settings!$B$8,2))</f>
        <v/>
      </c>
      <c r="L1873" s="16"/>
      <c r="M1873" s="8" t="str">
        <f t="shared" si="29"/>
        <v/>
      </c>
      <c r="N1873" s="9"/>
    </row>
    <row r="1874" spans="1:14" ht="15.75">
      <c r="A1874" s="11"/>
      <c r="B1874" s="9"/>
      <c r="C1874" s="12" t="str">
        <f>IF(B1874="","",IFERROR(INDEX('Cashier Roster'!$C$5:$C$64,MATCH(B1874,'Cashier Roster'!$B$5:$B$64,0)),"Not on roster"))</f>
        <v/>
      </c>
      <c r="D1874" s="12" t="str">
        <f>IF(B1874="","",IFERROR(INDEX('Cashier Roster'!$D$5:$D$64,MATCH(B1874,'Cashier Roster'!$B$5:$B$64,0)),""))</f>
        <v/>
      </c>
      <c r="E1874" s="13"/>
      <c r="F1874" s="14"/>
      <c r="G1874" s="8" t="str">
        <f>IF(OR(B1874="",E1874=""),"",IF(E1874="No","Missed",IF(F1874="","",IF(F1874&lt;=Settings!$B$7,"On time","Late"))))</f>
        <v/>
      </c>
      <c r="H1874" s="15"/>
      <c r="I1874" s="16"/>
      <c r="J1874" s="16"/>
      <c r="K1874" s="17" t="str">
        <f>IF(J1874="","",ROUND(J1874*Settings!$B$8,2))</f>
        <v/>
      </c>
      <c r="L1874" s="16"/>
      <c r="M1874" s="8" t="str">
        <f t="shared" si="29"/>
        <v/>
      </c>
      <c r="N1874" s="9"/>
    </row>
    <row r="1875" spans="1:14" ht="15.75">
      <c r="A1875" s="11"/>
      <c r="B1875" s="9"/>
      <c r="C1875" s="12" t="str">
        <f>IF(B1875="","",IFERROR(INDEX('Cashier Roster'!$C$5:$C$64,MATCH(B1875,'Cashier Roster'!$B$5:$B$64,0)),"Not on roster"))</f>
        <v/>
      </c>
      <c r="D1875" s="12" t="str">
        <f>IF(B1875="","",IFERROR(INDEX('Cashier Roster'!$D$5:$D$64,MATCH(B1875,'Cashier Roster'!$B$5:$B$64,0)),""))</f>
        <v/>
      </c>
      <c r="E1875" s="13"/>
      <c r="F1875" s="14"/>
      <c r="G1875" s="8" t="str">
        <f>IF(OR(B1875="",E1875=""),"",IF(E1875="No","Missed",IF(F1875="","",IF(F1875&lt;=Settings!$B$7,"On time","Late"))))</f>
        <v/>
      </c>
      <c r="H1875" s="15"/>
      <c r="I1875" s="16"/>
      <c r="J1875" s="16"/>
      <c r="K1875" s="17" t="str">
        <f>IF(J1875="","",ROUND(J1875*Settings!$B$8,2))</f>
        <v/>
      </c>
      <c r="L1875" s="16"/>
      <c r="M1875" s="8" t="str">
        <f t="shared" si="29"/>
        <v/>
      </c>
      <c r="N1875" s="9"/>
    </row>
    <row r="1876" spans="1:14" ht="15.75">
      <c r="A1876" s="11"/>
      <c r="B1876" s="9"/>
      <c r="C1876" s="12" t="str">
        <f>IF(B1876="","",IFERROR(INDEX('Cashier Roster'!$C$5:$C$64,MATCH(B1876,'Cashier Roster'!$B$5:$B$64,0)),"Not on roster"))</f>
        <v/>
      </c>
      <c r="D1876" s="12" t="str">
        <f>IF(B1876="","",IFERROR(INDEX('Cashier Roster'!$D$5:$D$64,MATCH(B1876,'Cashier Roster'!$B$5:$B$64,0)),""))</f>
        <v/>
      </c>
      <c r="E1876" s="13"/>
      <c r="F1876" s="14"/>
      <c r="G1876" s="8" t="str">
        <f>IF(OR(B1876="",E1876=""),"",IF(E1876="No","Missed",IF(F1876="","",IF(F1876&lt;=Settings!$B$7,"On time","Late"))))</f>
        <v/>
      </c>
      <c r="H1876" s="15"/>
      <c r="I1876" s="16"/>
      <c r="J1876" s="16"/>
      <c r="K1876" s="17" t="str">
        <f>IF(J1876="","",ROUND(J1876*Settings!$B$8,2))</f>
        <v/>
      </c>
      <c r="L1876" s="16"/>
      <c r="M1876" s="8" t="str">
        <f t="shared" si="29"/>
        <v/>
      </c>
      <c r="N1876" s="9"/>
    </row>
    <row r="1877" spans="1:14" ht="15.75">
      <c r="A1877" s="11"/>
      <c r="B1877" s="9"/>
      <c r="C1877" s="12" t="str">
        <f>IF(B1877="","",IFERROR(INDEX('Cashier Roster'!$C$5:$C$64,MATCH(B1877,'Cashier Roster'!$B$5:$B$64,0)),"Not on roster"))</f>
        <v/>
      </c>
      <c r="D1877" s="12" t="str">
        <f>IF(B1877="","",IFERROR(INDEX('Cashier Roster'!$D$5:$D$64,MATCH(B1877,'Cashier Roster'!$B$5:$B$64,0)),""))</f>
        <v/>
      </c>
      <c r="E1877" s="13"/>
      <c r="F1877" s="14"/>
      <c r="G1877" s="8" t="str">
        <f>IF(OR(B1877="",E1877=""),"",IF(E1877="No","Missed",IF(F1877="","",IF(F1877&lt;=Settings!$B$7,"On time","Late"))))</f>
        <v/>
      </c>
      <c r="H1877" s="15"/>
      <c r="I1877" s="16"/>
      <c r="J1877" s="16"/>
      <c r="K1877" s="17" t="str">
        <f>IF(J1877="","",ROUND(J1877*Settings!$B$8,2))</f>
        <v/>
      </c>
      <c r="L1877" s="16"/>
      <c r="M1877" s="8" t="str">
        <f t="shared" si="29"/>
        <v/>
      </c>
      <c r="N1877" s="9"/>
    </row>
    <row r="1878" spans="1:14" ht="15.75">
      <c r="A1878" s="11"/>
      <c r="B1878" s="9"/>
      <c r="C1878" s="12" t="str">
        <f>IF(B1878="","",IFERROR(INDEX('Cashier Roster'!$C$5:$C$64,MATCH(B1878,'Cashier Roster'!$B$5:$B$64,0)),"Not on roster"))</f>
        <v/>
      </c>
      <c r="D1878" s="12" t="str">
        <f>IF(B1878="","",IFERROR(INDEX('Cashier Roster'!$D$5:$D$64,MATCH(B1878,'Cashier Roster'!$B$5:$B$64,0)),""))</f>
        <v/>
      </c>
      <c r="E1878" s="13"/>
      <c r="F1878" s="14"/>
      <c r="G1878" s="8" t="str">
        <f>IF(OR(B1878="",E1878=""),"",IF(E1878="No","Missed",IF(F1878="","",IF(F1878&lt;=Settings!$B$7,"On time","Late"))))</f>
        <v/>
      </c>
      <c r="H1878" s="15"/>
      <c r="I1878" s="16"/>
      <c r="J1878" s="16"/>
      <c r="K1878" s="17" t="str">
        <f>IF(J1878="","",ROUND(J1878*Settings!$B$8,2))</f>
        <v/>
      </c>
      <c r="L1878" s="16"/>
      <c r="M1878" s="8" t="str">
        <f t="shared" si="29"/>
        <v/>
      </c>
      <c r="N1878" s="9"/>
    </row>
    <row r="1879" spans="1:14" ht="15.75">
      <c r="A1879" s="11"/>
      <c r="B1879" s="9"/>
      <c r="C1879" s="12" t="str">
        <f>IF(B1879="","",IFERROR(INDEX('Cashier Roster'!$C$5:$C$64,MATCH(B1879,'Cashier Roster'!$B$5:$B$64,0)),"Not on roster"))</f>
        <v/>
      </c>
      <c r="D1879" s="12" t="str">
        <f>IF(B1879="","",IFERROR(INDEX('Cashier Roster'!$D$5:$D$64,MATCH(B1879,'Cashier Roster'!$B$5:$B$64,0)),""))</f>
        <v/>
      </c>
      <c r="E1879" s="13"/>
      <c r="F1879" s="14"/>
      <c r="G1879" s="8" t="str">
        <f>IF(OR(B1879="",E1879=""),"",IF(E1879="No","Missed",IF(F1879="","",IF(F1879&lt;=Settings!$B$7,"On time","Late"))))</f>
        <v/>
      </c>
      <c r="H1879" s="15"/>
      <c r="I1879" s="16"/>
      <c r="J1879" s="16"/>
      <c r="K1879" s="17" t="str">
        <f>IF(J1879="","",ROUND(J1879*Settings!$B$8,2))</f>
        <v/>
      </c>
      <c r="L1879" s="16"/>
      <c r="M1879" s="8" t="str">
        <f t="shared" si="29"/>
        <v/>
      </c>
      <c r="N1879" s="9"/>
    </row>
    <row r="1880" spans="1:14" ht="15.75">
      <c r="A1880" s="11"/>
      <c r="B1880" s="9"/>
      <c r="C1880" s="12" t="str">
        <f>IF(B1880="","",IFERROR(INDEX('Cashier Roster'!$C$5:$C$64,MATCH(B1880,'Cashier Roster'!$B$5:$B$64,0)),"Not on roster"))</f>
        <v/>
      </c>
      <c r="D1880" s="12" t="str">
        <f>IF(B1880="","",IFERROR(INDEX('Cashier Roster'!$D$5:$D$64,MATCH(B1880,'Cashier Roster'!$B$5:$B$64,0)),""))</f>
        <v/>
      </c>
      <c r="E1880" s="13"/>
      <c r="F1880" s="14"/>
      <c r="G1880" s="8" t="str">
        <f>IF(OR(B1880="",E1880=""),"",IF(E1880="No","Missed",IF(F1880="","",IF(F1880&lt;=Settings!$B$7,"On time","Late"))))</f>
        <v/>
      </c>
      <c r="H1880" s="15"/>
      <c r="I1880" s="16"/>
      <c r="J1880" s="16"/>
      <c r="K1880" s="17" t="str">
        <f>IF(J1880="","",ROUND(J1880*Settings!$B$8,2))</f>
        <v/>
      </c>
      <c r="L1880" s="16"/>
      <c r="M1880" s="8" t="str">
        <f t="shared" si="29"/>
        <v/>
      </c>
      <c r="N1880" s="9"/>
    </row>
    <row r="1881" spans="1:14" ht="15.75">
      <c r="A1881" s="11"/>
      <c r="B1881" s="9"/>
      <c r="C1881" s="12" t="str">
        <f>IF(B1881="","",IFERROR(INDEX('Cashier Roster'!$C$5:$C$64,MATCH(B1881,'Cashier Roster'!$B$5:$B$64,0)),"Not on roster"))</f>
        <v/>
      </c>
      <c r="D1881" s="12" t="str">
        <f>IF(B1881="","",IFERROR(INDEX('Cashier Roster'!$D$5:$D$64,MATCH(B1881,'Cashier Roster'!$B$5:$B$64,0)),""))</f>
        <v/>
      </c>
      <c r="E1881" s="13"/>
      <c r="F1881" s="14"/>
      <c r="G1881" s="8" t="str">
        <f>IF(OR(B1881="",E1881=""),"",IF(E1881="No","Missed",IF(F1881="","",IF(F1881&lt;=Settings!$B$7,"On time","Late"))))</f>
        <v/>
      </c>
      <c r="H1881" s="15"/>
      <c r="I1881" s="16"/>
      <c r="J1881" s="16"/>
      <c r="K1881" s="17" t="str">
        <f>IF(J1881="","",ROUND(J1881*Settings!$B$8,2))</f>
        <v/>
      </c>
      <c r="L1881" s="16"/>
      <c r="M1881" s="8" t="str">
        <f t="shared" si="29"/>
        <v/>
      </c>
      <c r="N1881" s="9"/>
    </row>
    <row r="1882" spans="1:14" ht="15.75">
      <c r="A1882" s="11"/>
      <c r="B1882" s="9"/>
      <c r="C1882" s="12" t="str">
        <f>IF(B1882="","",IFERROR(INDEX('Cashier Roster'!$C$5:$C$64,MATCH(B1882,'Cashier Roster'!$B$5:$B$64,0)),"Not on roster"))</f>
        <v/>
      </c>
      <c r="D1882" s="12" t="str">
        <f>IF(B1882="","",IFERROR(INDEX('Cashier Roster'!$D$5:$D$64,MATCH(B1882,'Cashier Roster'!$B$5:$B$64,0)),""))</f>
        <v/>
      </c>
      <c r="E1882" s="13"/>
      <c r="F1882" s="14"/>
      <c r="G1882" s="8" t="str">
        <f>IF(OR(B1882="",E1882=""),"",IF(E1882="No","Missed",IF(F1882="","",IF(F1882&lt;=Settings!$B$7,"On time","Late"))))</f>
        <v/>
      </c>
      <c r="H1882" s="15"/>
      <c r="I1882" s="16"/>
      <c r="J1882" s="16"/>
      <c r="K1882" s="17" t="str">
        <f>IF(J1882="","",ROUND(J1882*Settings!$B$8,2))</f>
        <v/>
      </c>
      <c r="L1882" s="16"/>
      <c r="M1882" s="8" t="str">
        <f t="shared" si="29"/>
        <v/>
      </c>
      <c r="N1882" s="9"/>
    </row>
    <row r="1883" spans="1:14" ht="15.75">
      <c r="A1883" s="11"/>
      <c r="B1883" s="9"/>
      <c r="C1883" s="12" t="str">
        <f>IF(B1883="","",IFERROR(INDEX('Cashier Roster'!$C$5:$C$64,MATCH(B1883,'Cashier Roster'!$B$5:$B$64,0)),"Not on roster"))</f>
        <v/>
      </c>
      <c r="D1883" s="12" t="str">
        <f>IF(B1883="","",IFERROR(INDEX('Cashier Roster'!$D$5:$D$64,MATCH(B1883,'Cashier Roster'!$B$5:$B$64,0)),""))</f>
        <v/>
      </c>
      <c r="E1883" s="13"/>
      <c r="F1883" s="14"/>
      <c r="G1883" s="8" t="str">
        <f>IF(OR(B1883="",E1883=""),"",IF(E1883="No","Missed",IF(F1883="","",IF(F1883&lt;=Settings!$B$7,"On time","Late"))))</f>
        <v/>
      </c>
      <c r="H1883" s="15"/>
      <c r="I1883" s="16"/>
      <c r="J1883" s="16"/>
      <c r="K1883" s="17" t="str">
        <f>IF(J1883="","",ROUND(J1883*Settings!$B$8,2))</f>
        <v/>
      </c>
      <c r="L1883" s="16"/>
      <c r="M1883" s="8" t="str">
        <f t="shared" si="29"/>
        <v/>
      </c>
      <c r="N1883" s="9"/>
    </row>
    <row r="1884" spans="1:14" ht="15.75">
      <c r="A1884" s="11"/>
      <c r="B1884" s="9"/>
      <c r="C1884" s="12" t="str">
        <f>IF(B1884="","",IFERROR(INDEX('Cashier Roster'!$C$5:$C$64,MATCH(B1884,'Cashier Roster'!$B$5:$B$64,0)),"Not on roster"))</f>
        <v/>
      </c>
      <c r="D1884" s="12" t="str">
        <f>IF(B1884="","",IFERROR(INDEX('Cashier Roster'!$D$5:$D$64,MATCH(B1884,'Cashier Roster'!$B$5:$B$64,0)),""))</f>
        <v/>
      </c>
      <c r="E1884" s="13"/>
      <c r="F1884" s="14"/>
      <c r="G1884" s="8" t="str">
        <f>IF(OR(B1884="",E1884=""),"",IF(E1884="No","Missed",IF(F1884="","",IF(F1884&lt;=Settings!$B$7,"On time","Late"))))</f>
        <v/>
      </c>
      <c r="H1884" s="15"/>
      <c r="I1884" s="16"/>
      <c r="J1884" s="16"/>
      <c r="K1884" s="17" t="str">
        <f>IF(J1884="","",ROUND(J1884*Settings!$B$8,2))</f>
        <v/>
      </c>
      <c r="L1884" s="16"/>
      <c r="M1884" s="8" t="str">
        <f t="shared" si="29"/>
        <v/>
      </c>
      <c r="N1884" s="9"/>
    </row>
    <row r="1885" spans="1:14" ht="15.75">
      <c r="A1885" s="11"/>
      <c r="B1885" s="9"/>
      <c r="C1885" s="12" t="str">
        <f>IF(B1885="","",IFERROR(INDEX('Cashier Roster'!$C$5:$C$64,MATCH(B1885,'Cashier Roster'!$B$5:$B$64,0)),"Not on roster"))</f>
        <v/>
      </c>
      <c r="D1885" s="12" t="str">
        <f>IF(B1885="","",IFERROR(INDEX('Cashier Roster'!$D$5:$D$64,MATCH(B1885,'Cashier Roster'!$B$5:$B$64,0)),""))</f>
        <v/>
      </c>
      <c r="E1885" s="13"/>
      <c r="F1885" s="14"/>
      <c r="G1885" s="8" t="str">
        <f>IF(OR(B1885="",E1885=""),"",IF(E1885="No","Missed",IF(F1885="","",IF(F1885&lt;=Settings!$B$7,"On time","Late"))))</f>
        <v/>
      </c>
      <c r="H1885" s="15"/>
      <c r="I1885" s="16"/>
      <c r="J1885" s="16"/>
      <c r="K1885" s="17" t="str">
        <f>IF(J1885="","",ROUND(J1885*Settings!$B$8,2))</f>
        <v/>
      </c>
      <c r="L1885" s="16"/>
      <c r="M1885" s="8" t="str">
        <f t="shared" si="29"/>
        <v/>
      </c>
      <c r="N1885" s="9"/>
    </row>
    <row r="1886" spans="1:14" ht="15.75">
      <c r="A1886" s="11"/>
      <c r="B1886" s="9"/>
      <c r="C1886" s="12" t="str">
        <f>IF(B1886="","",IFERROR(INDEX('Cashier Roster'!$C$5:$C$64,MATCH(B1886,'Cashier Roster'!$B$5:$B$64,0)),"Not on roster"))</f>
        <v/>
      </c>
      <c r="D1886" s="12" t="str">
        <f>IF(B1886="","",IFERROR(INDEX('Cashier Roster'!$D$5:$D$64,MATCH(B1886,'Cashier Roster'!$B$5:$B$64,0)),""))</f>
        <v/>
      </c>
      <c r="E1886" s="13"/>
      <c r="F1886" s="14"/>
      <c r="G1886" s="8" t="str">
        <f>IF(OR(B1886="",E1886=""),"",IF(E1886="No","Missed",IF(F1886="","",IF(F1886&lt;=Settings!$B$7,"On time","Late"))))</f>
        <v/>
      </c>
      <c r="H1886" s="15"/>
      <c r="I1886" s="16"/>
      <c r="J1886" s="16"/>
      <c r="K1886" s="17" t="str">
        <f>IF(J1886="","",ROUND(J1886*Settings!$B$8,2))</f>
        <v/>
      </c>
      <c r="L1886" s="16"/>
      <c r="M1886" s="8" t="str">
        <f t="shared" si="29"/>
        <v/>
      </c>
      <c r="N1886" s="9"/>
    </row>
    <row r="1887" spans="1:14" ht="15.75">
      <c r="A1887" s="11"/>
      <c r="B1887" s="9"/>
      <c r="C1887" s="12" t="str">
        <f>IF(B1887="","",IFERROR(INDEX('Cashier Roster'!$C$5:$C$64,MATCH(B1887,'Cashier Roster'!$B$5:$B$64,0)),"Not on roster"))</f>
        <v/>
      </c>
      <c r="D1887" s="12" t="str">
        <f>IF(B1887="","",IFERROR(INDEX('Cashier Roster'!$D$5:$D$64,MATCH(B1887,'Cashier Roster'!$B$5:$B$64,0)),""))</f>
        <v/>
      </c>
      <c r="E1887" s="13"/>
      <c r="F1887" s="14"/>
      <c r="G1887" s="8" t="str">
        <f>IF(OR(B1887="",E1887=""),"",IF(E1887="No","Missed",IF(F1887="","",IF(F1887&lt;=Settings!$B$7,"On time","Late"))))</f>
        <v/>
      </c>
      <c r="H1887" s="15"/>
      <c r="I1887" s="16"/>
      <c r="J1887" s="16"/>
      <c r="K1887" s="17" t="str">
        <f>IF(J1887="","",ROUND(J1887*Settings!$B$8,2))</f>
        <v/>
      </c>
      <c r="L1887" s="16"/>
      <c r="M1887" s="8" t="str">
        <f t="shared" si="29"/>
        <v/>
      </c>
      <c r="N1887" s="9"/>
    </row>
    <row r="1888" spans="1:14" ht="15.75">
      <c r="A1888" s="11"/>
      <c r="B1888" s="9"/>
      <c r="C1888" s="12" t="str">
        <f>IF(B1888="","",IFERROR(INDEX('Cashier Roster'!$C$5:$C$64,MATCH(B1888,'Cashier Roster'!$B$5:$B$64,0)),"Not on roster"))</f>
        <v/>
      </c>
      <c r="D1888" s="12" t="str">
        <f>IF(B1888="","",IFERROR(INDEX('Cashier Roster'!$D$5:$D$64,MATCH(B1888,'Cashier Roster'!$B$5:$B$64,0)),""))</f>
        <v/>
      </c>
      <c r="E1888" s="13"/>
      <c r="F1888" s="14"/>
      <c r="G1888" s="8" t="str">
        <f>IF(OR(B1888="",E1888=""),"",IF(E1888="No","Missed",IF(F1888="","",IF(F1888&lt;=Settings!$B$7,"On time","Late"))))</f>
        <v/>
      </c>
      <c r="H1888" s="15"/>
      <c r="I1888" s="16"/>
      <c r="J1888" s="16"/>
      <c r="K1888" s="17" t="str">
        <f>IF(J1888="","",ROUND(J1888*Settings!$B$8,2))</f>
        <v/>
      </c>
      <c r="L1888" s="16"/>
      <c r="M1888" s="8" t="str">
        <f t="shared" si="29"/>
        <v/>
      </c>
      <c r="N1888" s="9"/>
    </row>
    <row r="1889" spans="1:14" ht="15.75">
      <c r="A1889" s="11"/>
      <c r="B1889" s="9"/>
      <c r="C1889" s="12" t="str">
        <f>IF(B1889="","",IFERROR(INDEX('Cashier Roster'!$C$5:$C$64,MATCH(B1889,'Cashier Roster'!$B$5:$B$64,0)),"Not on roster"))</f>
        <v/>
      </c>
      <c r="D1889" s="12" t="str">
        <f>IF(B1889="","",IFERROR(INDEX('Cashier Roster'!$D$5:$D$64,MATCH(B1889,'Cashier Roster'!$B$5:$B$64,0)),""))</f>
        <v/>
      </c>
      <c r="E1889" s="13"/>
      <c r="F1889" s="14"/>
      <c r="G1889" s="8" t="str">
        <f>IF(OR(B1889="",E1889=""),"",IF(E1889="No","Missed",IF(F1889="","",IF(F1889&lt;=Settings!$B$7,"On time","Late"))))</f>
        <v/>
      </c>
      <c r="H1889" s="15"/>
      <c r="I1889" s="16"/>
      <c r="J1889" s="16"/>
      <c r="K1889" s="17" t="str">
        <f>IF(J1889="","",ROUND(J1889*Settings!$B$8,2))</f>
        <v/>
      </c>
      <c r="L1889" s="16"/>
      <c r="M1889" s="8" t="str">
        <f t="shared" si="29"/>
        <v/>
      </c>
      <c r="N1889" s="9"/>
    </row>
    <row r="1890" spans="1:14" ht="15.75">
      <c r="A1890" s="11"/>
      <c r="B1890" s="9"/>
      <c r="C1890" s="12" t="str">
        <f>IF(B1890="","",IFERROR(INDEX('Cashier Roster'!$C$5:$C$64,MATCH(B1890,'Cashier Roster'!$B$5:$B$64,0)),"Not on roster"))</f>
        <v/>
      </c>
      <c r="D1890" s="12" t="str">
        <f>IF(B1890="","",IFERROR(INDEX('Cashier Roster'!$D$5:$D$64,MATCH(B1890,'Cashier Roster'!$B$5:$B$64,0)),""))</f>
        <v/>
      </c>
      <c r="E1890" s="13"/>
      <c r="F1890" s="14"/>
      <c r="G1890" s="8" t="str">
        <f>IF(OR(B1890="",E1890=""),"",IF(E1890="No","Missed",IF(F1890="","",IF(F1890&lt;=Settings!$B$7,"On time","Late"))))</f>
        <v/>
      </c>
      <c r="H1890" s="15"/>
      <c r="I1890" s="16"/>
      <c r="J1890" s="16"/>
      <c r="K1890" s="17" t="str">
        <f>IF(J1890="","",ROUND(J1890*Settings!$B$8,2))</f>
        <v/>
      </c>
      <c r="L1890" s="16"/>
      <c r="M1890" s="8" t="str">
        <f t="shared" si="29"/>
        <v/>
      </c>
      <c r="N1890" s="9"/>
    </row>
    <row r="1891" spans="1:14" ht="15.75">
      <c r="A1891" s="11"/>
      <c r="B1891" s="9"/>
      <c r="C1891" s="12" t="str">
        <f>IF(B1891="","",IFERROR(INDEX('Cashier Roster'!$C$5:$C$64,MATCH(B1891,'Cashier Roster'!$B$5:$B$64,0)),"Not on roster"))</f>
        <v/>
      </c>
      <c r="D1891" s="12" t="str">
        <f>IF(B1891="","",IFERROR(INDEX('Cashier Roster'!$D$5:$D$64,MATCH(B1891,'Cashier Roster'!$B$5:$B$64,0)),""))</f>
        <v/>
      </c>
      <c r="E1891" s="13"/>
      <c r="F1891" s="14"/>
      <c r="G1891" s="8" t="str">
        <f>IF(OR(B1891="",E1891=""),"",IF(E1891="No","Missed",IF(F1891="","",IF(F1891&lt;=Settings!$B$7,"On time","Late"))))</f>
        <v/>
      </c>
      <c r="H1891" s="15"/>
      <c r="I1891" s="16"/>
      <c r="J1891" s="16"/>
      <c r="K1891" s="17" t="str">
        <f>IF(J1891="","",ROUND(J1891*Settings!$B$8,2))</f>
        <v/>
      </c>
      <c r="L1891" s="16"/>
      <c r="M1891" s="8" t="str">
        <f t="shared" si="29"/>
        <v/>
      </c>
      <c r="N1891" s="9"/>
    </row>
    <row r="1892" spans="1:14" ht="15.75">
      <c r="A1892" s="11"/>
      <c r="B1892" s="9"/>
      <c r="C1892" s="12" t="str">
        <f>IF(B1892="","",IFERROR(INDEX('Cashier Roster'!$C$5:$C$64,MATCH(B1892,'Cashier Roster'!$B$5:$B$64,0)),"Not on roster"))</f>
        <v/>
      </c>
      <c r="D1892" s="12" t="str">
        <f>IF(B1892="","",IFERROR(INDEX('Cashier Roster'!$D$5:$D$64,MATCH(B1892,'Cashier Roster'!$B$5:$B$64,0)),""))</f>
        <v/>
      </c>
      <c r="E1892" s="13"/>
      <c r="F1892" s="14"/>
      <c r="G1892" s="8" t="str">
        <f>IF(OR(B1892="",E1892=""),"",IF(E1892="No","Missed",IF(F1892="","",IF(F1892&lt;=Settings!$B$7,"On time","Late"))))</f>
        <v/>
      </c>
      <c r="H1892" s="15"/>
      <c r="I1892" s="16"/>
      <c r="J1892" s="16"/>
      <c r="K1892" s="17" t="str">
        <f>IF(J1892="","",ROUND(J1892*Settings!$B$8,2))</f>
        <v/>
      </c>
      <c r="L1892" s="16"/>
      <c r="M1892" s="8" t="str">
        <f t="shared" si="29"/>
        <v/>
      </c>
      <c r="N1892" s="9"/>
    </row>
    <row r="1893" spans="1:14" ht="15.75">
      <c r="A1893" s="11"/>
      <c r="B1893" s="9"/>
      <c r="C1893" s="12" t="str">
        <f>IF(B1893="","",IFERROR(INDEX('Cashier Roster'!$C$5:$C$64,MATCH(B1893,'Cashier Roster'!$B$5:$B$64,0)),"Not on roster"))</f>
        <v/>
      </c>
      <c r="D1893" s="12" t="str">
        <f>IF(B1893="","",IFERROR(INDEX('Cashier Roster'!$D$5:$D$64,MATCH(B1893,'Cashier Roster'!$B$5:$B$64,0)),""))</f>
        <v/>
      </c>
      <c r="E1893" s="13"/>
      <c r="F1893" s="14"/>
      <c r="G1893" s="8" t="str">
        <f>IF(OR(B1893="",E1893=""),"",IF(E1893="No","Missed",IF(F1893="","",IF(F1893&lt;=Settings!$B$7,"On time","Late"))))</f>
        <v/>
      </c>
      <c r="H1893" s="15"/>
      <c r="I1893" s="16"/>
      <c r="J1893" s="16"/>
      <c r="K1893" s="17" t="str">
        <f>IF(J1893="","",ROUND(J1893*Settings!$B$8,2))</f>
        <v/>
      </c>
      <c r="L1893" s="16"/>
      <c r="M1893" s="8" t="str">
        <f t="shared" si="29"/>
        <v/>
      </c>
      <c r="N1893" s="9"/>
    </row>
    <row r="1894" spans="1:14" ht="15.75">
      <c r="A1894" s="11"/>
      <c r="B1894" s="9"/>
      <c r="C1894" s="12" t="str">
        <f>IF(B1894="","",IFERROR(INDEX('Cashier Roster'!$C$5:$C$64,MATCH(B1894,'Cashier Roster'!$B$5:$B$64,0)),"Not on roster"))</f>
        <v/>
      </c>
      <c r="D1894" s="12" t="str">
        <f>IF(B1894="","",IFERROR(INDEX('Cashier Roster'!$D$5:$D$64,MATCH(B1894,'Cashier Roster'!$B$5:$B$64,0)),""))</f>
        <v/>
      </c>
      <c r="E1894" s="13"/>
      <c r="F1894" s="14"/>
      <c r="G1894" s="8" t="str">
        <f>IF(OR(B1894="",E1894=""),"",IF(E1894="No","Missed",IF(F1894="","",IF(F1894&lt;=Settings!$B$7,"On time","Late"))))</f>
        <v/>
      </c>
      <c r="H1894" s="15"/>
      <c r="I1894" s="16"/>
      <c r="J1894" s="16"/>
      <c r="K1894" s="17" t="str">
        <f>IF(J1894="","",ROUND(J1894*Settings!$B$8,2))</f>
        <v/>
      </c>
      <c r="L1894" s="16"/>
      <c r="M1894" s="8" t="str">
        <f t="shared" si="29"/>
        <v/>
      </c>
      <c r="N1894" s="9"/>
    </row>
    <row r="1895" spans="1:14" ht="15.75">
      <c r="A1895" s="11"/>
      <c r="B1895" s="9"/>
      <c r="C1895" s="12" t="str">
        <f>IF(B1895="","",IFERROR(INDEX('Cashier Roster'!$C$5:$C$64,MATCH(B1895,'Cashier Roster'!$B$5:$B$64,0)),"Not on roster"))</f>
        <v/>
      </c>
      <c r="D1895" s="12" t="str">
        <f>IF(B1895="","",IFERROR(INDEX('Cashier Roster'!$D$5:$D$64,MATCH(B1895,'Cashier Roster'!$B$5:$B$64,0)),""))</f>
        <v/>
      </c>
      <c r="E1895" s="13"/>
      <c r="F1895" s="14"/>
      <c r="G1895" s="8" t="str">
        <f>IF(OR(B1895="",E1895=""),"",IF(E1895="No","Missed",IF(F1895="","",IF(F1895&lt;=Settings!$B$7,"On time","Late"))))</f>
        <v/>
      </c>
      <c r="H1895" s="15"/>
      <c r="I1895" s="16"/>
      <c r="J1895" s="16"/>
      <c r="K1895" s="17" t="str">
        <f>IF(J1895="","",ROUND(J1895*Settings!$B$8,2))</f>
        <v/>
      </c>
      <c r="L1895" s="16"/>
      <c r="M1895" s="8" t="str">
        <f t="shared" si="29"/>
        <v/>
      </c>
      <c r="N1895" s="9"/>
    </row>
    <row r="1896" spans="1:14" ht="15.75">
      <c r="A1896" s="11"/>
      <c r="B1896" s="9"/>
      <c r="C1896" s="12" t="str">
        <f>IF(B1896="","",IFERROR(INDEX('Cashier Roster'!$C$5:$C$64,MATCH(B1896,'Cashier Roster'!$B$5:$B$64,0)),"Not on roster"))</f>
        <v/>
      </c>
      <c r="D1896" s="12" t="str">
        <f>IF(B1896="","",IFERROR(INDEX('Cashier Roster'!$D$5:$D$64,MATCH(B1896,'Cashier Roster'!$B$5:$B$64,0)),""))</f>
        <v/>
      </c>
      <c r="E1896" s="13"/>
      <c r="F1896" s="14"/>
      <c r="G1896" s="8" t="str">
        <f>IF(OR(B1896="",E1896=""),"",IF(E1896="No","Missed",IF(F1896="","",IF(F1896&lt;=Settings!$B$7,"On time","Late"))))</f>
        <v/>
      </c>
      <c r="H1896" s="15"/>
      <c r="I1896" s="16"/>
      <c r="J1896" s="16"/>
      <c r="K1896" s="17" t="str">
        <f>IF(J1896="","",ROUND(J1896*Settings!$B$8,2))</f>
        <v/>
      </c>
      <c r="L1896" s="16"/>
      <c r="M1896" s="8" t="str">
        <f t="shared" si="29"/>
        <v/>
      </c>
      <c r="N1896" s="9"/>
    </row>
    <row r="1897" spans="1:14" ht="15.75">
      <c r="A1897" s="11"/>
      <c r="B1897" s="9"/>
      <c r="C1897" s="12" t="str">
        <f>IF(B1897="","",IFERROR(INDEX('Cashier Roster'!$C$5:$C$64,MATCH(B1897,'Cashier Roster'!$B$5:$B$64,0)),"Not on roster"))</f>
        <v/>
      </c>
      <c r="D1897" s="12" t="str">
        <f>IF(B1897="","",IFERROR(INDEX('Cashier Roster'!$D$5:$D$64,MATCH(B1897,'Cashier Roster'!$B$5:$B$64,0)),""))</f>
        <v/>
      </c>
      <c r="E1897" s="13"/>
      <c r="F1897" s="14"/>
      <c r="G1897" s="8" t="str">
        <f>IF(OR(B1897="",E1897=""),"",IF(E1897="No","Missed",IF(F1897="","",IF(F1897&lt;=Settings!$B$7,"On time","Late"))))</f>
        <v/>
      </c>
      <c r="H1897" s="15"/>
      <c r="I1897" s="16"/>
      <c r="J1897" s="16"/>
      <c r="K1897" s="17" t="str">
        <f>IF(J1897="","",ROUND(J1897*Settings!$B$8,2))</f>
        <v/>
      </c>
      <c r="L1897" s="16"/>
      <c r="M1897" s="8" t="str">
        <f t="shared" si="29"/>
        <v/>
      </c>
      <c r="N1897" s="9"/>
    </row>
    <row r="1898" spans="1:14" ht="15.75">
      <c r="A1898" s="11"/>
      <c r="B1898" s="9"/>
      <c r="C1898" s="12" t="str">
        <f>IF(B1898="","",IFERROR(INDEX('Cashier Roster'!$C$5:$C$64,MATCH(B1898,'Cashier Roster'!$B$5:$B$64,0)),"Not on roster"))</f>
        <v/>
      </c>
      <c r="D1898" s="12" t="str">
        <f>IF(B1898="","",IFERROR(INDEX('Cashier Roster'!$D$5:$D$64,MATCH(B1898,'Cashier Roster'!$B$5:$B$64,0)),""))</f>
        <v/>
      </c>
      <c r="E1898" s="13"/>
      <c r="F1898" s="14"/>
      <c r="G1898" s="8" t="str">
        <f>IF(OR(B1898="",E1898=""),"",IF(E1898="No","Missed",IF(F1898="","",IF(F1898&lt;=Settings!$B$7,"On time","Late"))))</f>
        <v/>
      </c>
      <c r="H1898" s="15"/>
      <c r="I1898" s="16"/>
      <c r="J1898" s="16"/>
      <c r="K1898" s="17" t="str">
        <f>IF(J1898="","",ROUND(J1898*Settings!$B$8,2))</f>
        <v/>
      </c>
      <c r="L1898" s="16"/>
      <c r="M1898" s="8" t="str">
        <f t="shared" si="29"/>
        <v/>
      </c>
      <c r="N1898" s="9"/>
    </row>
    <row r="1899" spans="1:14" ht="15.75">
      <c r="A1899" s="11"/>
      <c r="B1899" s="9"/>
      <c r="C1899" s="12" t="str">
        <f>IF(B1899="","",IFERROR(INDEX('Cashier Roster'!$C$5:$C$64,MATCH(B1899,'Cashier Roster'!$B$5:$B$64,0)),"Not on roster"))</f>
        <v/>
      </c>
      <c r="D1899" s="12" t="str">
        <f>IF(B1899="","",IFERROR(INDEX('Cashier Roster'!$D$5:$D$64,MATCH(B1899,'Cashier Roster'!$B$5:$B$64,0)),""))</f>
        <v/>
      </c>
      <c r="E1899" s="13"/>
      <c r="F1899" s="14"/>
      <c r="G1899" s="8" t="str">
        <f>IF(OR(B1899="",E1899=""),"",IF(E1899="No","Missed",IF(F1899="","",IF(F1899&lt;=Settings!$B$7,"On time","Late"))))</f>
        <v/>
      </c>
      <c r="H1899" s="15"/>
      <c r="I1899" s="16"/>
      <c r="J1899" s="16"/>
      <c r="K1899" s="17" t="str">
        <f>IF(J1899="","",ROUND(J1899*Settings!$B$8,2))</f>
        <v/>
      </c>
      <c r="L1899" s="16"/>
      <c r="M1899" s="8" t="str">
        <f t="shared" si="29"/>
        <v/>
      </c>
      <c r="N1899" s="9"/>
    </row>
    <row r="1900" spans="1:14" ht="15.75">
      <c r="A1900" s="11"/>
      <c r="B1900" s="9"/>
      <c r="C1900" s="12" t="str">
        <f>IF(B1900="","",IFERROR(INDEX('Cashier Roster'!$C$5:$C$64,MATCH(B1900,'Cashier Roster'!$B$5:$B$64,0)),"Not on roster"))</f>
        <v/>
      </c>
      <c r="D1900" s="12" t="str">
        <f>IF(B1900="","",IFERROR(INDEX('Cashier Roster'!$D$5:$D$64,MATCH(B1900,'Cashier Roster'!$B$5:$B$64,0)),""))</f>
        <v/>
      </c>
      <c r="E1900" s="13"/>
      <c r="F1900" s="14"/>
      <c r="G1900" s="8" t="str">
        <f>IF(OR(B1900="",E1900=""),"",IF(E1900="No","Missed",IF(F1900="","",IF(F1900&lt;=Settings!$B$7,"On time","Late"))))</f>
        <v/>
      </c>
      <c r="H1900" s="15"/>
      <c r="I1900" s="16"/>
      <c r="J1900" s="16"/>
      <c r="K1900" s="17" t="str">
        <f>IF(J1900="","",ROUND(J1900*Settings!$B$8,2))</f>
        <v/>
      </c>
      <c r="L1900" s="16"/>
      <c r="M1900" s="8" t="str">
        <f t="shared" si="29"/>
        <v/>
      </c>
      <c r="N1900" s="9"/>
    </row>
    <row r="1901" spans="1:14" ht="15.75">
      <c r="A1901" s="11"/>
      <c r="B1901" s="9"/>
      <c r="C1901" s="12" t="str">
        <f>IF(B1901="","",IFERROR(INDEX('Cashier Roster'!$C$5:$C$64,MATCH(B1901,'Cashier Roster'!$B$5:$B$64,0)),"Not on roster"))</f>
        <v/>
      </c>
      <c r="D1901" s="12" t="str">
        <f>IF(B1901="","",IFERROR(INDEX('Cashier Roster'!$D$5:$D$64,MATCH(B1901,'Cashier Roster'!$B$5:$B$64,0)),""))</f>
        <v/>
      </c>
      <c r="E1901" s="13"/>
      <c r="F1901" s="14"/>
      <c r="G1901" s="8" t="str">
        <f>IF(OR(B1901="",E1901=""),"",IF(E1901="No","Missed",IF(F1901="","",IF(F1901&lt;=Settings!$B$7,"On time","Late"))))</f>
        <v/>
      </c>
      <c r="H1901" s="15"/>
      <c r="I1901" s="16"/>
      <c r="J1901" s="16"/>
      <c r="K1901" s="17" t="str">
        <f>IF(J1901="","",ROUND(J1901*Settings!$B$8,2))</f>
        <v/>
      </c>
      <c r="L1901" s="16"/>
      <c r="M1901" s="8" t="str">
        <f t="shared" si="29"/>
        <v/>
      </c>
      <c r="N1901" s="9"/>
    </row>
    <row r="1902" spans="1:14" ht="15.75">
      <c r="A1902" s="11"/>
      <c r="B1902" s="9"/>
      <c r="C1902" s="12" t="str">
        <f>IF(B1902="","",IFERROR(INDEX('Cashier Roster'!$C$5:$C$64,MATCH(B1902,'Cashier Roster'!$B$5:$B$64,0)),"Not on roster"))</f>
        <v/>
      </c>
      <c r="D1902" s="12" t="str">
        <f>IF(B1902="","",IFERROR(INDEX('Cashier Roster'!$D$5:$D$64,MATCH(B1902,'Cashier Roster'!$B$5:$B$64,0)),""))</f>
        <v/>
      </c>
      <c r="E1902" s="13"/>
      <c r="F1902" s="14"/>
      <c r="G1902" s="8" t="str">
        <f>IF(OR(B1902="",E1902=""),"",IF(E1902="No","Missed",IF(F1902="","",IF(F1902&lt;=Settings!$B$7,"On time","Late"))))</f>
        <v/>
      </c>
      <c r="H1902" s="15"/>
      <c r="I1902" s="16"/>
      <c r="J1902" s="16"/>
      <c r="K1902" s="17" t="str">
        <f>IF(J1902="","",ROUND(J1902*Settings!$B$8,2))</f>
        <v/>
      </c>
      <c r="L1902" s="16"/>
      <c r="M1902" s="8" t="str">
        <f t="shared" si="29"/>
        <v/>
      </c>
      <c r="N1902" s="9"/>
    </row>
    <row r="1903" spans="1:14" ht="15.75">
      <c r="A1903" s="11"/>
      <c r="B1903" s="9"/>
      <c r="C1903" s="12" t="str">
        <f>IF(B1903="","",IFERROR(INDEX('Cashier Roster'!$C$5:$C$64,MATCH(B1903,'Cashier Roster'!$B$5:$B$64,0)),"Not on roster"))</f>
        <v/>
      </c>
      <c r="D1903" s="12" t="str">
        <f>IF(B1903="","",IFERROR(INDEX('Cashier Roster'!$D$5:$D$64,MATCH(B1903,'Cashier Roster'!$B$5:$B$64,0)),""))</f>
        <v/>
      </c>
      <c r="E1903" s="13"/>
      <c r="F1903" s="14"/>
      <c r="G1903" s="8" t="str">
        <f>IF(OR(B1903="",E1903=""),"",IF(E1903="No","Missed",IF(F1903="","",IF(F1903&lt;=Settings!$B$7,"On time","Late"))))</f>
        <v/>
      </c>
      <c r="H1903" s="15"/>
      <c r="I1903" s="16"/>
      <c r="J1903" s="16"/>
      <c r="K1903" s="17" t="str">
        <f>IF(J1903="","",ROUND(J1903*Settings!$B$8,2))</f>
        <v/>
      </c>
      <c r="L1903" s="16"/>
      <c r="M1903" s="8" t="str">
        <f t="shared" si="29"/>
        <v/>
      </c>
      <c r="N1903" s="9"/>
    </row>
    <row r="1904" spans="1:14" ht="15.75">
      <c r="A1904" s="11"/>
      <c r="B1904" s="9"/>
      <c r="C1904" s="12" t="str">
        <f>IF(B1904="","",IFERROR(INDEX('Cashier Roster'!$C$5:$C$64,MATCH(B1904,'Cashier Roster'!$B$5:$B$64,0)),"Not on roster"))</f>
        <v/>
      </c>
      <c r="D1904" s="12" t="str">
        <f>IF(B1904="","",IFERROR(INDEX('Cashier Roster'!$D$5:$D$64,MATCH(B1904,'Cashier Roster'!$B$5:$B$64,0)),""))</f>
        <v/>
      </c>
      <c r="E1904" s="13"/>
      <c r="F1904" s="14"/>
      <c r="G1904" s="8" t="str">
        <f>IF(OR(B1904="",E1904=""),"",IF(E1904="No","Missed",IF(F1904="","",IF(F1904&lt;=Settings!$B$7,"On time","Late"))))</f>
        <v/>
      </c>
      <c r="H1904" s="15"/>
      <c r="I1904" s="16"/>
      <c r="J1904" s="16"/>
      <c r="K1904" s="17" t="str">
        <f>IF(J1904="","",ROUND(J1904*Settings!$B$8,2))</f>
        <v/>
      </c>
      <c r="L1904" s="16"/>
      <c r="M1904" s="8" t="str">
        <f t="shared" si="29"/>
        <v/>
      </c>
      <c r="N1904" s="9"/>
    </row>
    <row r="1905" spans="1:14" ht="15.75">
      <c r="A1905" s="11"/>
      <c r="B1905" s="9"/>
      <c r="C1905" s="12" t="str">
        <f>IF(B1905="","",IFERROR(INDEX('Cashier Roster'!$C$5:$C$64,MATCH(B1905,'Cashier Roster'!$B$5:$B$64,0)),"Not on roster"))</f>
        <v/>
      </c>
      <c r="D1905" s="12" t="str">
        <f>IF(B1905="","",IFERROR(INDEX('Cashier Roster'!$D$5:$D$64,MATCH(B1905,'Cashier Roster'!$B$5:$B$64,0)),""))</f>
        <v/>
      </c>
      <c r="E1905" s="13"/>
      <c r="F1905" s="14"/>
      <c r="G1905" s="8" t="str">
        <f>IF(OR(B1905="",E1905=""),"",IF(E1905="No","Missed",IF(F1905="","",IF(F1905&lt;=Settings!$B$7,"On time","Late"))))</f>
        <v/>
      </c>
      <c r="H1905" s="15"/>
      <c r="I1905" s="16"/>
      <c r="J1905" s="16"/>
      <c r="K1905" s="17" t="str">
        <f>IF(J1905="","",ROUND(J1905*Settings!$B$8,2))</f>
        <v/>
      </c>
      <c r="L1905" s="16"/>
      <c r="M1905" s="8" t="str">
        <f t="shared" si="29"/>
        <v/>
      </c>
      <c r="N1905" s="9"/>
    </row>
    <row r="1906" spans="1:14" ht="15.75">
      <c r="A1906" s="11"/>
      <c r="B1906" s="9"/>
      <c r="C1906" s="12" t="str">
        <f>IF(B1906="","",IFERROR(INDEX('Cashier Roster'!$C$5:$C$64,MATCH(B1906,'Cashier Roster'!$B$5:$B$64,0)),"Not on roster"))</f>
        <v/>
      </c>
      <c r="D1906" s="12" t="str">
        <f>IF(B1906="","",IFERROR(INDEX('Cashier Roster'!$D$5:$D$64,MATCH(B1906,'Cashier Roster'!$B$5:$B$64,0)),""))</f>
        <v/>
      </c>
      <c r="E1906" s="13"/>
      <c r="F1906" s="14"/>
      <c r="G1906" s="8" t="str">
        <f>IF(OR(B1906="",E1906=""),"",IF(E1906="No","Missed",IF(F1906="","",IF(F1906&lt;=Settings!$B$7,"On time","Late"))))</f>
        <v/>
      </c>
      <c r="H1906" s="15"/>
      <c r="I1906" s="16"/>
      <c r="J1906" s="16"/>
      <c r="K1906" s="17" t="str">
        <f>IF(J1906="","",ROUND(J1906*Settings!$B$8,2))</f>
        <v/>
      </c>
      <c r="L1906" s="16"/>
      <c r="M1906" s="8" t="str">
        <f t="shared" si="29"/>
        <v/>
      </c>
      <c r="N1906" s="9"/>
    </row>
    <row r="1907" spans="1:14" ht="15.75">
      <c r="A1907" s="11"/>
      <c r="B1907" s="9"/>
      <c r="C1907" s="12" t="str">
        <f>IF(B1907="","",IFERROR(INDEX('Cashier Roster'!$C$5:$C$64,MATCH(B1907,'Cashier Roster'!$B$5:$B$64,0)),"Not on roster"))</f>
        <v/>
      </c>
      <c r="D1907" s="12" t="str">
        <f>IF(B1907="","",IFERROR(INDEX('Cashier Roster'!$D$5:$D$64,MATCH(B1907,'Cashier Roster'!$B$5:$B$64,0)),""))</f>
        <v/>
      </c>
      <c r="E1907" s="13"/>
      <c r="F1907" s="14"/>
      <c r="G1907" s="8" t="str">
        <f>IF(OR(B1907="",E1907=""),"",IF(E1907="No","Missed",IF(F1907="","",IF(F1907&lt;=Settings!$B$7,"On time","Late"))))</f>
        <v/>
      </c>
      <c r="H1907" s="15"/>
      <c r="I1907" s="16"/>
      <c r="J1907" s="16"/>
      <c r="K1907" s="17" t="str">
        <f>IF(J1907="","",ROUND(J1907*Settings!$B$8,2))</f>
        <v/>
      </c>
      <c r="L1907" s="16"/>
      <c r="M1907" s="8" t="str">
        <f t="shared" si="29"/>
        <v/>
      </c>
      <c r="N1907" s="9"/>
    </row>
    <row r="1908" spans="1:14" ht="15.75">
      <c r="A1908" s="11"/>
      <c r="B1908" s="9"/>
      <c r="C1908" s="12" t="str">
        <f>IF(B1908="","",IFERROR(INDEX('Cashier Roster'!$C$5:$C$64,MATCH(B1908,'Cashier Roster'!$B$5:$B$64,0)),"Not on roster"))</f>
        <v/>
      </c>
      <c r="D1908" s="12" t="str">
        <f>IF(B1908="","",IFERROR(INDEX('Cashier Roster'!$D$5:$D$64,MATCH(B1908,'Cashier Roster'!$B$5:$B$64,0)),""))</f>
        <v/>
      </c>
      <c r="E1908" s="13"/>
      <c r="F1908" s="14"/>
      <c r="G1908" s="8" t="str">
        <f>IF(OR(B1908="",E1908=""),"",IF(E1908="No","Missed",IF(F1908="","",IF(F1908&lt;=Settings!$B$7,"On time","Late"))))</f>
        <v/>
      </c>
      <c r="H1908" s="15"/>
      <c r="I1908" s="16"/>
      <c r="J1908" s="16"/>
      <c r="K1908" s="17" t="str">
        <f>IF(J1908="","",ROUND(J1908*Settings!$B$8,2))</f>
        <v/>
      </c>
      <c r="L1908" s="16"/>
      <c r="M1908" s="8" t="str">
        <f t="shared" si="29"/>
        <v/>
      </c>
      <c r="N1908" s="9"/>
    </row>
    <row r="1909" spans="1:14" ht="15.75">
      <c r="A1909" s="11"/>
      <c r="B1909" s="9"/>
      <c r="C1909" s="12" t="str">
        <f>IF(B1909="","",IFERROR(INDEX('Cashier Roster'!$C$5:$C$64,MATCH(B1909,'Cashier Roster'!$B$5:$B$64,0)),"Not on roster"))</f>
        <v/>
      </c>
      <c r="D1909" s="12" t="str">
        <f>IF(B1909="","",IFERROR(INDEX('Cashier Roster'!$D$5:$D$64,MATCH(B1909,'Cashier Roster'!$B$5:$B$64,0)),""))</f>
        <v/>
      </c>
      <c r="E1909" s="13"/>
      <c r="F1909" s="14"/>
      <c r="G1909" s="8" t="str">
        <f>IF(OR(B1909="",E1909=""),"",IF(E1909="No","Missed",IF(F1909="","",IF(F1909&lt;=Settings!$B$7,"On time","Late"))))</f>
        <v/>
      </c>
      <c r="H1909" s="15"/>
      <c r="I1909" s="16"/>
      <c r="J1909" s="16"/>
      <c r="K1909" s="17" t="str">
        <f>IF(J1909="","",ROUND(J1909*Settings!$B$8,2))</f>
        <v/>
      </c>
      <c r="L1909" s="16"/>
      <c r="M1909" s="8" t="str">
        <f t="shared" si="29"/>
        <v/>
      </c>
      <c r="N1909" s="9"/>
    </row>
    <row r="1910" spans="1:14" ht="15.75">
      <c r="A1910" s="11"/>
      <c r="B1910" s="9"/>
      <c r="C1910" s="12" t="str">
        <f>IF(B1910="","",IFERROR(INDEX('Cashier Roster'!$C$5:$C$64,MATCH(B1910,'Cashier Roster'!$B$5:$B$64,0)),"Not on roster"))</f>
        <v/>
      </c>
      <c r="D1910" s="12" t="str">
        <f>IF(B1910="","",IFERROR(INDEX('Cashier Roster'!$D$5:$D$64,MATCH(B1910,'Cashier Roster'!$B$5:$B$64,0)),""))</f>
        <v/>
      </c>
      <c r="E1910" s="13"/>
      <c r="F1910" s="14"/>
      <c r="G1910" s="8" t="str">
        <f>IF(OR(B1910="",E1910=""),"",IF(E1910="No","Missed",IF(F1910="","",IF(F1910&lt;=Settings!$B$7,"On time","Late"))))</f>
        <v/>
      </c>
      <c r="H1910" s="15"/>
      <c r="I1910" s="16"/>
      <c r="J1910" s="16"/>
      <c r="K1910" s="17" t="str">
        <f>IF(J1910="","",ROUND(J1910*Settings!$B$8,2))</f>
        <v/>
      </c>
      <c r="L1910" s="16"/>
      <c r="M1910" s="8" t="str">
        <f t="shared" si="29"/>
        <v/>
      </c>
      <c r="N1910" s="9"/>
    </row>
    <row r="1911" spans="1:14" ht="15.75">
      <c r="A1911" s="11"/>
      <c r="B1911" s="9"/>
      <c r="C1911" s="12" t="str">
        <f>IF(B1911="","",IFERROR(INDEX('Cashier Roster'!$C$5:$C$64,MATCH(B1911,'Cashier Roster'!$B$5:$B$64,0)),"Not on roster"))</f>
        <v/>
      </c>
      <c r="D1911" s="12" t="str">
        <f>IF(B1911="","",IFERROR(INDEX('Cashier Roster'!$D$5:$D$64,MATCH(B1911,'Cashier Roster'!$B$5:$B$64,0)),""))</f>
        <v/>
      </c>
      <c r="E1911" s="13"/>
      <c r="F1911" s="14"/>
      <c r="G1911" s="8" t="str">
        <f>IF(OR(B1911="",E1911=""),"",IF(E1911="No","Missed",IF(F1911="","",IF(F1911&lt;=Settings!$B$7,"On time","Late"))))</f>
        <v/>
      </c>
      <c r="H1911" s="15"/>
      <c r="I1911" s="16"/>
      <c r="J1911" s="16"/>
      <c r="K1911" s="17" t="str">
        <f>IF(J1911="","",ROUND(J1911*Settings!$B$8,2))</f>
        <v/>
      </c>
      <c r="L1911" s="16"/>
      <c r="M1911" s="8" t="str">
        <f t="shared" si="29"/>
        <v/>
      </c>
      <c r="N1911" s="9"/>
    </row>
    <row r="1912" spans="1:14" ht="15.75">
      <c r="A1912" s="11"/>
      <c r="B1912" s="9"/>
      <c r="C1912" s="12" t="str">
        <f>IF(B1912="","",IFERROR(INDEX('Cashier Roster'!$C$5:$C$64,MATCH(B1912,'Cashier Roster'!$B$5:$B$64,0)),"Not on roster"))</f>
        <v/>
      </c>
      <c r="D1912" s="12" t="str">
        <f>IF(B1912="","",IFERROR(INDEX('Cashier Roster'!$D$5:$D$64,MATCH(B1912,'Cashier Roster'!$B$5:$B$64,0)),""))</f>
        <v/>
      </c>
      <c r="E1912" s="13"/>
      <c r="F1912" s="14"/>
      <c r="G1912" s="8" t="str">
        <f>IF(OR(B1912="",E1912=""),"",IF(E1912="No","Missed",IF(F1912="","",IF(F1912&lt;=Settings!$B$7,"On time","Late"))))</f>
        <v/>
      </c>
      <c r="H1912" s="15"/>
      <c r="I1912" s="16"/>
      <c r="J1912" s="16"/>
      <c r="K1912" s="17" t="str">
        <f>IF(J1912="","",ROUND(J1912*Settings!$B$8,2))</f>
        <v/>
      </c>
      <c r="L1912" s="16"/>
      <c r="M1912" s="8" t="str">
        <f t="shared" si="29"/>
        <v/>
      </c>
      <c r="N1912" s="9"/>
    </row>
    <row r="1913" spans="1:14" ht="15.75">
      <c r="A1913" s="11"/>
      <c r="B1913" s="9"/>
      <c r="C1913" s="12" t="str">
        <f>IF(B1913="","",IFERROR(INDEX('Cashier Roster'!$C$5:$C$64,MATCH(B1913,'Cashier Roster'!$B$5:$B$64,0)),"Not on roster"))</f>
        <v/>
      </c>
      <c r="D1913" s="12" t="str">
        <f>IF(B1913="","",IFERROR(INDEX('Cashier Roster'!$D$5:$D$64,MATCH(B1913,'Cashier Roster'!$B$5:$B$64,0)),""))</f>
        <v/>
      </c>
      <c r="E1913" s="13"/>
      <c r="F1913" s="14"/>
      <c r="G1913" s="8" t="str">
        <f>IF(OR(B1913="",E1913=""),"",IF(E1913="No","Missed",IF(F1913="","",IF(F1913&lt;=Settings!$B$7,"On time","Late"))))</f>
        <v/>
      </c>
      <c r="H1913" s="15"/>
      <c r="I1913" s="16"/>
      <c r="J1913" s="16"/>
      <c r="K1913" s="17" t="str">
        <f>IF(J1913="","",ROUND(J1913*Settings!$B$8,2))</f>
        <v/>
      </c>
      <c r="L1913" s="16"/>
      <c r="M1913" s="8" t="str">
        <f t="shared" si="29"/>
        <v/>
      </c>
      <c r="N1913" s="9"/>
    </row>
    <row r="1914" spans="1:14" ht="15.75">
      <c r="A1914" s="11"/>
      <c r="B1914" s="9"/>
      <c r="C1914" s="12" t="str">
        <f>IF(B1914="","",IFERROR(INDEX('Cashier Roster'!$C$5:$C$64,MATCH(B1914,'Cashier Roster'!$B$5:$B$64,0)),"Not on roster"))</f>
        <v/>
      </c>
      <c r="D1914" s="12" t="str">
        <f>IF(B1914="","",IFERROR(INDEX('Cashier Roster'!$D$5:$D$64,MATCH(B1914,'Cashier Roster'!$B$5:$B$64,0)),""))</f>
        <v/>
      </c>
      <c r="E1914" s="13"/>
      <c r="F1914" s="14"/>
      <c r="G1914" s="8" t="str">
        <f>IF(OR(B1914="",E1914=""),"",IF(E1914="No","Missed",IF(F1914="","",IF(F1914&lt;=Settings!$B$7,"On time","Late"))))</f>
        <v/>
      </c>
      <c r="H1914" s="15"/>
      <c r="I1914" s="16"/>
      <c r="J1914" s="16"/>
      <c r="K1914" s="17" t="str">
        <f>IF(J1914="","",ROUND(J1914*Settings!$B$8,2))</f>
        <v/>
      </c>
      <c r="L1914" s="16"/>
      <c r="M1914" s="8" t="str">
        <f t="shared" si="29"/>
        <v/>
      </c>
      <c r="N1914" s="9"/>
    </row>
    <row r="1915" spans="1:14" ht="15.75">
      <c r="A1915" s="11"/>
      <c r="B1915" s="9"/>
      <c r="C1915" s="12" t="str">
        <f>IF(B1915="","",IFERROR(INDEX('Cashier Roster'!$C$5:$C$64,MATCH(B1915,'Cashier Roster'!$B$5:$B$64,0)),"Not on roster"))</f>
        <v/>
      </c>
      <c r="D1915" s="12" t="str">
        <f>IF(B1915="","",IFERROR(INDEX('Cashier Roster'!$D$5:$D$64,MATCH(B1915,'Cashier Roster'!$B$5:$B$64,0)),""))</f>
        <v/>
      </c>
      <c r="E1915" s="13"/>
      <c r="F1915" s="14"/>
      <c r="G1915" s="8" t="str">
        <f>IF(OR(B1915="",E1915=""),"",IF(E1915="No","Missed",IF(F1915="","",IF(F1915&lt;=Settings!$B$7,"On time","Late"))))</f>
        <v/>
      </c>
      <c r="H1915" s="15"/>
      <c r="I1915" s="16"/>
      <c r="J1915" s="16"/>
      <c r="K1915" s="17" t="str">
        <f>IF(J1915="","",ROUND(J1915*Settings!$B$8,2))</f>
        <v/>
      </c>
      <c r="L1915" s="16"/>
      <c r="M1915" s="8" t="str">
        <f t="shared" si="29"/>
        <v/>
      </c>
      <c r="N1915" s="9"/>
    </row>
    <row r="1916" spans="1:14" ht="15.75">
      <c r="A1916" s="11"/>
      <c r="B1916" s="9"/>
      <c r="C1916" s="12" t="str">
        <f>IF(B1916="","",IFERROR(INDEX('Cashier Roster'!$C$5:$C$64,MATCH(B1916,'Cashier Roster'!$B$5:$B$64,0)),"Not on roster"))</f>
        <v/>
      </c>
      <c r="D1916" s="12" t="str">
        <f>IF(B1916="","",IFERROR(INDEX('Cashier Roster'!$D$5:$D$64,MATCH(B1916,'Cashier Roster'!$B$5:$B$64,0)),""))</f>
        <v/>
      </c>
      <c r="E1916" s="13"/>
      <c r="F1916" s="14"/>
      <c r="G1916" s="8" t="str">
        <f>IF(OR(B1916="",E1916=""),"",IF(E1916="No","Missed",IF(F1916="","",IF(F1916&lt;=Settings!$B$7,"On time","Late"))))</f>
        <v/>
      </c>
      <c r="H1916" s="15"/>
      <c r="I1916" s="16"/>
      <c r="J1916" s="16"/>
      <c r="K1916" s="17" t="str">
        <f>IF(J1916="","",ROUND(J1916*Settings!$B$8,2))</f>
        <v/>
      </c>
      <c r="L1916" s="16"/>
      <c r="M1916" s="8" t="str">
        <f t="shared" si="29"/>
        <v/>
      </c>
      <c r="N1916" s="9"/>
    </row>
    <row r="1917" spans="1:14" ht="15.75">
      <c r="A1917" s="11"/>
      <c r="B1917" s="9"/>
      <c r="C1917" s="12" t="str">
        <f>IF(B1917="","",IFERROR(INDEX('Cashier Roster'!$C$5:$C$64,MATCH(B1917,'Cashier Roster'!$B$5:$B$64,0)),"Not on roster"))</f>
        <v/>
      </c>
      <c r="D1917" s="12" t="str">
        <f>IF(B1917="","",IFERROR(INDEX('Cashier Roster'!$D$5:$D$64,MATCH(B1917,'Cashier Roster'!$B$5:$B$64,0)),""))</f>
        <v/>
      </c>
      <c r="E1917" s="13"/>
      <c r="F1917" s="14"/>
      <c r="G1917" s="8" t="str">
        <f>IF(OR(B1917="",E1917=""),"",IF(E1917="No","Missed",IF(F1917="","",IF(F1917&lt;=Settings!$B$7,"On time","Late"))))</f>
        <v/>
      </c>
      <c r="H1917" s="15"/>
      <c r="I1917" s="16"/>
      <c r="J1917" s="16"/>
      <c r="K1917" s="17" t="str">
        <f>IF(J1917="","",ROUND(J1917*Settings!$B$8,2))</f>
        <v/>
      </c>
      <c r="L1917" s="16"/>
      <c r="M1917" s="8" t="str">
        <f t="shared" si="29"/>
        <v/>
      </c>
      <c r="N1917" s="9"/>
    </row>
    <row r="1918" spans="1:14" ht="15.75">
      <c r="A1918" s="11"/>
      <c r="B1918" s="9"/>
      <c r="C1918" s="12" t="str">
        <f>IF(B1918="","",IFERROR(INDEX('Cashier Roster'!$C$5:$C$64,MATCH(B1918,'Cashier Roster'!$B$5:$B$64,0)),"Not on roster"))</f>
        <v/>
      </c>
      <c r="D1918" s="12" t="str">
        <f>IF(B1918="","",IFERROR(INDEX('Cashier Roster'!$D$5:$D$64,MATCH(B1918,'Cashier Roster'!$B$5:$B$64,0)),""))</f>
        <v/>
      </c>
      <c r="E1918" s="13"/>
      <c r="F1918" s="14"/>
      <c r="G1918" s="8" t="str">
        <f>IF(OR(B1918="",E1918=""),"",IF(E1918="No","Missed",IF(F1918="","",IF(F1918&lt;=Settings!$B$7,"On time","Late"))))</f>
        <v/>
      </c>
      <c r="H1918" s="15"/>
      <c r="I1918" s="16"/>
      <c r="J1918" s="16"/>
      <c r="K1918" s="17" t="str">
        <f>IF(J1918="","",ROUND(J1918*Settings!$B$8,2))</f>
        <v/>
      </c>
      <c r="L1918" s="16"/>
      <c r="M1918" s="8" t="str">
        <f t="shared" si="29"/>
        <v/>
      </c>
      <c r="N1918" s="9"/>
    </row>
    <row r="1919" spans="1:14" ht="15.75">
      <c r="A1919" s="11"/>
      <c r="B1919" s="9"/>
      <c r="C1919" s="12" t="str">
        <f>IF(B1919="","",IFERROR(INDEX('Cashier Roster'!$C$5:$C$64,MATCH(B1919,'Cashier Roster'!$B$5:$B$64,0)),"Not on roster"))</f>
        <v/>
      </c>
      <c r="D1919" s="12" t="str">
        <f>IF(B1919="","",IFERROR(INDEX('Cashier Roster'!$D$5:$D$64,MATCH(B1919,'Cashier Roster'!$B$5:$B$64,0)),""))</f>
        <v/>
      </c>
      <c r="E1919" s="13"/>
      <c r="F1919" s="14"/>
      <c r="G1919" s="8" t="str">
        <f>IF(OR(B1919="",E1919=""),"",IF(E1919="No","Missed",IF(F1919="","",IF(F1919&lt;=Settings!$B$7,"On time","Late"))))</f>
        <v/>
      </c>
      <c r="H1919" s="15"/>
      <c r="I1919" s="16"/>
      <c r="J1919" s="16"/>
      <c r="K1919" s="17" t="str">
        <f>IF(J1919="","",ROUND(J1919*Settings!$B$8,2))</f>
        <v/>
      </c>
      <c r="L1919" s="16"/>
      <c r="M1919" s="8" t="str">
        <f t="shared" si="29"/>
        <v/>
      </c>
      <c r="N1919" s="9"/>
    </row>
    <row r="1920" spans="1:14" ht="15.75">
      <c r="A1920" s="11"/>
      <c r="B1920" s="9"/>
      <c r="C1920" s="12" t="str">
        <f>IF(B1920="","",IFERROR(INDEX('Cashier Roster'!$C$5:$C$64,MATCH(B1920,'Cashier Roster'!$B$5:$B$64,0)),"Not on roster"))</f>
        <v/>
      </c>
      <c r="D1920" s="12" t="str">
        <f>IF(B1920="","",IFERROR(INDEX('Cashier Roster'!$D$5:$D$64,MATCH(B1920,'Cashier Roster'!$B$5:$B$64,0)),""))</f>
        <v/>
      </c>
      <c r="E1920" s="13"/>
      <c r="F1920" s="14"/>
      <c r="G1920" s="8" t="str">
        <f>IF(OR(B1920="",E1920=""),"",IF(E1920="No","Missed",IF(F1920="","",IF(F1920&lt;=Settings!$B$7,"On time","Late"))))</f>
        <v/>
      </c>
      <c r="H1920" s="15"/>
      <c r="I1920" s="16"/>
      <c r="J1920" s="16"/>
      <c r="K1920" s="17" t="str">
        <f>IF(J1920="","",ROUND(J1920*Settings!$B$8,2))</f>
        <v/>
      </c>
      <c r="L1920" s="16"/>
      <c r="M1920" s="8" t="str">
        <f t="shared" si="29"/>
        <v/>
      </c>
      <c r="N1920" s="9"/>
    </row>
    <row r="1921" spans="1:14" ht="15.75">
      <c r="A1921" s="11"/>
      <c r="B1921" s="9"/>
      <c r="C1921" s="12" t="str">
        <f>IF(B1921="","",IFERROR(INDEX('Cashier Roster'!$C$5:$C$64,MATCH(B1921,'Cashier Roster'!$B$5:$B$64,0)),"Not on roster"))</f>
        <v/>
      </c>
      <c r="D1921" s="12" t="str">
        <f>IF(B1921="","",IFERROR(INDEX('Cashier Roster'!$D$5:$D$64,MATCH(B1921,'Cashier Roster'!$B$5:$B$64,0)),""))</f>
        <v/>
      </c>
      <c r="E1921" s="13"/>
      <c r="F1921" s="14"/>
      <c r="G1921" s="8" t="str">
        <f>IF(OR(B1921="",E1921=""),"",IF(E1921="No","Missed",IF(F1921="","",IF(F1921&lt;=Settings!$B$7,"On time","Late"))))</f>
        <v/>
      </c>
      <c r="H1921" s="15"/>
      <c r="I1921" s="16"/>
      <c r="J1921" s="16"/>
      <c r="K1921" s="17" t="str">
        <f>IF(J1921="","",ROUND(J1921*Settings!$B$8,2))</f>
        <v/>
      </c>
      <c r="L1921" s="16"/>
      <c r="M1921" s="8" t="str">
        <f t="shared" si="29"/>
        <v/>
      </c>
      <c r="N1921" s="9"/>
    </row>
    <row r="1922" spans="1:14" ht="15.75">
      <c r="A1922" s="11"/>
      <c r="B1922" s="9"/>
      <c r="C1922" s="12" t="str">
        <f>IF(B1922="","",IFERROR(INDEX('Cashier Roster'!$C$5:$C$64,MATCH(B1922,'Cashier Roster'!$B$5:$B$64,0)),"Not on roster"))</f>
        <v/>
      </c>
      <c r="D1922" s="12" t="str">
        <f>IF(B1922="","",IFERROR(INDEX('Cashier Roster'!$D$5:$D$64,MATCH(B1922,'Cashier Roster'!$B$5:$B$64,0)),""))</f>
        <v/>
      </c>
      <c r="E1922" s="13"/>
      <c r="F1922" s="14"/>
      <c r="G1922" s="8" t="str">
        <f>IF(OR(B1922="",E1922=""),"",IF(E1922="No","Missed",IF(F1922="","",IF(F1922&lt;=Settings!$B$7,"On time","Late"))))</f>
        <v/>
      </c>
      <c r="H1922" s="15"/>
      <c r="I1922" s="16"/>
      <c r="J1922" s="16"/>
      <c r="K1922" s="17" t="str">
        <f>IF(J1922="","",ROUND(J1922*Settings!$B$8,2))</f>
        <v/>
      </c>
      <c r="L1922" s="16"/>
      <c r="M1922" s="8" t="str">
        <f t="shared" si="29"/>
        <v/>
      </c>
      <c r="N1922" s="9"/>
    </row>
    <row r="1923" spans="1:14" ht="15.75">
      <c r="A1923" s="11"/>
      <c r="B1923" s="9"/>
      <c r="C1923" s="12" t="str">
        <f>IF(B1923="","",IFERROR(INDEX('Cashier Roster'!$C$5:$C$64,MATCH(B1923,'Cashier Roster'!$B$5:$B$64,0)),"Not on roster"))</f>
        <v/>
      </c>
      <c r="D1923" s="12" t="str">
        <f>IF(B1923="","",IFERROR(INDEX('Cashier Roster'!$D$5:$D$64,MATCH(B1923,'Cashier Roster'!$B$5:$B$64,0)),""))</f>
        <v/>
      </c>
      <c r="E1923" s="13"/>
      <c r="F1923" s="14"/>
      <c r="G1923" s="8" t="str">
        <f>IF(OR(B1923="",E1923=""),"",IF(E1923="No","Missed",IF(F1923="","",IF(F1923&lt;=Settings!$B$7,"On time","Late"))))</f>
        <v/>
      </c>
      <c r="H1923" s="15"/>
      <c r="I1923" s="16"/>
      <c r="J1923" s="16"/>
      <c r="K1923" s="17" t="str">
        <f>IF(J1923="","",ROUND(J1923*Settings!$B$8,2))</f>
        <v/>
      </c>
      <c r="L1923" s="16"/>
      <c r="M1923" s="8" t="str">
        <f t="shared" si="29"/>
        <v/>
      </c>
      <c r="N1923" s="9"/>
    </row>
    <row r="1924" spans="1:14" ht="15.75">
      <c r="A1924" s="11"/>
      <c r="B1924" s="9"/>
      <c r="C1924" s="12" t="str">
        <f>IF(B1924="","",IFERROR(INDEX('Cashier Roster'!$C$5:$C$64,MATCH(B1924,'Cashier Roster'!$B$5:$B$64,0)),"Not on roster"))</f>
        <v/>
      </c>
      <c r="D1924" s="12" t="str">
        <f>IF(B1924="","",IFERROR(INDEX('Cashier Roster'!$D$5:$D$64,MATCH(B1924,'Cashier Roster'!$B$5:$B$64,0)),""))</f>
        <v/>
      </c>
      <c r="E1924" s="13"/>
      <c r="F1924" s="14"/>
      <c r="G1924" s="8" t="str">
        <f>IF(OR(B1924="",E1924=""),"",IF(E1924="No","Missed",IF(F1924="","",IF(F1924&lt;=Settings!$B$7,"On time","Late"))))</f>
        <v/>
      </c>
      <c r="H1924" s="15"/>
      <c r="I1924" s="16"/>
      <c r="J1924" s="16"/>
      <c r="K1924" s="17" t="str">
        <f>IF(J1924="","",ROUND(J1924*Settings!$B$8,2))</f>
        <v/>
      </c>
      <c r="L1924" s="16"/>
      <c r="M1924" s="8" t="str">
        <f t="shared" si="29"/>
        <v/>
      </c>
      <c r="N1924" s="9"/>
    </row>
    <row r="1925" spans="1:14" ht="15.75">
      <c r="A1925" s="11"/>
      <c r="B1925" s="9"/>
      <c r="C1925" s="12" t="str">
        <f>IF(B1925="","",IFERROR(INDEX('Cashier Roster'!$C$5:$C$64,MATCH(B1925,'Cashier Roster'!$B$5:$B$64,0)),"Not on roster"))</f>
        <v/>
      </c>
      <c r="D1925" s="12" t="str">
        <f>IF(B1925="","",IFERROR(INDEX('Cashier Roster'!$D$5:$D$64,MATCH(B1925,'Cashier Roster'!$B$5:$B$64,0)),""))</f>
        <v/>
      </c>
      <c r="E1925" s="13"/>
      <c r="F1925" s="14"/>
      <c r="G1925" s="8" t="str">
        <f>IF(OR(B1925="",E1925=""),"",IF(E1925="No","Missed",IF(F1925="","",IF(F1925&lt;=Settings!$B$7,"On time","Late"))))</f>
        <v/>
      </c>
      <c r="H1925" s="15"/>
      <c r="I1925" s="16"/>
      <c r="J1925" s="16"/>
      <c r="K1925" s="17" t="str">
        <f>IF(J1925="","",ROUND(J1925*Settings!$B$8,2))</f>
        <v/>
      </c>
      <c r="L1925" s="16"/>
      <c r="M1925" s="8" t="str">
        <f t="shared" ref="M1925:M1988" si="30">IF(L1925="","",IF(L1925&lt;=0,"Yes","No"))</f>
        <v/>
      </c>
      <c r="N1925" s="9"/>
    </row>
    <row r="1926" spans="1:14" ht="15.75">
      <c r="A1926" s="11"/>
      <c r="B1926" s="9"/>
      <c r="C1926" s="12" t="str">
        <f>IF(B1926="","",IFERROR(INDEX('Cashier Roster'!$C$5:$C$64,MATCH(B1926,'Cashier Roster'!$B$5:$B$64,0)),"Not on roster"))</f>
        <v/>
      </c>
      <c r="D1926" s="12" t="str">
        <f>IF(B1926="","",IFERROR(INDEX('Cashier Roster'!$D$5:$D$64,MATCH(B1926,'Cashier Roster'!$B$5:$B$64,0)),""))</f>
        <v/>
      </c>
      <c r="E1926" s="13"/>
      <c r="F1926" s="14"/>
      <c r="G1926" s="8" t="str">
        <f>IF(OR(B1926="",E1926=""),"",IF(E1926="No","Missed",IF(F1926="","",IF(F1926&lt;=Settings!$B$7,"On time","Late"))))</f>
        <v/>
      </c>
      <c r="H1926" s="15"/>
      <c r="I1926" s="16"/>
      <c r="J1926" s="16"/>
      <c r="K1926" s="17" t="str">
        <f>IF(J1926="","",ROUND(J1926*Settings!$B$8,2))</f>
        <v/>
      </c>
      <c r="L1926" s="16"/>
      <c r="M1926" s="8" t="str">
        <f t="shared" si="30"/>
        <v/>
      </c>
      <c r="N1926" s="9"/>
    </row>
    <row r="1927" spans="1:14" ht="15.75">
      <c r="A1927" s="11"/>
      <c r="B1927" s="9"/>
      <c r="C1927" s="12" t="str">
        <f>IF(B1927="","",IFERROR(INDEX('Cashier Roster'!$C$5:$C$64,MATCH(B1927,'Cashier Roster'!$B$5:$B$64,0)),"Not on roster"))</f>
        <v/>
      </c>
      <c r="D1927" s="12" t="str">
        <f>IF(B1927="","",IFERROR(INDEX('Cashier Roster'!$D$5:$D$64,MATCH(B1927,'Cashier Roster'!$B$5:$B$64,0)),""))</f>
        <v/>
      </c>
      <c r="E1927" s="13"/>
      <c r="F1927" s="14"/>
      <c r="G1927" s="8" t="str">
        <f>IF(OR(B1927="",E1927=""),"",IF(E1927="No","Missed",IF(F1927="","",IF(F1927&lt;=Settings!$B$7,"On time","Late"))))</f>
        <v/>
      </c>
      <c r="H1927" s="15"/>
      <c r="I1927" s="16"/>
      <c r="J1927" s="16"/>
      <c r="K1927" s="17" t="str">
        <f>IF(J1927="","",ROUND(J1927*Settings!$B$8,2))</f>
        <v/>
      </c>
      <c r="L1927" s="16"/>
      <c r="M1927" s="8" t="str">
        <f t="shared" si="30"/>
        <v/>
      </c>
      <c r="N1927" s="9"/>
    </row>
    <row r="1928" spans="1:14" ht="15.75">
      <c r="A1928" s="11"/>
      <c r="B1928" s="9"/>
      <c r="C1928" s="12" t="str">
        <f>IF(B1928="","",IFERROR(INDEX('Cashier Roster'!$C$5:$C$64,MATCH(B1928,'Cashier Roster'!$B$5:$B$64,0)),"Not on roster"))</f>
        <v/>
      </c>
      <c r="D1928" s="12" t="str">
        <f>IF(B1928="","",IFERROR(INDEX('Cashier Roster'!$D$5:$D$64,MATCH(B1928,'Cashier Roster'!$B$5:$B$64,0)),""))</f>
        <v/>
      </c>
      <c r="E1928" s="13"/>
      <c r="F1928" s="14"/>
      <c r="G1928" s="8" t="str">
        <f>IF(OR(B1928="",E1928=""),"",IF(E1928="No","Missed",IF(F1928="","",IF(F1928&lt;=Settings!$B$7,"On time","Late"))))</f>
        <v/>
      </c>
      <c r="H1928" s="15"/>
      <c r="I1928" s="16"/>
      <c r="J1928" s="16"/>
      <c r="K1928" s="17" t="str">
        <f>IF(J1928="","",ROUND(J1928*Settings!$B$8,2))</f>
        <v/>
      </c>
      <c r="L1928" s="16"/>
      <c r="M1928" s="8" t="str">
        <f t="shared" si="30"/>
        <v/>
      </c>
      <c r="N1928" s="9"/>
    </row>
    <row r="1929" spans="1:14" ht="15.75">
      <c r="A1929" s="11"/>
      <c r="B1929" s="9"/>
      <c r="C1929" s="12" t="str">
        <f>IF(B1929="","",IFERROR(INDEX('Cashier Roster'!$C$5:$C$64,MATCH(B1929,'Cashier Roster'!$B$5:$B$64,0)),"Not on roster"))</f>
        <v/>
      </c>
      <c r="D1929" s="12" t="str">
        <f>IF(B1929="","",IFERROR(INDEX('Cashier Roster'!$D$5:$D$64,MATCH(B1929,'Cashier Roster'!$B$5:$B$64,0)),""))</f>
        <v/>
      </c>
      <c r="E1929" s="13"/>
      <c r="F1929" s="14"/>
      <c r="G1929" s="8" t="str">
        <f>IF(OR(B1929="",E1929=""),"",IF(E1929="No","Missed",IF(F1929="","",IF(F1929&lt;=Settings!$B$7,"On time","Late"))))</f>
        <v/>
      </c>
      <c r="H1929" s="15"/>
      <c r="I1929" s="16"/>
      <c r="J1929" s="16"/>
      <c r="K1929" s="17" t="str">
        <f>IF(J1929="","",ROUND(J1929*Settings!$B$8,2))</f>
        <v/>
      </c>
      <c r="L1929" s="16"/>
      <c r="M1929" s="8" t="str">
        <f t="shared" si="30"/>
        <v/>
      </c>
      <c r="N1929" s="9"/>
    </row>
    <row r="1930" spans="1:14" ht="15.75">
      <c r="A1930" s="11"/>
      <c r="B1930" s="9"/>
      <c r="C1930" s="12" t="str">
        <f>IF(B1930="","",IFERROR(INDEX('Cashier Roster'!$C$5:$C$64,MATCH(B1930,'Cashier Roster'!$B$5:$B$64,0)),"Not on roster"))</f>
        <v/>
      </c>
      <c r="D1930" s="12" t="str">
        <f>IF(B1930="","",IFERROR(INDEX('Cashier Roster'!$D$5:$D$64,MATCH(B1930,'Cashier Roster'!$B$5:$B$64,0)),""))</f>
        <v/>
      </c>
      <c r="E1930" s="13"/>
      <c r="F1930" s="14"/>
      <c r="G1930" s="8" t="str">
        <f>IF(OR(B1930="",E1930=""),"",IF(E1930="No","Missed",IF(F1930="","",IF(F1930&lt;=Settings!$B$7,"On time","Late"))))</f>
        <v/>
      </c>
      <c r="H1930" s="15"/>
      <c r="I1930" s="16"/>
      <c r="J1930" s="16"/>
      <c r="K1930" s="17" t="str">
        <f>IF(J1930="","",ROUND(J1930*Settings!$B$8,2))</f>
        <v/>
      </c>
      <c r="L1930" s="16"/>
      <c r="M1930" s="8" t="str">
        <f t="shared" si="30"/>
        <v/>
      </c>
      <c r="N1930" s="9"/>
    </row>
    <row r="1931" spans="1:14" ht="15.75">
      <c r="A1931" s="11"/>
      <c r="B1931" s="9"/>
      <c r="C1931" s="12" t="str">
        <f>IF(B1931="","",IFERROR(INDEX('Cashier Roster'!$C$5:$C$64,MATCH(B1931,'Cashier Roster'!$B$5:$B$64,0)),"Not on roster"))</f>
        <v/>
      </c>
      <c r="D1931" s="12" t="str">
        <f>IF(B1931="","",IFERROR(INDEX('Cashier Roster'!$D$5:$D$64,MATCH(B1931,'Cashier Roster'!$B$5:$B$64,0)),""))</f>
        <v/>
      </c>
      <c r="E1931" s="13"/>
      <c r="F1931" s="14"/>
      <c r="G1931" s="8" t="str">
        <f>IF(OR(B1931="",E1931=""),"",IF(E1931="No","Missed",IF(F1931="","",IF(F1931&lt;=Settings!$B$7,"On time","Late"))))</f>
        <v/>
      </c>
      <c r="H1931" s="15"/>
      <c r="I1931" s="16"/>
      <c r="J1931" s="16"/>
      <c r="K1931" s="17" t="str">
        <f>IF(J1931="","",ROUND(J1931*Settings!$B$8,2))</f>
        <v/>
      </c>
      <c r="L1931" s="16"/>
      <c r="M1931" s="8" t="str">
        <f t="shared" si="30"/>
        <v/>
      </c>
      <c r="N1931" s="9"/>
    </row>
    <row r="1932" spans="1:14" ht="15.75">
      <c r="A1932" s="11"/>
      <c r="B1932" s="9"/>
      <c r="C1932" s="12" t="str">
        <f>IF(B1932="","",IFERROR(INDEX('Cashier Roster'!$C$5:$C$64,MATCH(B1932,'Cashier Roster'!$B$5:$B$64,0)),"Not on roster"))</f>
        <v/>
      </c>
      <c r="D1932" s="12" t="str">
        <f>IF(B1932="","",IFERROR(INDEX('Cashier Roster'!$D$5:$D$64,MATCH(B1932,'Cashier Roster'!$B$5:$B$64,0)),""))</f>
        <v/>
      </c>
      <c r="E1932" s="13"/>
      <c r="F1932" s="14"/>
      <c r="G1932" s="8" t="str">
        <f>IF(OR(B1932="",E1932=""),"",IF(E1932="No","Missed",IF(F1932="","",IF(F1932&lt;=Settings!$B$7,"On time","Late"))))</f>
        <v/>
      </c>
      <c r="H1932" s="15"/>
      <c r="I1932" s="16"/>
      <c r="J1932" s="16"/>
      <c r="K1932" s="17" t="str">
        <f>IF(J1932="","",ROUND(J1932*Settings!$B$8,2))</f>
        <v/>
      </c>
      <c r="L1932" s="16"/>
      <c r="M1932" s="8" t="str">
        <f t="shared" si="30"/>
        <v/>
      </c>
      <c r="N1932" s="9"/>
    </row>
    <row r="1933" spans="1:14" ht="15.75">
      <c r="A1933" s="11"/>
      <c r="B1933" s="9"/>
      <c r="C1933" s="12" t="str">
        <f>IF(B1933="","",IFERROR(INDEX('Cashier Roster'!$C$5:$C$64,MATCH(B1933,'Cashier Roster'!$B$5:$B$64,0)),"Not on roster"))</f>
        <v/>
      </c>
      <c r="D1933" s="12" t="str">
        <f>IF(B1933="","",IFERROR(INDEX('Cashier Roster'!$D$5:$D$64,MATCH(B1933,'Cashier Roster'!$B$5:$B$64,0)),""))</f>
        <v/>
      </c>
      <c r="E1933" s="13"/>
      <c r="F1933" s="14"/>
      <c r="G1933" s="8" t="str">
        <f>IF(OR(B1933="",E1933=""),"",IF(E1933="No","Missed",IF(F1933="","",IF(F1933&lt;=Settings!$B$7,"On time","Late"))))</f>
        <v/>
      </c>
      <c r="H1933" s="15"/>
      <c r="I1933" s="16"/>
      <c r="J1933" s="16"/>
      <c r="K1933" s="17" t="str">
        <f>IF(J1933="","",ROUND(J1933*Settings!$B$8,2))</f>
        <v/>
      </c>
      <c r="L1933" s="16"/>
      <c r="M1933" s="8" t="str">
        <f t="shared" si="30"/>
        <v/>
      </c>
      <c r="N1933" s="9"/>
    </row>
    <row r="1934" spans="1:14" ht="15.75">
      <c r="A1934" s="11"/>
      <c r="B1934" s="9"/>
      <c r="C1934" s="12" t="str">
        <f>IF(B1934="","",IFERROR(INDEX('Cashier Roster'!$C$5:$C$64,MATCH(B1934,'Cashier Roster'!$B$5:$B$64,0)),"Not on roster"))</f>
        <v/>
      </c>
      <c r="D1934" s="12" t="str">
        <f>IF(B1934="","",IFERROR(INDEX('Cashier Roster'!$D$5:$D$64,MATCH(B1934,'Cashier Roster'!$B$5:$B$64,0)),""))</f>
        <v/>
      </c>
      <c r="E1934" s="13"/>
      <c r="F1934" s="14"/>
      <c r="G1934" s="8" t="str">
        <f>IF(OR(B1934="",E1934=""),"",IF(E1934="No","Missed",IF(F1934="","",IF(F1934&lt;=Settings!$B$7,"On time","Late"))))</f>
        <v/>
      </c>
      <c r="H1934" s="15"/>
      <c r="I1934" s="16"/>
      <c r="J1934" s="16"/>
      <c r="K1934" s="17" t="str">
        <f>IF(J1934="","",ROUND(J1934*Settings!$B$8,2))</f>
        <v/>
      </c>
      <c r="L1934" s="16"/>
      <c r="M1934" s="8" t="str">
        <f t="shared" si="30"/>
        <v/>
      </c>
      <c r="N1934" s="9"/>
    </row>
    <row r="1935" spans="1:14" ht="15.75">
      <c r="A1935" s="11"/>
      <c r="B1935" s="9"/>
      <c r="C1935" s="12" t="str">
        <f>IF(B1935="","",IFERROR(INDEX('Cashier Roster'!$C$5:$C$64,MATCH(B1935,'Cashier Roster'!$B$5:$B$64,0)),"Not on roster"))</f>
        <v/>
      </c>
      <c r="D1935" s="12" t="str">
        <f>IF(B1935="","",IFERROR(INDEX('Cashier Roster'!$D$5:$D$64,MATCH(B1935,'Cashier Roster'!$B$5:$B$64,0)),""))</f>
        <v/>
      </c>
      <c r="E1935" s="13"/>
      <c r="F1935" s="14"/>
      <c r="G1935" s="8" t="str">
        <f>IF(OR(B1935="",E1935=""),"",IF(E1935="No","Missed",IF(F1935="","",IF(F1935&lt;=Settings!$B$7,"On time","Late"))))</f>
        <v/>
      </c>
      <c r="H1935" s="15"/>
      <c r="I1935" s="16"/>
      <c r="J1935" s="16"/>
      <c r="K1935" s="17" t="str">
        <f>IF(J1935="","",ROUND(J1935*Settings!$B$8,2))</f>
        <v/>
      </c>
      <c r="L1935" s="16"/>
      <c r="M1935" s="8" t="str">
        <f t="shared" si="30"/>
        <v/>
      </c>
      <c r="N1935" s="9"/>
    </row>
    <row r="1936" spans="1:14" ht="15.75">
      <c r="A1936" s="11"/>
      <c r="B1936" s="9"/>
      <c r="C1936" s="12" t="str">
        <f>IF(B1936="","",IFERROR(INDEX('Cashier Roster'!$C$5:$C$64,MATCH(B1936,'Cashier Roster'!$B$5:$B$64,0)),"Not on roster"))</f>
        <v/>
      </c>
      <c r="D1936" s="12" t="str">
        <f>IF(B1936="","",IFERROR(INDEX('Cashier Roster'!$D$5:$D$64,MATCH(B1936,'Cashier Roster'!$B$5:$B$64,0)),""))</f>
        <v/>
      </c>
      <c r="E1936" s="13"/>
      <c r="F1936" s="14"/>
      <c r="G1936" s="8" t="str">
        <f>IF(OR(B1936="",E1936=""),"",IF(E1936="No","Missed",IF(F1936="","",IF(F1936&lt;=Settings!$B$7,"On time","Late"))))</f>
        <v/>
      </c>
      <c r="H1936" s="15"/>
      <c r="I1936" s="16"/>
      <c r="J1936" s="16"/>
      <c r="K1936" s="17" t="str">
        <f>IF(J1936="","",ROUND(J1936*Settings!$B$8,2))</f>
        <v/>
      </c>
      <c r="L1936" s="16"/>
      <c r="M1936" s="8" t="str">
        <f t="shared" si="30"/>
        <v/>
      </c>
      <c r="N1936" s="9"/>
    </row>
    <row r="1937" spans="1:14" ht="15.75">
      <c r="A1937" s="11"/>
      <c r="B1937" s="9"/>
      <c r="C1937" s="12" t="str">
        <f>IF(B1937="","",IFERROR(INDEX('Cashier Roster'!$C$5:$C$64,MATCH(B1937,'Cashier Roster'!$B$5:$B$64,0)),"Not on roster"))</f>
        <v/>
      </c>
      <c r="D1937" s="12" t="str">
        <f>IF(B1937="","",IFERROR(INDEX('Cashier Roster'!$D$5:$D$64,MATCH(B1937,'Cashier Roster'!$B$5:$B$64,0)),""))</f>
        <v/>
      </c>
      <c r="E1937" s="13"/>
      <c r="F1937" s="14"/>
      <c r="G1937" s="8" t="str">
        <f>IF(OR(B1937="",E1937=""),"",IF(E1937="No","Missed",IF(F1937="","",IF(F1937&lt;=Settings!$B$7,"On time","Late"))))</f>
        <v/>
      </c>
      <c r="H1937" s="15"/>
      <c r="I1937" s="16"/>
      <c r="J1937" s="16"/>
      <c r="K1937" s="17" t="str">
        <f>IF(J1937="","",ROUND(J1937*Settings!$B$8,2))</f>
        <v/>
      </c>
      <c r="L1937" s="16"/>
      <c r="M1937" s="8" t="str">
        <f t="shared" si="30"/>
        <v/>
      </c>
      <c r="N1937" s="9"/>
    </row>
    <row r="1938" spans="1:14" ht="15.75">
      <c r="A1938" s="11"/>
      <c r="B1938" s="9"/>
      <c r="C1938" s="12" t="str">
        <f>IF(B1938="","",IFERROR(INDEX('Cashier Roster'!$C$5:$C$64,MATCH(B1938,'Cashier Roster'!$B$5:$B$64,0)),"Not on roster"))</f>
        <v/>
      </c>
      <c r="D1938" s="12" t="str">
        <f>IF(B1938="","",IFERROR(INDEX('Cashier Roster'!$D$5:$D$64,MATCH(B1938,'Cashier Roster'!$B$5:$B$64,0)),""))</f>
        <v/>
      </c>
      <c r="E1938" s="13"/>
      <c r="F1938" s="14"/>
      <c r="G1938" s="8" t="str">
        <f>IF(OR(B1938="",E1938=""),"",IF(E1938="No","Missed",IF(F1938="","",IF(F1938&lt;=Settings!$B$7,"On time","Late"))))</f>
        <v/>
      </c>
      <c r="H1938" s="15"/>
      <c r="I1938" s="16"/>
      <c r="J1938" s="16"/>
      <c r="K1938" s="17" t="str">
        <f>IF(J1938="","",ROUND(J1938*Settings!$B$8,2))</f>
        <v/>
      </c>
      <c r="L1938" s="16"/>
      <c r="M1938" s="8" t="str">
        <f t="shared" si="30"/>
        <v/>
      </c>
      <c r="N1938" s="9"/>
    </row>
    <row r="1939" spans="1:14" ht="15.75">
      <c r="A1939" s="11"/>
      <c r="B1939" s="9"/>
      <c r="C1939" s="12" t="str">
        <f>IF(B1939="","",IFERROR(INDEX('Cashier Roster'!$C$5:$C$64,MATCH(B1939,'Cashier Roster'!$B$5:$B$64,0)),"Not on roster"))</f>
        <v/>
      </c>
      <c r="D1939" s="12" t="str">
        <f>IF(B1939="","",IFERROR(INDEX('Cashier Roster'!$D$5:$D$64,MATCH(B1939,'Cashier Roster'!$B$5:$B$64,0)),""))</f>
        <v/>
      </c>
      <c r="E1939" s="13"/>
      <c r="F1939" s="14"/>
      <c r="G1939" s="8" t="str">
        <f>IF(OR(B1939="",E1939=""),"",IF(E1939="No","Missed",IF(F1939="","",IF(F1939&lt;=Settings!$B$7,"On time","Late"))))</f>
        <v/>
      </c>
      <c r="H1939" s="15"/>
      <c r="I1939" s="16"/>
      <c r="J1939" s="16"/>
      <c r="K1939" s="17" t="str">
        <f>IF(J1939="","",ROUND(J1939*Settings!$B$8,2))</f>
        <v/>
      </c>
      <c r="L1939" s="16"/>
      <c r="M1939" s="8" t="str">
        <f t="shared" si="30"/>
        <v/>
      </c>
      <c r="N1939" s="9"/>
    </row>
    <row r="1940" spans="1:14" ht="15.75">
      <c r="A1940" s="11"/>
      <c r="B1940" s="9"/>
      <c r="C1940" s="12" t="str">
        <f>IF(B1940="","",IFERROR(INDEX('Cashier Roster'!$C$5:$C$64,MATCH(B1940,'Cashier Roster'!$B$5:$B$64,0)),"Not on roster"))</f>
        <v/>
      </c>
      <c r="D1940" s="12" t="str">
        <f>IF(B1940="","",IFERROR(INDEX('Cashier Roster'!$D$5:$D$64,MATCH(B1940,'Cashier Roster'!$B$5:$B$64,0)),""))</f>
        <v/>
      </c>
      <c r="E1940" s="13"/>
      <c r="F1940" s="14"/>
      <c r="G1940" s="8" t="str">
        <f>IF(OR(B1940="",E1940=""),"",IF(E1940="No","Missed",IF(F1940="","",IF(F1940&lt;=Settings!$B$7,"On time","Late"))))</f>
        <v/>
      </c>
      <c r="H1940" s="15"/>
      <c r="I1940" s="16"/>
      <c r="J1940" s="16"/>
      <c r="K1940" s="17" t="str">
        <f>IF(J1940="","",ROUND(J1940*Settings!$B$8,2))</f>
        <v/>
      </c>
      <c r="L1940" s="16"/>
      <c r="M1940" s="8" t="str">
        <f t="shared" si="30"/>
        <v/>
      </c>
      <c r="N1940" s="9"/>
    </row>
    <row r="1941" spans="1:14" ht="15.75">
      <c r="A1941" s="11"/>
      <c r="B1941" s="9"/>
      <c r="C1941" s="12" t="str">
        <f>IF(B1941="","",IFERROR(INDEX('Cashier Roster'!$C$5:$C$64,MATCH(B1941,'Cashier Roster'!$B$5:$B$64,0)),"Not on roster"))</f>
        <v/>
      </c>
      <c r="D1941" s="12" t="str">
        <f>IF(B1941="","",IFERROR(INDEX('Cashier Roster'!$D$5:$D$64,MATCH(B1941,'Cashier Roster'!$B$5:$B$64,0)),""))</f>
        <v/>
      </c>
      <c r="E1941" s="13"/>
      <c r="F1941" s="14"/>
      <c r="G1941" s="8" t="str">
        <f>IF(OR(B1941="",E1941=""),"",IF(E1941="No","Missed",IF(F1941="","",IF(F1941&lt;=Settings!$B$7,"On time","Late"))))</f>
        <v/>
      </c>
      <c r="H1941" s="15"/>
      <c r="I1941" s="16"/>
      <c r="J1941" s="16"/>
      <c r="K1941" s="17" t="str">
        <f>IF(J1941="","",ROUND(J1941*Settings!$B$8,2))</f>
        <v/>
      </c>
      <c r="L1941" s="16"/>
      <c r="M1941" s="8" t="str">
        <f t="shared" si="30"/>
        <v/>
      </c>
      <c r="N1941" s="9"/>
    </row>
    <row r="1942" spans="1:14" ht="15.75">
      <c r="A1942" s="11"/>
      <c r="B1942" s="9"/>
      <c r="C1942" s="12" t="str">
        <f>IF(B1942="","",IFERROR(INDEX('Cashier Roster'!$C$5:$C$64,MATCH(B1942,'Cashier Roster'!$B$5:$B$64,0)),"Not on roster"))</f>
        <v/>
      </c>
      <c r="D1942" s="12" t="str">
        <f>IF(B1942="","",IFERROR(INDEX('Cashier Roster'!$D$5:$D$64,MATCH(B1942,'Cashier Roster'!$B$5:$B$64,0)),""))</f>
        <v/>
      </c>
      <c r="E1942" s="13"/>
      <c r="F1942" s="14"/>
      <c r="G1942" s="8" t="str">
        <f>IF(OR(B1942="",E1942=""),"",IF(E1942="No","Missed",IF(F1942="","",IF(F1942&lt;=Settings!$B$7,"On time","Late"))))</f>
        <v/>
      </c>
      <c r="H1942" s="15"/>
      <c r="I1942" s="16"/>
      <c r="J1942" s="16"/>
      <c r="K1942" s="17" t="str">
        <f>IF(J1942="","",ROUND(J1942*Settings!$B$8,2))</f>
        <v/>
      </c>
      <c r="L1942" s="16"/>
      <c r="M1942" s="8" t="str">
        <f t="shared" si="30"/>
        <v/>
      </c>
      <c r="N1942" s="9"/>
    </row>
    <row r="1943" spans="1:14" ht="15.75">
      <c r="A1943" s="11"/>
      <c r="B1943" s="9"/>
      <c r="C1943" s="12" t="str">
        <f>IF(B1943="","",IFERROR(INDEX('Cashier Roster'!$C$5:$C$64,MATCH(B1943,'Cashier Roster'!$B$5:$B$64,0)),"Not on roster"))</f>
        <v/>
      </c>
      <c r="D1943" s="12" t="str">
        <f>IF(B1943="","",IFERROR(INDEX('Cashier Roster'!$D$5:$D$64,MATCH(B1943,'Cashier Roster'!$B$5:$B$64,0)),""))</f>
        <v/>
      </c>
      <c r="E1943" s="13"/>
      <c r="F1943" s="14"/>
      <c r="G1943" s="8" t="str">
        <f>IF(OR(B1943="",E1943=""),"",IF(E1943="No","Missed",IF(F1943="","",IF(F1943&lt;=Settings!$B$7,"On time","Late"))))</f>
        <v/>
      </c>
      <c r="H1943" s="15"/>
      <c r="I1943" s="16"/>
      <c r="J1943" s="16"/>
      <c r="K1943" s="17" t="str">
        <f>IF(J1943="","",ROUND(J1943*Settings!$B$8,2))</f>
        <v/>
      </c>
      <c r="L1943" s="16"/>
      <c r="M1943" s="8" t="str">
        <f t="shared" si="30"/>
        <v/>
      </c>
      <c r="N1943" s="9"/>
    </row>
    <row r="1944" spans="1:14" ht="15.75">
      <c r="A1944" s="11"/>
      <c r="B1944" s="9"/>
      <c r="C1944" s="12" t="str">
        <f>IF(B1944="","",IFERROR(INDEX('Cashier Roster'!$C$5:$C$64,MATCH(B1944,'Cashier Roster'!$B$5:$B$64,0)),"Not on roster"))</f>
        <v/>
      </c>
      <c r="D1944" s="12" t="str">
        <f>IF(B1944="","",IFERROR(INDEX('Cashier Roster'!$D$5:$D$64,MATCH(B1944,'Cashier Roster'!$B$5:$B$64,0)),""))</f>
        <v/>
      </c>
      <c r="E1944" s="13"/>
      <c r="F1944" s="14"/>
      <c r="G1944" s="8" t="str">
        <f>IF(OR(B1944="",E1944=""),"",IF(E1944="No","Missed",IF(F1944="","",IF(F1944&lt;=Settings!$B$7,"On time","Late"))))</f>
        <v/>
      </c>
      <c r="H1944" s="15"/>
      <c r="I1944" s="16"/>
      <c r="J1944" s="16"/>
      <c r="K1944" s="17" t="str">
        <f>IF(J1944="","",ROUND(J1944*Settings!$B$8,2))</f>
        <v/>
      </c>
      <c r="L1944" s="16"/>
      <c r="M1944" s="8" t="str">
        <f t="shared" si="30"/>
        <v/>
      </c>
      <c r="N1944" s="9"/>
    </row>
    <row r="1945" spans="1:14" ht="15.75">
      <c r="A1945" s="11"/>
      <c r="B1945" s="9"/>
      <c r="C1945" s="12" t="str">
        <f>IF(B1945="","",IFERROR(INDEX('Cashier Roster'!$C$5:$C$64,MATCH(B1945,'Cashier Roster'!$B$5:$B$64,0)),"Not on roster"))</f>
        <v/>
      </c>
      <c r="D1945" s="12" t="str">
        <f>IF(B1945="","",IFERROR(INDEX('Cashier Roster'!$D$5:$D$64,MATCH(B1945,'Cashier Roster'!$B$5:$B$64,0)),""))</f>
        <v/>
      </c>
      <c r="E1945" s="13"/>
      <c r="F1945" s="14"/>
      <c r="G1945" s="8" t="str">
        <f>IF(OR(B1945="",E1945=""),"",IF(E1945="No","Missed",IF(F1945="","",IF(F1945&lt;=Settings!$B$7,"On time","Late"))))</f>
        <v/>
      </c>
      <c r="H1945" s="15"/>
      <c r="I1945" s="16"/>
      <c r="J1945" s="16"/>
      <c r="K1945" s="17" t="str">
        <f>IF(J1945="","",ROUND(J1945*Settings!$B$8,2))</f>
        <v/>
      </c>
      <c r="L1945" s="16"/>
      <c r="M1945" s="8" t="str">
        <f t="shared" si="30"/>
        <v/>
      </c>
      <c r="N1945" s="9"/>
    </row>
    <row r="1946" spans="1:14" ht="15.75">
      <c r="A1946" s="11"/>
      <c r="B1946" s="9"/>
      <c r="C1946" s="12" t="str">
        <f>IF(B1946="","",IFERROR(INDEX('Cashier Roster'!$C$5:$C$64,MATCH(B1946,'Cashier Roster'!$B$5:$B$64,0)),"Not on roster"))</f>
        <v/>
      </c>
      <c r="D1946" s="12" t="str">
        <f>IF(B1946="","",IFERROR(INDEX('Cashier Roster'!$D$5:$D$64,MATCH(B1946,'Cashier Roster'!$B$5:$B$64,0)),""))</f>
        <v/>
      </c>
      <c r="E1946" s="13"/>
      <c r="F1946" s="14"/>
      <c r="G1946" s="8" t="str">
        <f>IF(OR(B1946="",E1946=""),"",IF(E1946="No","Missed",IF(F1946="","",IF(F1946&lt;=Settings!$B$7,"On time","Late"))))</f>
        <v/>
      </c>
      <c r="H1946" s="15"/>
      <c r="I1946" s="16"/>
      <c r="J1946" s="16"/>
      <c r="K1946" s="17" t="str">
        <f>IF(J1946="","",ROUND(J1946*Settings!$B$8,2))</f>
        <v/>
      </c>
      <c r="L1946" s="16"/>
      <c r="M1946" s="8" t="str">
        <f t="shared" si="30"/>
        <v/>
      </c>
      <c r="N1946" s="9"/>
    </row>
    <row r="1947" spans="1:14" ht="15.75">
      <c r="A1947" s="11"/>
      <c r="B1947" s="9"/>
      <c r="C1947" s="12" t="str">
        <f>IF(B1947="","",IFERROR(INDEX('Cashier Roster'!$C$5:$C$64,MATCH(B1947,'Cashier Roster'!$B$5:$B$64,0)),"Not on roster"))</f>
        <v/>
      </c>
      <c r="D1947" s="12" t="str">
        <f>IF(B1947="","",IFERROR(INDEX('Cashier Roster'!$D$5:$D$64,MATCH(B1947,'Cashier Roster'!$B$5:$B$64,0)),""))</f>
        <v/>
      </c>
      <c r="E1947" s="13"/>
      <c r="F1947" s="14"/>
      <c r="G1947" s="8" t="str">
        <f>IF(OR(B1947="",E1947=""),"",IF(E1947="No","Missed",IF(F1947="","",IF(F1947&lt;=Settings!$B$7,"On time","Late"))))</f>
        <v/>
      </c>
      <c r="H1947" s="15"/>
      <c r="I1947" s="16"/>
      <c r="J1947" s="16"/>
      <c r="K1947" s="17" t="str">
        <f>IF(J1947="","",ROUND(J1947*Settings!$B$8,2))</f>
        <v/>
      </c>
      <c r="L1947" s="16"/>
      <c r="M1947" s="8" t="str">
        <f t="shared" si="30"/>
        <v/>
      </c>
      <c r="N1947" s="9"/>
    </row>
    <row r="1948" spans="1:14" ht="15.75">
      <c r="A1948" s="11"/>
      <c r="B1948" s="9"/>
      <c r="C1948" s="12" t="str">
        <f>IF(B1948="","",IFERROR(INDEX('Cashier Roster'!$C$5:$C$64,MATCH(B1948,'Cashier Roster'!$B$5:$B$64,0)),"Not on roster"))</f>
        <v/>
      </c>
      <c r="D1948" s="12" t="str">
        <f>IF(B1948="","",IFERROR(INDEX('Cashier Roster'!$D$5:$D$64,MATCH(B1948,'Cashier Roster'!$B$5:$B$64,0)),""))</f>
        <v/>
      </c>
      <c r="E1948" s="13"/>
      <c r="F1948" s="14"/>
      <c r="G1948" s="8" t="str">
        <f>IF(OR(B1948="",E1948=""),"",IF(E1948="No","Missed",IF(F1948="","",IF(F1948&lt;=Settings!$B$7,"On time","Late"))))</f>
        <v/>
      </c>
      <c r="H1948" s="15"/>
      <c r="I1948" s="16"/>
      <c r="J1948" s="16"/>
      <c r="K1948" s="17" t="str">
        <f>IF(J1948="","",ROUND(J1948*Settings!$B$8,2))</f>
        <v/>
      </c>
      <c r="L1948" s="16"/>
      <c r="M1948" s="8" t="str">
        <f t="shared" si="30"/>
        <v/>
      </c>
      <c r="N1948" s="9"/>
    </row>
    <row r="1949" spans="1:14" ht="15.75">
      <c r="A1949" s="11"/>
      <c r="B1949" s="9"/>
      <c r="C1949" s="12" t="str">
        <f>IF(B1949="","",IFERROR(INDEX('Cashier Roster'!$C$5:$C$64,MATCH(B1949,'Cashier Roster'!$B$5:$B$64,0)),"Not on roster"))</f>
        <v/>
      </c>
      <c r="D1949" s="12" t="str">
        <f>IF(B1949="","",IFERROR(INDEX('Cashier Roster'!$D$5:$D$64,MATCH(B1949,'Cashier Roster'!$B$5:$B$64,0)),""))</f>
        <v/>
      </c>
      <c r="E1949" s="13"/>
      <c r="F1949" s="14"/>
      <c r="G1949" s="8" t="str">
        <f>IF(OR(B1949="",E1949=""),"",IF(E1949="No","Missed",IF(F1949="","",IF(F1949&lt;=Settings!$B$7,"On time","Late"))))</f>
        <v/>
      </c>
      <c r="H1949" s="15"/>
      <c r="I1949" s="16"/>
      <c r="J1949" s="16"/>
      <c r="K1949" s="17" t="str">
        <f>IF(J1949="","",ROUND(J1949*Settings!$B$8,2))</f>
        <v/>
      </c>
      <c r="L1949" s="16"/>
      <c r="M1949" s="8" t="str">
        <f t="shared" si="30"/>
        <v/>
      </c>
      <c r="N1949" s="9"/>
    </row>
    <row r="1950" spans="1:14" ht="15.75">
      <c r="A1950" s="11"/>
      <c r="B1950" s="9"/>
      <c r="C1950" s="12" t="str">
        <f>IF(B1950="","",IFERROR(INDEX('Cashier Roster'!$C$5:$C$64,MATCH(B1950,'Cashier Roster'!$B$5:$B$64,0)),"Not on roster"))</f>
        <v/>
      </c>
      <c r="D1950" s="12" t="str">
        <f>IF(B1950="","",IFERROR(INDEX('Cashier Roster'!$D$5:$D$64,MATCH(B1950,'Cashier Roster'!$B$5:$B$64,0)),""))</f>
        <v/>
      </c>
      <c r="E1950" s="13"/>
      <c r="F1950" s="14"/>
      <c r="G1950" s="8" t="str">
        <f>IF(OR(B1950="",E1950=""),"",IF(E1950="No","Missed",IF(F1950="","",IF(F1950&lt;=Settings!$B$7,"On time","Late"))))</f>
        <v/>
      </c>
      <c r="H1950" s="15"/>
      <c r="I1950" s="16"/>
      <c r="J1950" s="16"/>
      <c r="K1950" s="17" t="str">
        <f>IF(J1950="","",ROUND(J1950*Settings!$B$8,2))</f>
        <v/>
      </c>
      <c r="L1950" s="16"/>
      <c r="M1950" s="8" t="str">
        <f t="shared" si="30"/>
        <v/>
      </c>
      <c r="N1950" s="9"/>
    </row>
    <row r="1951" spans="1:14" ht="15.75">
      <c r="A1951" s="11"/>
      <c r="B1951" s="9"/>
      <c r="C1951" s="12" t="str">
        <f>IF(B1951="","",IFERROR(INDEX('Cashier Roster'!$C$5:$C$64,MATCH(B1951,'Cashier Roster'!$B$5:$B$64,0)),"Not on roster"))</f>
        <v/>
      </c>
      <c r="D1951" s="12" t="str">
        <f>IF(B1951="","",IFERROR(INDEX('Cashier Roster'!$D$5:$D$64,MATCH(B1951,'Cashier Roster'!$B$5:$B$64,0)),""))</f>
        <v/>
      </c>
      <c r="E1951" s="13"/>
      <c r="F1951" s="14"/>
      <c r="G1951" s="8" t="str">
        <f>IF(OR(B1951="",E1951=""),"",IF(E1951="No","Missed",IF(F1951="","",IF(F1951&lt;=Settings!$B$7,"On time","Late"))))</f>
        <v/>
      </c>
      <c r="H1951" s="15"/>
      <c r="I1951" s="16"/>
      <c r="J1951" s="16"/>
      <c r="K1951" s="17" t="str">
        <f>IF(J1951="","",ROUND(J1951*Settings!$B$8,2))</f>
        <v/>
      </c>
      <c r="L1951" s="16"/>
      <c r="M1951" s="8" t="str">
        <f t="shared" si="30"/>
        <v/>
      </c>
      <c r="N1951" s="9"/>
    </row>
    <row r="1952" spans="1:14" ht="15.75">
      <c r="A1952" s="11"/>
      <c r="B1952" s="9"/>
      <c r="C1952" s="12" t="str">
        <f>IF(B1952="","",IFERROR(INDEX('Cashier Roster'!$C$5:$C$64,MATCH(B1952,'Cashier Roster'!$B$5:$B$64,0)),"Not on roster"))</f>
        <v/>
      </c>
      <c r="D1952" s="12" t="str">
        <f>IF(B1952="","",IFERROR(INDEX('Cashier Roster'!$D$5:$D$64,MATCH(B1952,'Cashier Roster'!$B$5:$B$64,0)),""))</f>
        <v/>
      </c>
      <c r="E1952" s="13"/>
      <c r="F1952" s="14"/>
      <c r="G1952" s="8" t="str">
        <f>IF(OR(B1952="",E1952=""),"",IF(E1952="No","Missed",IF(F1952="","",IF(F1952&lt;=Settings!$B$7,"On time","Late"))))</f>
        <v/>
      </c>
      <c r="H1952" s="15"/>
      <c r="I1952" s="16"/>
      <c r="J1952" s="16"/>
      <c r="K1952" s="17" t="str">
        <f>IF(J1952="","",ROUND(J1952*Settings!$B$8,2))</f>
        <v/>
      </c>
      <c r="L1952" s="16"/>
      <c r="M1952" s="8" t="str">
        <f t="shared" si="30"/>
        <v/>
      </c>
      <c r="N1952" s="9"/>
    </row>
    <row r="1953" spans="1:14" ht="15.75">
      <c r="A1953" s="11"/>
      <c r="B1953" s="9"/>
      <c r="C1953" s="12" t="str">
        <f>IF(B1953="","",IFERROR(INDEX('Cashier Roster'!$C$5:$C$64,MATCH(B1953,'Cashier Roster'!$B$5:$B$64,0)),"Not on roster"))</f>
        <v/>
      </c>
      <c r="D1953" s="12" t="str">
        <f>IF(B1953="","",IFERROR(INDEX('Cashier Roster'!$D$5:$D$64,MATCH(B1953,'Cashier Roster'!$B$5:$B$64,0)),""))</f>
        <v/>
      </c>
      <c r="E1953" s="13"/>
      <c r="F1953" s="14"/>
      <c r="G1953" s="8" t="str">
        <f>IF(OR(B1953="",E1953=""),"",IF(E1953="No","Missed",IF(F1953="","",IF(F1953&lt;=Settings!$B$7,"On time","Late"))))</f>
        <v/>
      </c>
      <c r="H1953" s="15"/>
      <c r="I1953" s="16"/>
      <c r="J1953" s="16"/>
      <c r="K1953" s="17" t="str">
        <f>IF(J1953="","",ROUND(J1953*Settings!$B$8,2))</f>
        <v/>
      </c>
      <c r="L1953" s="16"/>
      <c r="M1953" s="8" t="str">
        <f t="shared" si="30"/>
        <v/>
      </c>
      <c r="N1953" s="9"/>
    </row>
    <row r="1954" spans="1:14" ht="15.75">
      <c r="A1954" s="11"/>
      <c r="B1954" s="9"/>
      <c r="C1954" s="12" t="str">
        <f>IF(B1954="","",IFERROR(INDEX('Cashier Roster'!$C$5:$C$64,MATCH(B1954,'Cashier Roster'!$B$5:$B$64,0)),"Not on roster"))</f>
        <v/>
      </c>
      <c r="D1954" s="12" t="str">
        <f>IF(B1954="","",IFERROR(INDEX('Cashier Roster'!$D$5:$D$64,MATCH(B1954,'Cashier Roster'!$B$5:$B$64,0)),""))</f>
        <v/>
      </c>
      <c r="E1954" s="13"/>
      <c r="F1954" s="14"/>
      <c r="G1954" s="8" t="str">
        <f>IF(OR(B1954="",E1954=""),"",IF(E1954="No","Missed",IF(F1954="","",IF(F1954&lt;=Settings!$B$7,"On time","Late"))))</f>
        <v/>
      </c>
      <c r="H1954" s="15"/>
      <c r="I1954" s="16"/>
      <c r="J1954" s="16"/>
      <c r="K1954" s="17" t="str">
        <f>IF(J1954="","",ROUND(J1954*Settings!$B$8,2))</f>
        <v/>
      </c>
      <c r="L1954" s="16"/>
      <c r="M1954" s="8" t="str">
        <f t="shared" si="30"/>
        <v/>
      </c>
      <c r="N1954" s="9"/>
    </row>
    <row r="1955" spans="1:14" ht="15.75">
      <c r="A1955" s="11"/>
      <c r="B1955" s="9"/>
      <c r="C1955" s="12" t="str">
        <f>IF(B1955="","",IFERROR(INDEX('Cashier Roster'!$C$5:$C$64,MATCH(B1955,'Cashier Roster'!$B$5:$B$64,0)),"Not on roster"))</f>
        <v/>
      </c>
      <c r="D1955" s="12" t="str">
        <f>IF(B1955="","",IFERROR(INDEX('Cashier Roster'!$D$5:$D$64,MATCH(B1955,'Cashier Roster'!$B$5:$B$64,0)),""))</f>
        <v/>
      </c>
      <c r="E1955" s="13"/>
      <c r="F1955" s="14"/>
      <c r="G1955" s="8" t="str">
        <f>IF(OR(B1955="",E1955=""),"",IF(E1955="No","Missed",IF(F1955="","",IF(F1955&lt;=Settings!$B$7,"On time","Late"))))</f>
        <v/>
      </c>
      <c r="H1955" s="15"/>
      <c r="I1955" s="16"/>
      <c r="J1955" s="16"/>
      <c r="K1955" s="17" t="str">
        <f>IF(J1955="","",ROUND(J1955*Settings!$B$8,2))</f>
        <v/>
      </c>
      <c r="L1955" s="16"/>
      <c r="M1955" s="8" t="str">
        <f t="shared" si="30"/>
        <v/>
      </c>
      <c r="N1955" s="9"/>
    </row>
    <row r="1956" spans="1:14" ht="15.75">
      <c r="A1956" s="11"/>
      <c r="B1956" s="9"/>
      <c r="C1956" s="12" t="str">
        <f>IF(B1956="","",IFERROR(INDEX('Cashier Roster'!$C$5:$C$64,MATCH(B1956,'Cashier Roster'!$B$5:$B$64,0)),"Not on roster"))</f>
        <v/>
      </c>
      <c r="D1956" s="12" t="str">
        <f>IF(B1956="","",IFERROR(INDEX('Cashier Roster'!$D$5:$D$64,MATCH(B1956,'Cashier Roster'!$B$5:$B$64,0)),""))</f>
        <v/>
      </c>
      <c r="E1956" s="13"/>
      <c r="F1956" s="14"/>
      <c r="G1956" s="8" t="str">
        <f>IF(OR(B1956="",E1956=""),"",IF(E1956="No","Missed",IF(F1956="","",IF(F1956&lt;=Settings!$B$7,"On time","Late"))))</f>
        <v/>
      </c>
      <c r="H1956" s="15"/>
      <c r="I1956" s="16"/>
      <c r="J1956" s="16"/>
      <c r="K1956" s="17" t="str">
        <f>IF(J1956="","",ROUND(J1956*Settings!$B$8,2))</f>
        <v/>
      </c>
      <c r="L1956" s="16"/>
      <c r="M1956" s="8" t="str">
        <f t="shared" si="30"/>
        <v/>
      </c>
      <c r="N1956" s="9"/>
    </row>
    <row r="1957" spans="1:14" ht="15.75">
      <c r="A1957" s="11"/>
      <c r="B1957" s="9"/>
      <c r="C1957" s="12" t="str">
        <f>IF(B1957="","",IFERROR(INDEX('Cashier Roster'!$C$5:$C$64,MATCH(B1957,'Cashier Roster'!$B$5:$B$64,0)),"Not on roster"))</f>
        <v/>
      </c>
      <c r="D1957" s="12" t="str">
        <f>IF(B1957="","",IFERROR(INDEX('Cashier Roster'!$D$5:$D$64,MATCH(B1957,'Cashier Roster'!$B$5:$B$64,0)),""))</f>
        <v/>
      </c>
      <c r="E1957" s="13"/>
      <c r="F1957" s="14"/>
      <c r="G1957" s="8" t="str">
        <f>IF(OR(B1957="",E1957=""),"",IF(E1957="No","Missed",IF(F1957="","",IF(F1957&lt;=Settings!$B$7,"On time","Late"))))</f>
        <v/>
      </c>
      <c r="H1957" s="15"/>
      <c r="I1957" s="16"/>
      <c r="J1957" s="16"/>
      <c r="K1957" s="17" t="str">
        <f>IF(J1957="","",ROUND(J1957*Settings!$B$8,2))</f>
        <v/>
      </c>
      <c r="L1957" s="16"/>
      <c r="M1957" s="8" t="str">
        <f t="shared" si="30"/>
        <v/>
      </c>
      <c r="N1957" s="9"/>
    </row>
    <row r="1958" spans="1:14" ht="15.75">
      <c r="A1958" s="11"/>
      <c r="B1958" s="9"/>
      <c r="C1958" s="12" t="str">
        <f>IF(B1958="","",IFERROR(INDEX('Cashier Roster'!$C$5:$C$64,MATCH(B1958,'Cashier Roster'!$B$5:$B$64,0)),"Not on roster"))</f>
        <v/>
      </c>
      <c r="D1958" s="12" t="str">
        <f>IF(B1958="","",IFERROR(INDEX('Cashier Roster'!$D$5:$D$64,MATCH(B1958,'Cashier Roster'!$B$5:$B$64,0)),""))</f>
        <v/>
      </c>
      <c r="E1958" s="13"/>
      <c r="F1958" s="14"/>
      <c r="G1958" s="8" t="str">
        <f>IF(OR(B1958="",E1958=""),"",IF(E1958="No","Missed",IF(F1958="","",IF(F1958&lt;=Settings!$B$7,"On time","Late"))))</f>
        <v/>
      </c>
      <c r="H1958" s="15"/>
      <c r="I1958" s="16"/>
      <c r="J1958" s="16"/>
      <c r="K1958" s="17" t="str">
        <f>IF(J1958="","",ROUND(J1958*Settings!$B$8,2))</f>
        <v/>
      </c>
      <c r="L1958" s="16"/>
      <c r="M1958" s="8" t="str">
        <f t="shared" si="30"/>
        <v/>
      </c>
      <c r="N1958" s="9"/>
    </row>
    <row r="1959" spans="1:14" ht="15.75">
      <c r="A1959" s="11"/>
      <c r="B1959" s="9"/>
      <c r="C1959" s="12" t="str">
        <f>IF(B1959="","",IFERROR(INDEX('Cashier Roster'!$C$5:$C$64,MATCH(B1959,'Cashier Roster'!$B$5:$B$64,0)),"Not on roster"))</f>
        <v/>
      </c>
      <c r="D1959" s="12" t="str">
        <f>IF(B1959="","",IFERROR(INDEX('Cashier Roster'!$D$5:$D$64,MATCH(B1959,'Cashier Roster'!$B$5:$B$64,0)),""))</f>
        <v/>
      </c>
      <c r="E1959" s="13"/>
      <c r="F1959" s="14"/>
      <c r="G1959" s="8" t="str">
        <f>IF(OR(B1959="",E1959=""),"",IF(E1959="No","Missed",IF(F1959="","",IF(F1959&lt;=Settings!$B$7,"On time","Late"))))</f>
        <v/>
      </c>
      <c r="H1959" s="15"/>
      <c r="I1959" s="16"/>
      <c r="J1959" s="16"/>
      <c r="K1959" s="17" t="str">
        <f>IF(J1959="","",ROUND(J1959*Settings!$B$8,2))</f>
        <v/>
      </c>
      <c r="L1959" s="16"/>
      <c r="M1959" s="8" t="str">
        <f t="shared" si="30"/>
        <v/>
      </c>
      <c r="N1959" s="9"/>
    </row>
    <row r="1960" spans="1:14" ht="15.75">
      <c r="A1960" s="11"/>
      <c r="B1960" s="9"/>
      <c r="C1960" s="12" t="str">
        <f>IF(B1960="","",IFERROR(INDEX('Cashier Roster'!$C$5:$C$64,MATCH(B1960,'Cashier Roster'!$B$5:$B$64,0)),"Not on roster"))</f>
        <v/>
      </c>
      <c r="D1960" s="12" t="str">
        <f>IF(B1960="","",IFERROR(INDEX('Cashier Roster'!$D$5:$D$64,MATCH(B1960,'Cashier Roster'!$B$5:$B$64,0)),""))</f>
        <v/>
      </c>
      <c r="E1960" s="13"/>
      <c r="F1960" s="14"/>
      <c r="G1960" s="8" t="str">
        <f>IF(OR(B1960="",E1960=""),"",IF(E1960="No","Missed",IF(F1960="","",IF(F1960&lt;=Settings!$B$7,"On time","Late"))))</f>
        <v/>
      </c>
      <c r="H1960" s="15"/>
      <c r="I1960" s="16"/>
      <c r="J1960" s="16"/>
      <c r="K1960" s="17" t="str">
        <f>IF(J1960="","",ROUND(J1960*Settings!$B$8,2))</f>
        <v/>
      </c>
      <c r="L1960" s="16"/>
      <c r="M1960" s="8" t="str">
        <f t="shared" si="30"/>
        <v/>
      </c>
      <c r="N1960" s="9"/>
    </row>
    <row r="1961" spans="1:14" ht="15.75">
      <c r="A1961" s="11"/>
      <c r="B1961" s="9"/>
      <c r="C1961" s="12" t="str">
        <f>IF(B1961="","",IFERROR(INDEX('Cashier Roster'!$C$5:$C$64,MATCH(B1961,'Cashier Roster'!$B$5:$B$64,0)),"Not on roster"))</f>
        <v/>
      </c>
      <c r="D1961" s="12" t="str">
        <f>IF(B1961="","",IFERROR(INDEX('Cashier Roster'!$D$5:$D$64,MATCH(B1961,'Cashier Roster'!$B$5:$B$64,0)),""))</f>
        <v/>
      </c>
      <c r="E1961" s="13"/>
      <c r="F1961" s="14"/>
      <c r="G1961" s="8" t="str">
        <f>IF(OR(B1961="",E1961=""),"",IF(E1961="No","Missed",IF(F1961="","",IF(F1961&lt;=Settings!$B$7,"On time","Late"))))</f>
        <v/>
      </c>
      <c r="H1961" s="15"/>
      <c r="I1961" s="16"/>
      <c r="J1961" s="16"/>
      <c r="K1961" s="17" t="str">
        <f>IF(J1961="","",ROUND(J1961*Settings!$B$8,2))</f>
        <v/>
      </c>
      <c r="L1961" s="16"/>
      <c r="M1961" s="8" t="str">
        <f t="shared" si="30"/>
        <v/>
      </c>
      <c r="N1961" s="9"/>
    </row>
    <row r="1962" spans="1:14" ht="15.75">
      <c r="A1962" s="11"/>
      <c r="B1962" s="9"/>
      <c r="C1962" s="12" t="str">
        <f>IF(B1962="","",IFERROR(INDEX('Cashier Roster'!$C$5:$C$64,MATCH(B1962,'Cashier Roster'!$B$5:$B$64,0)),"Not on roster"))</f>
        <v/>
      </c>
      <c r="D1962" s="12" t="str">
        <f>IF(B1962="","",IFERROR(INDEX('Cashier Roster'!$D$5:$D$64,MATCH(B1962,'Cashier Roster'!$B$5:$B$64,0)),""))</f>
        <v/>
      </c>
      <c r="E1962" s="13"/>
      <c r="F1962" s="14"/>
      <c r="G1962" s="8" t="str">
        <f>IF(OR(B1962="",E1962=""),"",IF(E1962="No","Missed",IF(F1962="","",IF(F1962&lt;=Settings!$B$7,"On time","Late"))))</f>
        <v/>
      </c>
      <c r="H1962" s="15"/>
      <c r="I1962" s="16"/>
      <c r="J1962" s="16"/>
      <c r="K1962" s="17" t="str">
        <f>IF(J1962="","",ROUND(J1962*Settings!$B$8,2))</f>
        <v/>
      </c>
      <c r="L1962" s="16"/>
      <c r="M1962" s="8" t="str">
        <f t="shared" si="30"/>
        <v/>
      </c>
      <c r="N1962" s="9"/>
    </row>
    <row r="1963" spans="1:14" ht="15.75">
      <c r="A1963" s="11"/>
      <c r="B1963" s="9"/>
      <c r="C1963" s="12" t="str">
        <f>IF(B1963="","",IFERROR(INDEX('Cashier Roster'!$C$5:$C$64,MATCH(B1963,'Cashier Roster'!$B$5:$B$64,0)),"Not on roster"))</f>
        <v/>
      </c>
      <c r="D1963" s="12" t="str">
        <f>IF(B1963="","",IFERROR(INDEX('Cashier Roster'!$D$5:$D$64,MATCH(B1963,'Cashier Roster'!$B$5:$B$64,0)),""))</f>
        <v/>
      </c>
      <c r="E1963" s="13"/>
      <c r="F1963" s="14"/>
      <c r="G1963" s="8" t="str">
        <f>IF(OR(B1963="",E1963=""),"",IF(E1963="No","Missed",IF(F1963="","",IF(F1963&lt;=Settings!$B$7,"On time","Late"))))</f>
        <v/>
      </c>
      <c r="H1963" s="15"/>
      <c r="I1963" s="16"/>
      <c r="J1963" s="16"/>
      <c r="K1963" s="17" t="str">
        <f>IF(J1963="","",ROUND(J1963*Settings!$B$8,2))</f>
        <v/>
      </c>
      <c r="L1963" s="16"/>
      <c r="M1963" s="8" t="str">
        <f t="shared" si="30"/>
        <v/>
      </c>
      <c r="N1963" s="9"/>
    </row>
    <row r="1964" spans="1:14" ht="15.75">
      <c r="A1964" s="11"/>
      <c r="B1964" s="9"/>
      <c r="C1964" s="12" t="str">
        <f>IF(B1964="","",IFERROR(INDEX('Cashier Roster'!$C$5:$C$64,MATCH(B1964,'Cashier Roster'!$B$5:$B$64,0)),"Not on roster"))</f>
        <v/>
      </c>
      <c r="D1964" s="12" t="str">
        <f>IF(B1964="","",IFERROR(INDEX('Cashier Roster'!$D$5:$D$64,MATCH(B1964,'Cashier Roster'!$B$5:$B$64,0)),""))</f>
        <v/>
      </c>
      <c r="E1964" s="13"/>
      <c r="F1964" s="14"/>
      <c r="G1964" s="8" t="str">
        <f>IF(OR(B1964="",E1964=""),"",IF(E1964="No","Missed",IF(F1964="","",IF(F1964&lt;=Settings!$B$7,"On time","Late"))))</f>
        <v/>
      </c>
      <c r="H1964" s="15"/>
      <c r="I1964" s="16"/>
      <c r="J1964" s="16"/>
      <c r="K1964" s="17" t="str">
        <f>IF(J1964="","",ROUND(J1964*Settings!$B$8,2))</f>
        <v/>
      </c>
      <c r="L1964" s="16"/>
      <c r="M1964" s="8" t="str">
        <f t="shared" si="30"/>
        <v/>
      </c>
      <c r="N1964" s="9"/>
    </row>
    <row r="1965" spans="1:14" ht="15.75">
      <c r="A1965" s="11"/>
      <c r="B1965" s="9"/>
      <c r="C1965" s="12" t="str">
        <f>IF(B1965="","",IFERROR(INDEX('Cashier Roster'!$C$5:$C$64,MATCH(B1965,'Cashier Roster'!$B$5:$B$64,0)),"Not on roster"))</f>
        <v/>
      </c>
      <c r="D1965" s="12" t="str">
        <f>IF(B1965="","",IFERROR(INDEX('Cashier Roster'!$D$5:$D$64,MATCH(B1965,'Cashier Roster'!$B$5:$B$64,0)),""))</f>
        <v/>
      </c>
      <c r="E1965" s="13"/>
      <c r="F1965" s="14"/>
      <c r="G1965" s="8" t="str">
        <f>IF(OR(B1965="",E1965=""),"",IF(E1965="No","Missed",IF(F1965="","",IF(F1965&lt;=Settings!$B$7,"On time","Late"))))</f>
        <v/>
      </c>
      <c r="H1965" s="15"/>
      <c r="I1965" s="16"/>
      <c r="J1965" s="16"/>
      <c r="K1965" s="17" t="str">
        <f>IF(J1965="","",ROUND(J1965*Settings!$B$8,2))</f>
        <v/>
      </c>
      <c r="L1965" s="16"/>
      <c r="M1965" s="8" t="str">
        <f t="shared" si="30"/>
        <v/>
      </c>
      <c r="N1965" s="9"/>
    </row>
    <row r="1966" spans="1:14" ht="15.75">
      <c r="A1966" s="11"/>
      <c r="B1966" s="9"/>
      <c r="C1966" s="12" t="str">
        <f>IF(B1966="","",IFERROR(INDEX('Cashier Roster'!$C$5:$C$64,MATCH(B1966,'Cashier Roster'!$B$5:$B$64,0)),"Not on roster"))</f>
        <v/>
      </c>
      <c r="D1966" s="12" t="str">
        <f>IF(B1966="","",IFERROR(INDEX('Cashier Roster'!$D$5:$D$64,MATCH(B1966,'Cashier Roster'!$B$5:$B$64,0)),""))</f>
        <v/>
      </c>
      <c r="E1966" s="13"/>
      <c r="F1966" s="14"/>
      <c r="G1966" s="8" t="str">
        <f>IF(OR(B1966="",E1966=""),"",IF(E1966="No","Missed",IF(F1966="","",IF(F1966&lt;=Settings!$B$7,"On time","Late"))))</f>
        <v/>
      </c>
      <c r="H1966" s="15"/>
      <c r="I1966" s="16"/>
      <c r="J1966" s="16"/>
      <c r="K1966" s="17" t="str">
        <f>IF(J1966="","",ROUND(J1966*Settings!$B$8,2))</f>
        <v/>
      </c>
      <c r="L1966" s="16"/>
      <c r="M1966" s="8" t="str">
        <f t="shared" si="30"/>
        <v/>
      </c>
      <c r="N1966" s="9"/>
    </row>
    <row r="1967" spans="1:14" ht="15.75">
      <c r="A1967" s="11"/>
      <c r="B1967" s="9"/>
      <c r="C1967" s="12" t="str">
        <f>IF(B1967="","",IFERROR(INDEX('Cashier Roster'!$C$5:$C$64,MATCH(B1967,'Cashier Roster'!$B$5:$B$64,0)),"Not on roster"))</f>
        <v/>
      </c>
      <c r="D1967" s="12" t="str">
        <f>IF(B1967="","",IFERROR(INDEX('Cashier Roster'!$D$5:$D$64,MATCH(B1967,'Cashier Roster'!$B$5:$B$64,0)),""))</f>
        <v/>
      </c>
      <c r="E1967" s="13"/>
      <c r="F1967" s="14"/>
      <c r="G1967" s="8" t="str">
        <f>IF(OR(B1967="",E1967=""),"",IF(E1967="No","Missed",IF(F1967="","",IF(F1967&lt;=Settings!$B$7,"On time","Late"))))</f>
        <v/>
      </c>
      <c r="H1967" s="15"/>
      <c r="I1967" s="16"/>
      <c r="J1967" s="16"/>
      <c r="K1967" s="17" t="str">
        <f>IF(J1967="","",ROUND(J1967*Settings!$B$8,2))</f>
        <v/>
      </c>
      <c r="L1967" s="16"/>
      <c r="M1967" s="8" t="str">
        <f t="shared" si="30"/>
        <v/>
      </c>
      <c r="N1967" s="9"/>
    </row>
    <row r="1968" spans="1:14" ht="15.75">
      <c r="A1968" s="11"/>
      <c r="B1968" s="9"/>
      <c r="C1968" s="12" t="str">
        <f>IF(B1968="","",IFERROR(INDEX('Cashier Roster'!$C$5:$C$64,MATCH(B1968,'Cashier Roster'!$B$5:$B$64,0)),"Not on roster"))</f>
        <v/>
      </c>
      <c r="D1968" s="12" t="str">
        <f>IF(B1968="","",IFERROR(INDEX('Cashier Roster'!$D$5:$D$64,MATCH(B1968,'Cashier Roster'!$B$5:$B$64,0)),""))</f>
        <v/>
      </c>
      <c r="E1968" s="13"/>
      <c r="F1968" s="14"/>
      <c r="G1968" s="8" t="str">
        <f>IF(OR(B1968="",E1968=""),"",IF(E1968="No","Missed",IF(F1968="","",IF(F1968&lt;=Settings!$B$7,"On time","Late"))))</f>
        <v/>
      </c>
      <c r="H1968" s="15"/>
      <c r="I1968" s="16"/>
      <c r="J1968" s="16"/>
      <c r="K1968" s="17" t="str">
        <f>IF(J1968="","",ROUND(J1968*Settings!$B$8,2))</f>
        <v/>
      </c>
      <c r="L1968" s="16"/>
      <c r="M1968" s="8" t="str">
        <f t="shared" si="30"/>
        <v/>
      </c>
      <c r="N1968" s="9"/>
    </row>
    <row r="1969" spans="1:14" ht="15.75">
      <c r="A1969" s="11"/>
      <c r="B1969" s="9"/>
      <c r="C1969" s="12" t="str">
        <f>IF(B1969="","",IFERROR(INDEX('Cashier Roster'!$C$5:$C$64,MATCH(B1969,'Cashier Roster'!$B$5:$B$64,0)),"Not on roster"))</f>
        <v/>
      </c>
      <c r="D1969" s="12" t="str">
        <f>IF(B1969="","",IFERROR(INDEX('Cashier Roster'!$D$5:$D$64,MATCH(B1969,'Cashier Roster'!$B$5:$B$64,0)),""))</f>
        <v/>
      </c>
      <c r="E1969" s="13"/>
      <c r="F1969" s="14"/>
      <c r="G1969" s="8" t="str">
        <f>IF(OR(B1969="",E1969=""),"",IF(E1969="No","Missed",IF(F1969="","",IF(F1969&lt;=Settings!$B$7,"On time","Late"))))</f>
        <v/>
      </c>
      <c r="H1969" s="15"/>
      <c r="I1969" s="16"/>
      <c r="J1969" s="16"/>
      <c r="K1969" s="17" t="str">
        <f>IF(J1969="","",ROUND(J1969*Settings!$B$8,2))</f>
        <v/>
      </c>
      <c r="L1969" s="16"/>
      <c r="M1969" s="8" t="str">
        <f t="shared" si="30"/>
        <v/>
      </c>
      <c r="N1969" s="9"/>
    </row>
    <row r="1970" spans="1:14" ht="15.75">
      <c r="A1970" s="11"/>
      <c r="B1970" s="9"/>
      <c r="C1970" s="12" t="str">
        <f>IF(B1970="","",IFERROR(INDEX('Cashier Roster'!$C$5:$C$64,MATCH(B1970,'Cashier Roster'!$B$5:$B$64,0)),"Not on roster"))</f>
        <v/>
      </c>
      <c r="D1970" s="12" t="str">
        <f>IF(B1970="","",IFERROR(INDEX('Cashier Roster'!$D$5:$D$64,MATCH(B1970,'Cashier Roster'!$B$5:$B$64,0)),""))</f>
        <v/>
      </c>
      <c r="E1970" s="13"/>
      <c r="F1970" s="14"/>
      <c r="G1970" s="8" t="str">
        <f>IF(OR(B1970="",E1970=""),"",IF(E1970="No","Missed",IF(F1970="","",IF(F1970&lt;=Settings!$B$7,"On time","Late"))))</f>
        <v/>
      </c>
      <c r="H1970" s="15"/>
      <c r="I1970" s="16"/>
      <c r="J1970" s="16"/>
      <c r="K1970" s="17" t="str">
        <f>IF(J1970="","",ROUND(J1970*Settings!$B$8,2))</f>
        <v/>
      </c>
      <c r="L1970" s="16"/>
      <c r="M1970" s="8" t="str">
        <f t="shared" si="30"/>
        <v/>
      </c>
      <c r="N1970" s="9"/>
    </row>
    <row r="1971" spans="1:14" ht="15.75">
      <c r="A1971" s="11"/>
      <c r="B1971" s="9"/>
      <c r="C1971" s="12" t="str">
        <f>IF(B1971="","",IFERROR(INDEX('Cashier Roster'!$C$5:$C$64,MATCH(B1971,'Cashier Roster'!$B$5:$B$64,0)),"Not on roster"))</f>
        <v/>
      </c>
      <c r="D1971" s="12" t="str">
        <f>IF(B1971="","",IFERROR(INDEX('Cashier Roster'!$D$5:$D$64,MATCH(B1971,'Cashier Roster'!$B$5:$B$64,0)),""))</f>
        <v/>
      </c>
      <c r="E1971" s="13"/>
      <c r="F1971" s="14"/>
      <c r="G1971" s="8" t="str">
        <f>IF(OR(B1971="",E1971=""),"",IF(E1971="No","Missed",IF(F1971="","",IF(F1971&lt;=Settings!$B$7,"On time","Late"))))</f>
        <v/>
      </c>
      <c r="H1971" s="15"/>
      <c r="I1971" s="16"/>
      <c r="J1971" s="16"/>
      <c r="K1971" s="17" t="str">
        <f>IF(J1971="","",ROUND(J1971*Settings!$B$8,2))</f>
        <v/>
      </c>
      <c r="L1971" s="16"/>
      <c r="M1971" s="8" t="str">
        <f t="shared" si="30"/>
        <v/>
      </c>
      <c r="N1971" s="9"/>
    </row>
    <row r="1972" spans="1:14" ht="15.75">
      <c r="A1972" s="11"/>
      <c r="B1972" s="9"/>
      <c r="C1972" s="12" t="str">
        <f>IF(B1972="","",IFERROR(INDEX('Cashier Roster'!$C$5:$C$64,MATCH(B1972,'Cashier Roster'!$B$5:$B$64,0)),"Not on roster"))</f>
        <v/>
      </c>
      <c r="D1972" s="12" t="str">
        <f>IF(B1972="","",IFERROR(INDEX('Cashier Roster'!$D$5:$D$64,MATCH(B1972,'Cashier Roster'!$B$5:$B$64,0)),""))</f>
        <v/>
      </c>
      <c r="E1972" s="13"/>
      <c r="F1972" s="14"/>
      <c r="G1972" s="8" t="str">
        <f>IF(OR(B1972="",E1972=""),"",IF(E1972="No","Missed",IF(F1972="","",IF(F1972&lt;=Settings!$B$7,"On time","Late"))))</f>
        <v/>
      </c>
      <c r="H1972" s="15"/>
      <c r="I1972" s="16"/>
      <c r="J1972" s="16"/>
      <c r="K1972" s="17" t="str">
        <f>IF(J1972="","",ROUND(J1972*Settings!$B$8,2))</f>
        <v/>
      </c>
      <c r="L1972" s="16"/>
      <c r="M1972" s="8" t="str">
        <f t="shared" si="30"/>
        <v/>
      </c>
      <c r="N1972" s="9"/>
    </row>
    <row r="1973" spans="1:14" ht="15.75">
      <c r="A1973" s="11"/>
      <c r="B1973" s="9"/>
      <c r="C1973" s="12" t="str">
        <f>IF(B1973="","",IFERROR(INDEX('Cashier Roster'!$C$5:$C$64,MATCH(B1973,'Cashier Roster'!$B$5:$B$64,0)),"Not on roster"))</f>
        <v/>
      </c>
      <c r="D1973" s="12" t="str">
        <f>IF(B1973="","",IFERROR(INDEX('Cashier Roster'!$D$5:$D$64,MATCH(B1973,'Cashier Roster'!$B$5:$B$64,0)),""))</f>
        <v/>
      </c>
      <c r="E1973" s="13"/>
      <c r="F1973" s="14"/>
      <c r="G1973" s="8" t="str">
        <f>IF(OR(B1973="",E1973=""),"",IF(E1973="No","Missed",IF(F1973="","",IF(F1973&lt;=Settings!$B$7,"On time","Late"))))</f>
        <v/>
      </c>
      <c r="H1973" s="15"/>
      <c r="I1973" s="16"/>
      <c r="J1973" s="16"/>
      <c r="K1973" s="17" t="str">
        <f>IF(J1973="","",ROUND(J1973*Settings!$B$8,2))</f>
        <v/>
      </c>
      <c r="L1973" s="16"/>
      <c r="M1973" s="8" t="str">
        <f t="shared" si="30"/>
        <v/>
      </c>
      <c r="N1973" s="9"/>
    </row>
    <row r="1974" spans="1:14" ht="15.75">
      <c r="A1974" s="11"/>
      <c r="B1974" s="9"/>
      <c r="C1974" s="12" t="str">
        <f>IF(B1974="","",IFERROR(INDEX('Cashier Roster'!$C$5:$C$64,MATCH(B1974,'Cashier Roster'!$B$5:$B$64,0)),"Not on roster"))</f>
        <v/>
      </c>
      <c r="D1974" s="12" t="str">
        <f>IF(B1974="","",IFERROR(INDEX('Cashier Roster'!$D$5:$D$64,MATCH(B1974,'Cashier Roster'!$B$5:$B$64,0)),""))</f>
        <v/>
      </c>
      <c r="E1974" s="13"/>
      <c r="F1974" s="14"/>
      <c r="G1974" s="8" t="str">
        <f>IF(OR(B1974="",E1974=""),"",IF(E1974="No","Missed",IF(F1974="","",IF(F1974&lt;=Settings!$B$7,"On time","Late"))))</f>
        <v/>
      </c>
      <c r="H1974" s="15"/>
      <c r="I1974" s="16"/>
      <c r="J1974" s="16"/>
      <c r="K1974" s="17" t="str">
        <f>IF(J1974="","",ROUND(J1974*Settings!$B$8,2))</f>
        <v/>
      </c>
      <c r="L1974" s="16"/>
      <c r="M1974" s="8" t="str">
        <f t="shared" si="30"/>
        <v/>
      </c>
      <c r="N1974" s="9"/>
    </row>
    <row r="1975" spans="1:14" ht="15.75">
      <c r="A1975" s="11"/>
      <c r="B1975" s="9"/>
      <c r="C1975" s="12" t="str">
        <f>IF(B1975="","",IFERROR(INDEX('Cashier Roster'!$C$5:$C$64,MATCH(B1975,'Cashier Roster'!$B$5:$B$64,0)),"Not on roster"))</f>
        <v/>
      </c>
      <c r="D1975" s="12" t="str">
        <f>IF(B1975="","",IFERROR(INDEX('Cashier Roster'!$D$5:$D$64,MATCH(B1975,'Cashier Roster'!$B$5:$B$64,0)),""))</f>
        <v/>
      </c>
      <c r="E1975" s="13"/>
      <c r="F1975" s="14"/>
      <c r="G1975" s="8" t="str">
        <f>IF(OR(B1975="",E1975=""),"",IF(E1975="No","Missed",IF(F1975="","",IF(F1975&lt;=Settings!$B$7,"On time","Late"))))</f>
        <v/>
      </c>
      <c r="H1975" s="15"/>
      <c r="I1975" s="16"/>
      <c r="J1975" s="16"/>
      <c r="K1975" s="17" t="str">
        <f>IF(J1975="","",ROUND(J1975*Settings!$B$8,2))</f>
        <v/>
      </c>
      <c r="L1975" s="16"/>
      <c r="M1975" s="8" t="str">
        <f t="shared" si="30"/>
        <v/>
      </c>
      <c r="N1975" s="9"/>
    </row>
    <row r="1976" spans="1:14" ht="15.75">
      <c r="A1976" s="11"/>
      <c r="B1976" s="9"/>
      <c r="C1976" s="12" t="str">
        <f>IF(B1976="","",IFERROR(INDEX('Cashier Roster'!$C$5:$C$64,MATCH(B1976,'Cashier Roster'!$B$5:$B$64,0)),"Not on roster"))</f>
        <v/>
      </c>
      <c r="D1976" s="12" t="str">
        <f>IF(B1976="","",IFERROR(INDEX('Cashier Roster'!$D$5:$D$64,MATCH(B1976,'Cashier Roster'!$B$5:$B$64,0)),""))</f>
        <v/>
      </c>
      <c r="E1976" s="13"/>
      <c r="F1976" s="14"/>
      <c r="G1976" s="8" t="str">
        <f>IF(OR(B1976="",E1976=""),"",IF(E1976="No","Missed",IF(F1976="","",IF(F1976&lt;=Settings!$B$7,"On time","Late"))))</f>
        <v/>
      </c>
      <c r="H1976" s="15"/>
      <c r="I1976" s="16"/>
      <c r="J1976" s="16"/>
      <c r="K1976" s="17" t="str">
        <f>IF(J1976="","",ROUND(J1976*Settings!$B$8,2))</f>
        <v/>
      </c>
      <c r="L1976" s="16"/>
      <c r="M1976" s="8" t="str">
        <f t="shared" si="30"/>
        <v/>
      </c>
      <c r="N1976" s="9"/>
    </row>
    <row r="1977" spans="1:14" ht="15.75">
      <c r="A1977" s="11"/>
      <c r="B1977" s="9"/>
      <c r="C1977" s="12" t="str">
        <f>IF(B1977="","",IFERROR(INDEX('Cashier Roster'!$C$5:$C$64,MATCH(B1977,'Cashier Roster'!$B$5:$B$64,0)),"Not on roster"))</f>
        <v/>
      </c>
      <c r="D1977" s="12" t="str">
        <f>IF(B1977="","",IFERROR(INDEX('Cashier Roster'!$D$5:$D$64,MATCH(B1977,'Cashier Roster'!$B$5:$B$64,0)),""))</f>
        <v/>
      </c>
      <c r="E1977" s="13"/>
      <c r="F1977" s="14"/>
      <c r="G1977" s="8" t="str">
        <f>IF(OR(B1977="",E1977=""),"",IF(E1977="No","Missed",IF(F1977="","",IF(F1977&lt;=Settings!$B$7,"On time","Late"))))</f>
        <v/>
      </c>
      <c r="H1977" s="15"/>
      <c r="I1977" s="16"/>
      <c r="J1977" s="16"/>
      <c r="K1977" s="17" t="str">
        <f>IF(J1977="","",ROUND(J1977*Settings!$B$8,2))</f>
        <v/>
      </c>
      <c r="L1977" s="16"/>
      <c r="M1977" s="8" t="str">
        <f t="shared" si="30"/>
        <v/>
      </c>
      <c r="N1977" s="9"/>
    </row>
    <row r="1978" spans="1:14" ht="15.75">
      <c r="A1978" s="11"/>
      <c r="B1978" s="9"/>
      <c r="C1978" s="12" t="str">
        <f>IF(B1978="","",IFERROR(INDEX('Cashier Roster'!$C$5:$C$64,MATCH(B1978,'Cashier Roster'!$B$5:$B$64,0)),"Not on roster"))</f>
        <v/>
      </c>
      <c r="D1978" s="12" t="str">
        <f>IF(B1978="","",IFERROR(INDEX('Cashier Roster'!$D$5:$D$64,MATCH(B1978,'Cashier Roster'!$B$5:$B$64,0)),""))</f>
        <v/>
      </c>
      <c r="E1978" s="13"/>
      <c r="F1978" s="14"/>
      <c r="G1978" s="8" t="str">
        <f>IF(OR(B1978="",E1978=""),"",IF(E1978="No","Missed",IF(F1978="","",IF(F1978&lt;=Settings!$B$7,"On time","Late"))))</f>
        <v/>
      </c>
      <c r="H1978" s="15"/>
      <c r="I1978" s="16"/>
      <c r="J1978" s="16"/>
      <c r="K1978" s="17" t="str">
        <f>IF(J1978="","",ROUND(J1978*Settings!$B$8,2))</f>
        <v/>
      </c>
      <c r="L1978" s="16"/>
      <c r="M1978" s="8" t="str">
        <f t="shared" si="30"/>
        <v/>
      </c>
      <c r="N1978" s="9"/>
    </row>
    <row r="1979" spans="1:14" ht="15.75">
      <c r="A1979" s="11"/>
      <c r="B1979" s="9"/>
      <c r="C1979" s="12" t="str">
        <f>IF(B1979="","",IFERROR(INDEX('Cashier Roster'!$C$5:$C$64,MATCH(B1979,'Cashier Roster'!$B$5:$B$64,0)),"Not on roster"))</f>
        <v/>
      </c>
      <c r="D1979" s="12" t="str">
        <f>IF(B1979="","",IFERROR(INDEX('Cashier Roster'!$D$5:$D$64,MATCH(B1979,'Cashier Roster'!$B$5:$B$64,0)),""))</f>
        <v/>
      </c>
      <c r="E1979" s="13"/>
      <c r="F1979" s="14"/>
      <c r="G1979" s="8" t="str">
        <f>IF(OR(B1979="",E1979=""),"",IF(E1979="No","Missed",IF(F1979="","",IF(F1979&lt;=Settings!$B$7,"On time","Late"))))</f>
        <v/>
      </c>
      <c r="H1979" s="15"/>
      <c r="I1979" s="16"/>
      <c r="J1979" s="16"/>
      <c r="K1979" s="17" t="str">
        <f>IF(J1979="","",ROUND(J1979*Settings!$B$8,2))</f>
        <v/>
      </c>
      <c r="L1979" s="16"/>
      <c r="M1979" s="8" t="str">
        <f t="shared" si="30"/>
        <v/>
      </c>
      <c r="N1979" s="9"/>
    </row>
    <row r="1980" spans="1:14" ht="15.75">
      <c r="A1980" s="11"/>
      <c r="B1980" s="9"/>
      <c r="C1980" s="12" t="str">
        <f>IF(B1980="","",IFERROR(INDEX('Cashier Roster'!$C$5:$C$64,MATCH(B1980,'Cashier Roster'!$B$5:$B$64,0)),"Not on roster"))</f>
        <v/>
      </c>
      <c r="D1980" s="12" t="str">
        <f>IF(B1980="","",IFERROR(INDEX('Cashier Roster'!$D$5:$D$64,MATCH(B1980,'Cashier Roster'!$B$5:$B$64,0)),""))</f>
        <v/>
      </c>
      <c r="E1980" s="13"/>
      <c r="F1980" s="14"/>
      <c r="G1980" s="8" t="str">
        <f>IF(OR(B1980="",E1980=""),"",IF(E1980="No","Missed",IF(F1980="","",IF(F1980&lt;=Settings!$B$7,"On time","Late"))))</f>
        <v/>
      </c>
      <c r="H1980" s="15"/>
      <c r="I1980" s="16"/>
      <c r="J1980" s="16"/>
      <c r="K1980" s="17" t="str">
        <f>IF(J1980="","",ROUND(J1980*Settings!$B$8,2))</f>
        <v/>
      </c>
      <c r="L1980" s="16"/>
      <c r="M1980" s="8" t="str">
        <f t="shared" si="30"/>
        <v/>
      </c>
      <c r="N1980" s="9"/>
    </row>
    <row r="1981" spans="1:14" ht="15.75">
      <c r="A1981" s="11"/>
      <c r="B1981" s="9"/>
      <c r="C1981" s="12" t="str">
        <f>IF(B1981="","",IFERROR(INDEX('Cashier Roster'!$C$5:$C$64,MATCH(B1981,'Cashier Roster'!$B$5:$B$64,0)),"Not on roster"))</f>
        <v/>
      </c>
      <c r="D1981" s="12" t="str">
        <f>IF(B1981="","",IFERROR(INDEX('Cashier Roster'!$D$5:$D$64,MATCH(B1981,'Cashier Roster'!$B$5:$B$64,0)),""))</f>
        <v/>
      </c>
      <c r="E1981" s="13"/>
      <c r="F1981" s="14"/>
      <c r="G1981" s="8" t="str">
        <f>IF(OR(B1981="",E1981=""),"",IF(E1981="No","Missed",IF(F1981="","",IF(F1981&lt;=Settings!$B$7,"On time","Late"))))</f>
        <v/>
      </c>
      <c r="H1981" s="15"/>
      <c r="I1981" s="16"/>
      <c r="J1981" s="16"/>
      <c r="K1981" s="17" t="str">
        <f>IF(J1981="","",ROUND(J1981*Settings!$B$8,2))</f>
        <v/>
      </c>
      <c r="L1981" s="16"/>
      <c r="M1981" s="8" t="str">
        <f t="shared" si="30"/>
        <v/>
      </c>
      <c r="N1981" s="9"/>
    </row>
    <row r="1982" spans="1:14" ht="15.75">
      <c r="A1982" s="11"/>
      <c r="B1982" s="9"/>
      <c r="C1982" s="12" t="str">
        <f>IF(B1982="","",IFERROR(INDEX('Cashier Roster'!$C$5:$C$64,MATCH(B1982,'Cashier Roster'!$B$5:$B$64,0)),"Not on roster"))</f>
        <v/>
      </c>
      <c r="D1982" s="12" t="str">
        <f>IF(B1982="","",IFERROR(INDEX('Cashier Roster'!$D$5:$D$64,MATCH(B1982,'Cashier Roster'!$B$5:$B$64,0)),""))</f>
        <v/>
      </c>
      <c r="E1982" s="13"/>
      <c r="F1982" s="14"/>
      <c r="G1982" s="8" t="str">
        <f>IF(OR(B1982="",E1982=""),"",IF(E1982="No","Missed",IF(F1982="","",IF(F1982&lt;=Settings!$B$7,"On time","Late"))))</f>
        <v/>
      </c>
      <c r="H1982" s="15"/>
      <c r="I1982" s="16"/>
      <c r="J1982" s="16"/>
      <c r="K1982" s="17" t="str">
        <f>IF(J1982="","",ROUND(J1982*Settings!$B$8,2))</f>
        <v/>
      </c>
      <c r="L1982" s="16"/>
      <c r="M1982" s="8" t="str">
        <f t="shared" si="30"/>
        <v/>
      </c>
      <c r="N1982" s="9"/>
    </row>
    <row r="1983" spans="1:14" ht="15.75">
      <c r="A1983" s="11"/>
      <c r="B1983" s="9"/>
      <c r="C1983" s="12" t="str">
        <f>IF(B1983="","",IFERROR(INDEX('Cashier Roster'!$C$5:$C$64,MATCH(B1983,'Cashier Roster'!$B$5:$B$64,0)),"Not on roster"))</f>
        <v/>
      </c>
      <c r="D1983" s="12" t="str">
        <f>IF(B1983="","",IFERROR(INDEX('Cashier Roster'!$D$5:$D$64,MATCH(B1983,'Cashier Roster'!$B$5:$B$64,0)),""))</f>
        <v/>
      </c>
      <c r="E1983" s="13"/>
      <c r="F1983" s="14"/>
      <c r="G1983" s="8" t="str">
        <f>IF(OR(B1983="",E1983=""),"",IF(E1983="No","Missed",IF(F1983="","",IF(F1983&lt;=Settings!$B$7,"On time","Late"))))</f>
        <v/>
      </c>
      <c r="H1983" s="15"/>
      <c r="I1983" s="16"/>
      <c r="J1983" s="16"/>
      <c r="K1983" s="17" t="str">
        <f>IF(J1983="","",ROUND(J1983*Settings!$B$8,2))</f>
        <v/>
      </c>
      <c r="L1983" s="16"/>
      <c r="M1983" s="8" t="str">
        <f t="shared" si="30"/>
        <v/>
      </c>
      <c r="N1983" s="9"/>
    </row>
    <row r="1984" spans="1:14" ht="15.75">
      <c r="A1984" s="11"/>
      <c r="B1984" s="9"/>
      <c r="C1984" s="12" t="str">
        <f>IF(B1984="","",IFERROR(INDEX('Cashier Roster'!$C$5:$C$64,MATCH(B1984,'Cashier Roster'!$B$5:$B$64,0)),"Not on roster"))</f>
        <v/>
      </c>
      <c r="D1984" s="12" t="str">
        <f>IF(B1984="","",IFERROR(INDEX('Cashier Roster'!$D$5:$D$64,MATCH(B1984,'Cashier Roster'!$B$5:$B$64,0)),""))</f>
        <v/>
      </c>
      <c r="E1984" s="13"/>
      <c r="F1984" s="14"/>
      <c r="G1984" s="8" t="str">
        <f>IF(OR(B1984="",E1984=""),"",IF(E1984="No","Missed",IF(F1984="","",IF(F1984&lt;=Settings!$B$7,"On time","Late"))))</f>
        <v/>
      </c>
      <c r="H1984" s="15"/>
      <c r="I1984" s="16"/>
      <c r="J1984" s="16"/>
      <c r="K1984" s="17" t="str">
        <f>IF(J1984="","",ROUND(J1984*Settings!$B$8,2))</f>
        <v/>
      </c>
      <c r="L1984" s="16"/>
      <c r="M1984" s="8" t="str">
        <f t="shared" si="30"/>
        <v/>
      </c>
      <c r="N1984" s="9"/>
    </row>
    <row r="1985" spans="1:14" ht="15.75">
      <c r="A1985" s="11"/>
      <c r="B1985" s="9"/>
      <c r="C1985" s="12" t="str">
        <f>IF(B1985="","",IFERROR(INDEX('Cashier Roster'!$C$5:$C$64,MATCH(B1985,'Cashier Roster'!$B$5:$B$64,0)),"Not on roster"))</f>
        <v/>
      </c>
      <c r="D1985" s="12" t="str">
        <f>IF(B1985="","",IFERROR(INDEX('Cashier Roster'!$D$5:$D$64,MATCH(B1985,'Cashier Roster'!$B$5:$B$64,0)),""))</f>
        <v/>
      </c>
      <c r="E1985" s="13"/>
      <c r="F1985" s="14"/>
      <c r="G1985" s="8" t="str">
        <f>IF(OR(B1985="",E1985=""),"",IF(E1985="No","Missed",IF(F1985="","",IF(F1985&lt;=Settings!$B$7,"On time","Late"))))</f>
        <v/>
      </c>
      <c r="H1985" s="15"/>
      <c r="I1985" s="16"/>
      <c r="J1985" s="16"/>
      <c r="K1985" s="17" t="str">
        <f>IF(J1985="","",ROUND(J1985*Settings!$B$8,2))</f>
        <v/>
      </c>
      <c r="L1985" s="16"/>
      <c r="M1985" s="8" t="str">
        <f t="shared" si="30"/>
        <v/>
      </c>
      <c r="N1985" s="9"/>
    </row>
    <row r="1986" spans="1:14" ht="15.75">
      <c r="A1986" s="11"/>
      <c r="B1986" s="9"/>
      <c r="C1986" s="12" t="str">
        <f>IF(B1986="","",IFERROR(INDEX('Cashier Roster'!$C$5:$C$64,MATCH(B1986,'Cashier Roster'!$B$5:$B$64,0)),"Not on roster"))</f>
        <v/>
      </c>
      <c r="D1986" s="12" t="str">
        <f>IF(B1986="","",IFERROR(INDEX('Cashier Roster'!$D$5:$D$64,MATCH(B1986,'Cashier Roster'!$B$5:$B$64,0)),""))</f>
        <v/>
      </c>
      <c r="E1986" s="13"/>
      <c r="F1986" s="14"/>
      <c r="G1986" s="8" t="str">
        <f>IF(OR(B1986="",E1986=""),"",IF(E1986="No","Missed",IF(F1986="","",IF(F1986&lt;=Settings!$B$7,"On time","Late"))))</f>
        <v/>
      </c>
      <c r="H1986" s="15"/>
      <c r="I1986" s="16"/>
      <c r="J1986" s="16"/>
      <c r="K1986" s="17" t="str">
        <f>IF(J1986="","",ROUND(J1986*Settings!$B$8,2))</f>
        <v/>
      </c>
      <c r="L1986" s="16"/>
      <c r="M1986" s="8" t="str">
        <f t="shared" si="30"/>
        <v/>
      </c>
      <c r="N1986" s="9"/>
    </row>
    <row r="1987" spans="1:14" ht="15.75">
      <c r="A1987" s="11"/>
      <c r="B1987" s="9"/>
      <c r="C1987" s="12" t="str">
        <f>IF(B1987="","",IFERROR(INDEX('Cashier Roster'!$C$5:$C$64,MATCH(B1987,'Cashier Roster'!$B$5:$B$64,0)),"Not on roster"))</f>
        <v/>
      </c>
      <c r="D1987" s="12" t="str">
        <f>IF(B1987="","",IFERROR(INDEX('Cashier Roster'!$D$5:$D$64,MATCH(B1987,'Cashier Roster'!$B$5:$B$64,0)),""))</f>
        <v/>
      </c>
      <c r="E1987" s="13"/>
      <c r="F1987" s="14"/>
      <c r="G1987" s="8" t="str">
        <f>IF(OR(B1987="",E1987=""),"",IF(E1987="No","Missed",IF(F1987="","",IF(F1987&lt;=Settings!$B$7,"On time","Late"))))</f>
        <v/>
      </c>
      <c r="H1987" s="15"/>
      <c r="I1987" s="16"/>
      <c r="J1987" s="16"/>
      <c r="K1987" s="17" t="str">
        <f>IF(J1987="","",ROUND(J1987*Settings!$B$8,2))</f>
        <v/>
      </c>
      <c r="L1987" s="16"/>
      <c r="M1987" s="8" t="str">
        <f t="shared" si="30"/>
        <v/>
      </c>
      <c r="N1987" s="9"/>
    </row>
    <row r="1988" spans="1:14" ht="15.75">
      <c r="A1988" s="11"/>
      <c r="B1988" s="9"/>
      <c r="C1988" s="12" t="str">
        <f>IF(B1988="","",IFERROR(INDEX('Cashier Roster'!$C$5:$C$64,MATCH(B1988,'Cashier Roster'!$B$5:$B$64,0)),"Not on roster"))</f>
        <v/>
      </c>
      <c r="D1988" s="12" t="str">
        <f>IF(B1988="","",IFERROR(INDEX('Cashier Roster'!$D$5:$D$64,MATCH(B1988,'Cashier Roster'!$B$5:$B$64,0)),""))</f>
        <v/>
      </c>
      <c r="E1988" s="13"/>
      <c r="F1988" s="14"/>
      <c r="G1988" s="8" t="str">
        <f>IF(OR(B1988="",E1988=""),"",IF(E1988="No","Missed",IF(F1988="","",IF(F1988&lt;=Settings!$B$7,"On time","Late"))))</f>
        <v/>
      </c>
      <c r="H1988" s="15"/>
      <c r="I1988" s="16"/>
      <c r="J1988" s="16"/>
      <c r="K1988" s="17" t="str">
        <f>IF(J1988="","",ROUND(J1988*Settings!$B$8,2))</f>
        <v/>
      </c>
      <c r="L1988" s="16"/>
      <c r="M1988" s="8" t="str">
        <f t="shared" si="30"/>
        <v/>
      </c>
      <c r="N1988" s="9"/>
    </row>
    <row r="1989" spans="1:14" ht="15.75">
      <c r="A1989" s="11"/>
      <c r="B1989" s="9"/>
      <c r="C1989" s="12" t="str">
        <f>IF(B1989="","",IFERROR(INDEX('Cashier Roster'!$C$5:$C$64,MATCH(B1989,'Cashier Roster'!$B$5:$B$64,0)),"Not on roster"))</f>
        <v/>
      </c>
      <c r="D1989" s="12" t="str">
        <f>IF(B1989="","",IFERROR(INDEX('Cashier Roster'!$D$5:$D$64,MATCH(B1989,'Cashier Roster'!$B$5:$B$64,0)),""))</f>
        <v/>
      </c>
      <c r="E1989" s="13"/>
      <c r="F1989" s="14"/>
      <c r="G1989" s="8" t="str">
        <f>IF(OR(B1989="",E1989=""),"",IF(E1989="No","Missed",IF(F1989="","",IF(F1989&lt;=Settings!$B$7,"On time","Late"))))</f>
        <v/>
      </c>
      <c r="H1989" s="15"/>
      <c r="I1989" s="16"/>
      <c r="J1989" s="16"/>
      <c r="K1989" s="17" t="str">
        <f>IF(J1989="","",ROUND(J1989*Settings!$B$8,2))</f>
        <v/>
      </c>
      <c r="L1989" s="16"/>
      <c r="M1989" s="8" t="str">
        <f t="shared" ref="M1989:M2052" si="31">IF(L1989="","",IF(L1989&lt;=0,"Yes","No"))</f>
        <v/>
      </c>
      <c r="N1989" s="9"/>
    </row>
    <row r="1990" spans="1:14" ht="15.75">
      <c r="A1990" s="11"/>
      <c r="B1990" s="9"/>
      <c r="C1990" s="12" t="str">
        <f>IF(B1990="","",IFERROR(INDEX('Cashier Roster'!$C$5:$C$64,MATCH(B1990,'Cashier Roster'!$B$5:$B$64,0)),"Not on roster"))</f>
        <v/>
      </c>
      <c r="D1990" s="12" t="str">
        <f>IF(B1990="","",IFERROR(INDEX('Cashier Roster'!$D$5:$D$64,MATCH(B1990,'Cashier Roster'!$B$5:$B$64,0)),""))</f>
        <v/>
      </c>
      <c r="E1990" s="13"/>
      <c r="F1990" s="14"/>
      <c r="G1990" s="8" t="str">
        <f>IF(OR(B1990="",E1990=""),"",IF(E1990="No","Missed",IF(F1990="","",IF(F1990&lt;=Settings!$B$7,"On time","Late"))))</f>
        <v/>
      </c>
      <c r="H1990" s="15"/>
      <c r="I1990" s="16"/>
      <c r="J1990" s="16"/>
      <c r="K1990" s="17" t="str">
        <f>IF(J1990="","",ROUND(J1990*Settings!$B$8,2))</f>
        <v/>
      </c>
      <c r="L1990" s="16"/>
      <c r="M1990" s="8" t="str">
        <f t="shared" si="31"/>
        <v/>
      </c>
      <c r="N1990" s="9"/>
    </row>
    <row r="1991" spans="1:14" ht="15.75">
      <c r="A1991" s="11"/>
      <c r="B1991" s="9"/>
      <c r="C1991" s="12" t="str">
        <f>IF(B1991="","",IFERROR(INDEX('Cashier Roster'!$C$5:$C$64,MATCH(B1991,'Cashier Roster'!$B$5:$B$64,0)),"Not on roster"))</f>
        <v/>
      </c>
      <c r="D1991" s="12" t="str">
        <f>IF(B1991="","",IFERROR(INDEX('Cashier Roster'!$D$5:$D$64,MATCH(B1991,'Cashier Roster'!$B$5:$B$64,0)),""))</f>
        <v/>
      </c>
      <c r="E1991" s="13"/>
      <c r="F1991" s="14"/>
      <c r="G1991" s="8" t="str">
        <f>IF(OR(B1991="",E1991=""),"",IF(E1991="No","Missed",IF(F1991="","",IF(F1991&lt;=Settings!$B$7,"On time","Late"))))</f>
        <v/>
      </c>
      <c r="H1991" s="15"/>
      <c r="I1991" s="16"/>
      <c r="J1991" s="16"/>
      <c r="K1991" s="17" t="str">
        <f>IF(J1991="","",ROUND(J1991*Settings!$B$8,2))</f>
        <v/>
      </c>
      <c r="L1991" s="16"/>
      <c r="M1991" s="8" t="str">
        <f t="shared" si="31"/>
        <v/>
      </c>
      <c r="N1991" s="9"/>
    </row>
    <row r="1992" spans="1:14" ht="15.75">
      <c r="A1992" s="11"/>
      <c r="B1992" s="9"/>
      <c r="C1992" s="12" t="str">
        <f>IF(B1992="","",IFERROR(INDEX('Cashier Roster'!$C$5:$C$64,MATCH(B1992,'Cashier Roster'!$B$5:$B$64,0)),"Not on roster"))</f>
        <v/>
      </c>
      <c r="D1992" s="12" t="str">
        <f>IF(B1992="","",IFERROR(INDEX('Cashier Roster'!$D$5:$D$64,MATCH(B1992,'Cashier Roster'!$B$5:$B$64,0)),""))</f>
        <v/>
      </c>
      <c r="E1992" s="13"/>
      <c r="F1992" s="14"/>
      <c r="G1992" s="8" t="str">
        <f>IF(OR(B1992="",E1992=""),"",IF(E1992="No","Missed",IF(F1992="","",IF(F1992&lt;=Settings!$B$7,"On time","Late"))))</f>
        <v/>
      </c>
      <c r="H1992" s="15"/>
      <c r="I1992" s="16"/>
      <c r="J1992" s="16"/>
      <c r="K1992" s="17" t="str">
        <f>IF(J1992="","",ROUND(J1992*Settings!$B$8,2))</f>
        <v/>
      </c>
      <c r="L1992" s="16"/>
      <c r="M1992" s="8" t="str">
        <f t="shared" si="31"/>
        <v/>
      </c>
      <c r="N1992" s="9"/>
    </row>
    <row r="1993" spans="1:14" ht="15.75">
      <c r="A1993" s="11"/>
      <c r="B1993" s="9"/>
      <c r="C1993" s="12" t="str">
        <f>IF(B1993="","",IFERROR(INDEX('Cashier Roster'!$C$5:$C$64,MATCH(B1993,'Cashier Roster'!$B$5:$B$64,0)),"Not on roster"))</f>
        <v/>
      </c>
      <c r="D1993" s="12" t="str">
        <f>IF(B1993="","",IFERROR(INDEX('Cashier Roster'!$D$5:$D$64,MATCH(B1993,'Cashier Roster'!$B$5:$B$64,0)),""))</f>
        <v/>
      </c>
      <c r="E1993" s="13"/>
      <c r="F1993" s="14"/>
      <c r="G1993" s="8" t="str">
        <f>IF(OR(B1993="",E1993=""),"",IF(E1993="No","Missed",IF(F1993="","",IF(F1993&lt;=Settings!$B$7,"On time","Late"))))</f>
        <v/>
      </c>
      <c r="H1993" s="15"/>
      <c r="I1993" s="16"/>
      <c r="J1993" s="16"/>
      <c r="K1993" s="17" t="str">
        <f>IF(J1993="","",ROUND(J1993*Settings!$B$8,2))</f>
        <v/>
      </c>
      <c r="L1993" s="16"/>
      <c r="M1993" s="8" t="str">
        <f t="shared" si="31"/>
        <v/>
      </c>
      <c r="N1993" s="9"/>
    </row>
    <row r="1994" spans="1:14" ht="15.75">
      <c r="A1994" s="11"/>
      <c r="B1994" s="9"/>
      <c r="C1994" s="12" t="str">
        <f>IF(B1994="","",IFERROR(INDEX('Cashier Roster'!$C$5:$C$64,MATCH(B1994,'Cashier Roster'!$B$5:$B$64,0)),"Not on roster"))</f>
        <v/>
      </c>
      <c r="D1994" s="12" t="str">
        <f>IF(B1994="","",IFERROR(INDEX('Cashier Roster'!$D$5:$D$64,MATCH(B1994,'Cashier Roster'!$B$5:$B$64,0)),""))</f>
        <v/>
      </c>
      <c r="E1994" s="13"/>
      <c r="F1994" s="14"/>
      <c r="G1994" s="8" t="str">
        <f>IF(OR(B1994="",E1994=""),"",IF(E1994="No","Missed",IF(F1994="","",IF(F1994&lt;=Settings!$B$7,"On time","Late"))))</f>
        <v/>
      </c>
      <c r="H1994" s="15"/>
      <c r="I1994" s="16"/>
      <c r="J1994" s="16"/>
      <c r="K1994" s="17" t="str">
        <f>IF(J1994="","",ROUND(J1994*Settings!$B$8,2))</f>
        <v/>
      </c>
      <c r="L1994" s="16"/>
      <c r="M1994" s="8" t="str">
        <f t="shared" si="31"/>
        <v/>
      </c>
      <c r="N1994" s="9"/>
    </row>
    <row r="1995" spans="1:14" ht="15.75">
      <c r="A1995" s="11"/>
      <c r="B1995" s="9"/>
      <c r="C1995" s="12" t="str">
        <f>IF(B1995="","",IFERROR(INDEX('Cashier Roster'!$C$5:$C$64,MATCH(B1995,'Cashier Roster'!$B$5:$B$64,0)),"Not on roster"))</f>
        <v/>
      </c>
      <c r="D1995" s="12" t="str">
        <f>IF(B1995="","",IFERROR(INDEX('Cashier Roster'!$D$5:$D$64,MATCH(B1995,'Cashier Roster'!$B$5:$B$64,0)),""))</f>
        <v/>
      </c>
      <c r="E1995" s="13"/>
      <c r="F1995" s="14"/>
      <c r="G1995" s="8" t="str">
        <f>IF(OR(B1995="",E1995=""),"",IF(E1995="No","Missed",IF(F1995="","",IF(F1995&lt;=Settings!$B$7,"On time","Late"))))</f>
        <v/>
      </c>
      <c r="H1995" s="15"/>
      <c r="I1995" s="16"/>
      <c r="J1995" s="16"/>
      <c r="K1995" s="17" t="str">
        <f>IF(J1995="","",ROUND(J1995*Settings!$B$8,2))</f>
        <v/>
      </c>
      <c r="L1995" s="16"/>
      <c r="M1995" s="8" t="str">
        <f t="shared" si="31"/>
        <v/>
      </c>
      <c r="N1995" s="9"/>
    </row>
    <row r="1996" spans="1:14" ht="15.75">
      <c r="A1996" s="11"/>
      <c r="B1996" s="9"/>
      <c r="C1996" s="12" t="str">
        <f>IF(B1996="","",IFERROR(INDEX('Cashier Roster'!$C$5:$C$64,MATCH(B1996,'Cashier Roster'!$B$5:$B$64,0)),"Not on roster"))</f>
        <v/>
      </c>
      <c r="D1996" s="12" t="str">
        <f>IF(B1996="","",IFERROR(INDEX('Cashier Roster'!$D$5:$D$64,MATCH(B1996,'Cashier Roster'!$B$5:$B$64,0)),""))</f>
        <v/>
      </c>
      <c r="E1996" s="13"/>
      <c r="F1996" s="14"/>
      <c r="G1996" s="8" t="str">
        <f>IF(OR(B1996="",E1996=""),"",IF(E1996="No","Missed",IF(F1996="","",IF(F1996&lt;=Settings!$B$7,"On time","Late"))))</f>
        <v/>
      </c>
      <c r="H1996" s="15"/>
      <c r="I1996" s="16"/>
      <c r="J1996" s="16"/>
      <c r="K1996" s="17" t="str">
        <f>IF(J1996="","",ROUND(J1996*Settings!$B$8,2))</f>
        <v/>
      </c>
      <c r="L1996" s="16"/>
      <c r="M1996" s="8" t="str">
        <f t="shared" si="31"/>
        <v/>
      </c>
      <c r="N1996" s="9"/>
    </row>
    <row r="1997" spans="1:14" ht="15.75">
      <c r="A1997" s="11"/>
      <c r="B1997" s="9"/>
      <c r="C1997" s="12" t="str">
        <f>IF(B1997="","",IFERROR(INDEX('Cashier Roster'!$C$5:$C$64,MATCH(B1997,'Cashier Roster'!$B$5:$B$64,0)),"Not on roster"))</f>
        <v/>
      </c>
      <c r="D1997" s="12" t="str">
        <f>IF(B1997="","",IFERROR(INDEX('Cashier Roster'!$D$5:$D$64,MATCH(B1997,'Cashier Roster'!$B$5:$B$64,0)),""))</f>
        <v/>
      </c>
      <c r="E1997" s="13"/>
      <c r="F1997" s="14"/>
      <c r="G1997" s="8" t="str">
        <f>IF(OR(B1997="",E1997=""),"",IF(E1997="No","Missed",IF(F1997="","",IF(F1997&lt;=Settings!$B$7,"On time","Late"))))</f>
        <v/>
      </c>
      <c r="H1997" s="15"/>
      <c r="I1997" s="16"/>
      <c r="J1997" s="16"/>
      <c r="K1997" s="17" t="str">
        <f>IF(J1997="","",ROUND(J1997*Settings!$B$8,2))</f>
        <v/>
      </c>
      <c r="L1997" s="16"/>
      <c r="M1997" s="8" t="str">
        <f t="shared" si="31"/>
        <v/>
      </c>
      <c r="N1997" s="9"/>
    </row>
    <row r="1998" spans="1:14" ht="15.75">
      <c r="A1998" s="11"/>
      <c r="B1998" s="9"/>
      <c r="C1998" s="12" t="str">
        <f>IF(B1998="","",IFERROR(INDEX('Cashier Roster'!$C$5:$C$64,MATCH(B1998,'Cashier Roster'!$B$5:$B$64,0)),"Not on roster"))</f>
        <v/>
      </c>
      <c r="D1998" s="12" t="str">
        <f>IF(B1998="","",IFERROR(INDEX('Cashier Roster'!$D$5:$D$64,MATCH(B1998,'Cashier Roster'!$B$5:$B$64,0)),""))</f>
        <v/>
      </c>
      <c r="E1998" s="13"/>
      <c r="F1998" s="14"/>
      <c r="G1998" s="8" t="str">
        <f>IF(OR(B1998="",E1998=""),"",IF(E1998="No","Missed",IF(F1998="","",IF(F1998&lt;=Settings!$B$7,"On time","Late"))))</f>
        <v/>
      </c>
      <c r="H1998" s="15"/>
      <c r="I1998" s="16"/>
      <c r="J1998" s="16"/>
      <c r="K1998" s="17" t="str">
        <f>IF(J1998="","",ROUND(J1998*Settings!$B$8,2))</f>
        <v/>
      </c>
      <c r="L1998" s="16"/>
      <c r="M1998" s="8" t="str">
        <f t="shared" si="31"/>
        <v/>
      </c>
      <c r="N1998" s="9"/>
    </row>
    <row r="1999" spans="1:14" ht="15.75">
      <c r="A1999" s="11"/>
      <c r="B1999" s="9"/>
      <c r="C1999" s="12" t="str">
        <f>IF(B1999="","",IFERROR(INDEX('Cashier Roster'!$C$5:$C$64,MATCH(B1999,'Cashier Roster'!$B$5:$B$64,0)),"Not on roster"))</f>
        <v/>
      </c>
      <c r="D1999" s="12" t="str">
        <f>IF(B1999="","",IFERROR(INDEX('Cashier Roster'!$D$5:$D$64,MATCH(B1999,'Cashier Roster'!$B$5:$B$64,0)),""))</f>
        <v/>
      </c>
      <c r="E1999" s="13"/>
      <c r="F1999" s="14"/>
      <c r="G1999" s="8" t="str">
        <f>IF(OR(B1999="",E1999=""),"",IF(E1999="No","Missed",IF(F1999="","",IF(F1999&lt;=Settings!$B$7,"On time","Late"))))</f>
        <v/>
      </c>
      <c r="H1999" s="15"/>
      <c r="I1999" s="16"/>
      <c r="J1999" s="16"/>
      <c r="K1999" s="17" t="str">
        <f>IF(J1999="","",ROUND(J1999*Settings!$B$8,2))</f>
        <v/>
      </c>
      <c r="L1999" s="16"/>
      <c r="M1999" s="8" t="str">
        <f t="shared" si="31"/>
        <v/>
      </c>
      <c r="N1999" s="9"/>
    </row>
    <row r="2000" spans="1:14" ht="15.75">
      <c r="A2000" s="11"/>
      <c r="B2000" s="9"/>
      <c r="C2000" s="12" t="str">
        <f>IF(B2000="","",IFERROR(INDEX('Cashier Roster'!$C$5:$C$64,MATCH(B2000,'Cashier Roster'!$B$5:$B$64,0)),"Not on roster"))</f>
        <v/>
      </c>
      <c r="D2000" s="12" t="str">
        <f>IF(B2000="","",IFERROR(INDEX('Cashier Roster'!$D$5:$D$64,MATCH(B2000,'Cashier Roster'!$B$5:$B$64,0)),""))</f>
        <v/>
      </c>
      <c r="E2000" s="13"/>
      <c r="F2000" s="14"/>
      <c r="G2000" s="8" t="str">
        <f>IF(OR(B2000="",E2000=""),"",IF(E2000="No","Missed",IF(F2000="","",IF(F2000&lt;=Settings!$B$7,"On time","Late"))))</f>
        <v/>
      </c>
      <c r="H2000" s="15"/>
      <c r="I2000" s="16"/>
      <c r="J2000" s="16"/>
      <c r="K2000" s="17" t="str">
        <f>IF(J2000="","",ROUND(J2000*Settings!$B$8,2))</f>
        <v/>
      </c>
      <c r="L2000" s="16"/>
      <c r="M2000" s="8" t="str">
        <f t="shared" si="31"/>
        <v/>
      </c>
      <c r="N2000" s="9"/>
    </row>
    <row r="2001" spans="1:14" ht="15.75">
      <c r="A2001" s="11"/>
      <c r="B2001" s="9"/>
      <c r="C2001" s="12" t="str">
        <f>IF(B2001="","",IFERROR(INDEX('Cashier Roster'!$C$5:$C$64,MATCH(B2001,'Cashier Roster'!$B$5:$B$64,0)),"Not on roster"))</f>
        <v/>
      </c>
      <c r="D2001" s="12" t="str">
        <f>IF(B2001="","",IFERROR(INDEX('Cashier Roster'!$D$5:$D$64,MATCH(B2001,'Cashier Roster'!$B$5:$B$64,0)),""))</f>
        <v/>
      </c>
      <c r="E2001" s="13"/>
      <c r="F2001" s="14"/>
      <c r="G2001" s="8" t="str">
        <f>IF(OR(B2001="",E2001=""),"",IF(E2001="No","Missed",IF(F2001="","",IF(F2001&lt;=Settings!$B$7,"On time","Late"))))</f>
        <v/>
      </c>
      <c r="H2001" s="15"/>
      <c r="I2001" s="16"/>
      <c r="J2001" s="16"/>
      <c r="K2001" s="17" t="str">
        <f>IF(J2001="","",ROUND(J2001*Settings!$B$8,2))</f>
        <v/>
      </c>
      <c r="L2001" s="16"/>
      <c r="M2001" s="8" t="str">
        <f t="shared" si="31"/>
        <v/>
      </c>
      <c r="N2001" s="9"/>
    </row>
    <row r="2002" spans="1:14" ht="15.75">
      <c r="A2002" s="11"/>
      <c r="B2002" s="9"/>
      <c r="C2002" s="12" t="str">
        <f>IF(B2002="","",IFERROR(INDEX('Cashier Roster'!$C$5:$C$64,MATCH(B2002,'Cashier Roster'!$B$5:$B$64,0)),"Not on roster"))</f>
        <v/>
      </c>
      <c r="D2002" s="12" t="str">
        <f>IF(B2002="","",IFERROR(INDEX('Cashier Roster'!$D$5:$D$64,MATCH(B2002,'Cashier Roster'!$B$5:$B$64,0)),""))</f>
        <v/>
      </c>
      <c r="E2002" s="13"/>
      <c r="F2002" s="14"/>
      <c r="G2002" s="8" t="str">
        <f>IF(OR(B2002="",E2002=""),"",IF(E2002="No","Missed",IF(F2002="","",IF(F2002&lt;=Settings!$B$7,"On time","Late"))))</f>
        <v/>
      </c>
      <c r="H2002" s="15"/>
      <c r="I2002" s="16"/>
      <c r="J2002" s="16"/>
      <c r="K2002" s="17" t="str">
        <f>IF(J2002="","",ROUND(J2002*Settings!$B$8,2))</f>
        <v/>
      </c>
      <c r="L2002" s="16"/>
      <c r="M2002" s="8" t="str">
        <f t="shared" si="31"/>
        <v/>
      </c>
      <c r="N2002" s="9"/>
    </row>
    <row r="2003" spans="1:14" ht="15.75">
      <c r="A2003" s="11"/>
      <c r="B2003" s="9"/>
      <c r="C2003" s="12" t="str">
        <f>IF(B2003="","",IFERROR(INDEX('Cashier Roster'!$C$5:$C$64,MATCH(B2003,'Cashier Roster'!$B$5:$B$64,0)),"Not on roster"))</f>
        <v/>
      </c>
      <c r="D2003" s="12" t="str">
        <f>IF(B2003="","",IFERROR(INDEX('Cashier Roster'!$D$5:$D$64,MATCH(B2003,'Cashier Roster'!$B$5:$B$64,0)),""))</f>
        <v/>
      </c>
      <c r="E2003" s="13"/>
      <c r="F2003" s="14"/>
      <c r="G2003" s="8" t="str">
        <f>IF(OR(B2003="",E2003=""),"",IF(E2003="No","Missed",IF(F2003="","",IF(F2003&lt;=Settings!$B$7,"On time","Late"))))</f>
        <v/>
      </c>
      <c r="H2003" s="15"/>
      <c r="I2003" s="16"/>
      <c r="J2003" s="16"/>
      <c r="K2003" s="17" t="str">
        <f>IF(J2003="","",ROUND(J2003*Settings!$B$8,2))</f>
        <v/>
      </c>
      <c r="L2003" s="16"/>
      <c r="M2003" s="8" t="str">
        <f t="shared" si="31"/>
        <v/>
      </c>
      <c r="N2003" s="9"/>
    </row>
    <row r="2004" spans="1:14" ht="15.75">
      <c r="A2004" s="11"/>
      <c r="B2004" s="9"/>
      <c r="C2004" s="12" t="str">
        <f>IF(B2004="","",IFERROR(INDEX('Cashier Roster'!$C$5:$C$64,MATCH(B2004,'Cashier Roster'!$B$5:$B$64,0)),"Not on roster"))</f>
        <v/>
      </c>
      <c r="D2004" s="12" t="str">
        <f>IF(B2004="","",IFERROR(INDEX('Cashier Roster'!$D$5:$D$64,MATCH(B2004,'Cashier Roster'!$B$5:$B$64,0)),""))</f>
        <v/>
      </c>
      <c r="E2004" s="13"/>
      <c r="F2004" s="14"/>
      <c r="G2004" s="8" t="str">
        <f>IF(OR(B2004="",E2004=""),"",IF(E2004="No","Missed",IF(F2004="","",IF(F2004&lt;=Settings!$B$7,"On time","Late"))))</f>
        <v/>
      </c>
      <c r="H2004" s="15"/>
      <c r="I2004" s="16"/>
      <c r="J2004" s="16"/>
      <c r="K2004" s="17" t="str">
        <f>IF(J2004="","",ROUND(J2004*Settings!$B$8,2))</f>
        <v/>
      </c>
      <c r="L2004" s="16"/>
      <c r="M2004" s="8" t="str">
        <f t="shared" si="31"/>
        <v/>
      </c>
      <c r="N2004" s="9"/>
    </row>
    <row r="2005" spans="1:14" ht="15.75">
      <c r="A2005" s="11"/>
      <c r="B2005" s="9"/>
      <c r="C2005" s="12" t="str">
        <f>IF(B2005="","",IFERROR(INDEX('Cashier Roster'!$C$5:$C$64,MATCH(B2005,'Cashier Roster'!$B$5:$B$64,0)),"Not on roster"))</f>
        <v/>
      </c>
      <c r="D2005" s="12" t="str">
        <f>IF(B2005="","",IFERROR(INDEX('Cashier Roster'!$D$5:$D$64,MATCH(B2005,'Cashier Roster'!$B$5:$B$64,0)),""))</f>
        <v/>
      </c>
      <c r="E2005" s="13"/>
      <c r="F2005" s="14"/>
      <c r="G2005" s="8" t="str">
        <f>IF(OR(B2005="",E2005=""),"",IF(E2005="No","Missed",IF(F2005="","",IF(F2005&lt;=Settings!$B$7,"On time","Late"))))</f>
        <v/>
      </c>
      <c r="H2005" s="15"/>
      <c r="I2005" s="16"/>
      <c r="J2005" s="16"/>
      <c r="K2005" s="17" t="str">
        <f>IF(J2005="","",ROUND(J2005*Settings!$B$8,2))</f>
        <v/>
      </c>
      <c r="L2005" s="16"/>
      <c r="M2005" s="8" t="str">
        <f t="shared" si="31"/>
        <v/>
      </c>
      <c r="N2005" s="9"/>
    </row>
    <row r="2006" spans="1:14" ht="15.75">
      <c r="A2006" s="11"/>
      <c r="B2006" s="9"/>
      <c r="C2006" s="12" t="str">
        <f>IF(B2006="","",IFERROR(INDEX('Cashier Roster'!$C$5:$C$64,MATCH(B2006,'Cashier Roster'!$B$5:$B$64,0)),"Not on roster"))</f>
        <v/>
      </c>
      <c r="D2006" s="12" t="str">
        <f>IF(B2006="","",IFERROR(INDEX('Cashier Roster'!$D$5:$D$64,MATCH(B2006,'Cashier Roster'!$B$5:$B$64,0)),""))</f>
        <v/>
      </c>
      <c r="E2006" s="13"/>
      <c r="F2006" s="14"/>
      <c r="G2006" s="8" t="str">
        <f>IF(OR(B2006="",E2006=""),"",IF(E2006="No","Missed",IF(F2006="","",IF(F2006&lt;=Settings!$B$7,"On time","Late"))))</f>
        <v/>
      </c>
      <c r="H2006" s="15"/>
      <c r="I2006" s="16"/>
      <c r="J2006" s="16"/>
      <c r="K2006" s="17" t="str">
        <f>IF(J2006="","",ROUND(J2006*Settings!$B$8,2))</f>
        <v/>
      </c>
      <c r="L2006" s="16"/>
      <c r="M2006" s="8" t="str">
        <f t="shared" si="31"/>
        <v/>
      </c>
      <c r="N2006" s="9"/>
    </row>
    <row r="2007" spans="1:14" ht="15.75">
      <c r="A2007" s="11"/>
      <c r="B2007" s="9"/>
      <c r="C2007" s="12" t="str">
        <f>IF(B2007="","",IFERROR(INDEX('Cashier Roster'!$C$5:$C$64,MATCH(B2007,'Cashier Roster'!$B$5:$B$64,0)),"Not on roster"))</f>
        <v/>
      </c>
      <c r="D2007" s="12" t="str">
        <f>IF(B2007="","",IFERROR(INDEX('Cashier Roster'!$D$5:$D$64,MATCH(B2007,'Cashier Roster'!$B$5:$B$64,0)),""))</f>
        <v/>
      </c>
      <c r="E2007" s="13"/>
      <c r="F2007" s="14"/>
      <c r="G2007" s="8" t="str">
        <f>IF(OR(B2007="",E2007=""),"",IF(E2007="No","Missed",IF(F2007="","",IF(F2007&lt;=Settings!$B$7,"On time","Late"))))</f>
        <v/>
      </c>
      <c r="H2007" s="15"/>
      <c r="I2007" s="16"/>
      <c r="J2007" s="16"/>
      <c r="K2007" s="17" t="str">
        <f>IF(J2007="","",ROUND(J2007*Settings!$B$8,2))</f>
        <v/>
      </c>
      <c r="L2007" s="16"/>
      <c r="M2007" s="8" t="str">
        <f t="shared" si="31"/>
        <v/>
      </c>
      <c r="N2007" s="9"/>
    </row>
    <row r="2008" spans="1:14" ht="15.75">
      <c r="A2008" s="11"/>
      <c r="B2008" s="9"/>
      <c r="C2008" s="12" t="str">
        <f>IF(B2008="","",IFERROR(INDEX('Cashier Roster'!$C$5:$C$64,MATCH(B2008,'Cashier Roster'!$B$5:$B$64,0)),"Not on roster"))</f>
        <v/>
      </c>
      <c r="D2008" s="12" t="str">
        <f>IF(B2008="","",IFERROR(INDEX('Cashier Roster'!$D$5:$D$64,MATCH(B2008,'Cashier Roster'!$B$5:$B$64,0)),""))</f>
        <v/>
      </c>
      <c r="E2008" s="13"/>
      <c r="F2008" s="14"/>
      <c r="G2008" s="8" t="str">
        <f>IF(OR(B2008="",E2008=""),"",IF(E2008="No","Missed",IF(F2008="","",IF(F2008&lt;=Settings!$B$7,"On time","Late"))))</f>
        <v/>
      </c>
      <c r="H2008" s="15"/>
      <c r="I2008" s="16"/>
      <c r="J2008" s="16"/>
      <c r="K2008" s="17" t="str">
        <f>IF(J2008="","",ROUND(J2008*Settings!$B$8,2))</f>
        <v/>
      </c>
      <c r="L2008" s="16"/>
      <c r="M2008" s="8" t="str">
        <f t="shared" si="31"/>
        <v/>
      </c>
      <c r="N2008" s="9"/>
    </row>
    <row r="2009" spans="1:14" ht="15.75">
      <c r="A2009" s="11"/>
      <c r="B2009" s="9"/>
      <c r="C2009" s="12" t="str">
        <f>IF(B2009="","",IFERROR(INDEX('Cashier Roster'!$C$5:$C$64,MATCH(B2009,'Cashier Roster'!$B$5:$B$64,0)),"Not on roster"))</f>
        <v/>
      </c>
      <c r="D2009" s="12" t="str">
        <f>IF(B2009="","",IFERROR(INDEX('Cashier Roster'!$D$5:$D$64,MATCH(B2009,'Cashier Roster'!$B$5:$B$64,0)),""))</f>
        <v/>
      </c>
      <c r="E2009" s="13"/>
      <c r="F2009" s="14"/>
      <c r="G2009" s="8" t="str">
        <f>IF(OR(B2009="",E2009=""),"",IF(E2009="No","Missed",IF(F2009="","",IF(F2009&lt;=Settings!$B$7,"On time","Late"))))</f>
        <v/>
      </c>
      <c r="H2009" s="15"/>
      <c r="I2009" s="16"/>
      <c r="J2009" s="16"/>
      <c r="K2009" s="17" t="str">
        <f>IF(J2009="","",ROUND(J2009*Settings!$B$8,2))</f>
        <v/>
      </c>
      <c r="L2009" s="16"/>
      <c r="M2009" s="8" t="str">
        <f t="shared" si="31"/>
        <v/>
      </c>
      <c r="N2009" s="9"/>
    </row>
    <row r="2010" spans="1:14" ht="15.75">
      <c r="A2010" s="11"/>
      <c r="B2010" s="9"/>
      <c r="C2010" s="12" t="str">
        <f>IF(B2010="","",IFERROR(INDEX('Cashier Roster'!$C$5:$C$64,MATCH(B2010,'Cashier Roster'!$B$5:$B$64,0)),"Not on roster"))</f>
        <v/>
      </c>
      <c r="D2010" s="12" t="str">
        <f>IF(B2010="","",IFERROR(INDEX('Cashier Roster'!$D$5:$D$64,MATCH(B2010,'Cashier Roster'!$B$5:$B$64,0)),""))</f>
        <v/>
      </c>
      <c r="E2010" s="13"/>
      <c r="F2010" s="14"/>
      <c r="G2010" s="8" t="str">
        <f>IF(OR(B2010="",E2010=""),"",IF(E2010="No","Missed",IF(F2010="","",IF(F2010&lt;=Settings!$B$7,"On time","Late"))))</f>
        <v/>
      </c>
      <c r="H2010" s="15"/>
      <c r="I2010" s="16"/>
      <c r="J2010" s="16"/>
      <c r="K2010" s="17" t="str">
        <f>IF(J2010="","",ROUND(J2010*Settings!$B$8,2))</f>
        <v/>
      </c>
      <c r="L2010" s="16"/>
      <c r="M2010" s="8" t="str">
        <f t="shared" si="31"/>
        <v/>
      </c>
      <c r="N2010" s="9"/>
    </row>
    <row r="2011" spans="1:14" ht="15.75">
      <c r="A2011" s="11"/>
      <c r="B2011" s="9"/>
      <c r="C2011" s="12" t="str">
        <f>IF(B2011="","",IFERROR(INDEX('Cashier Roster'!$C$5:$C$64,MATCH(B2011,'Cashier Roster'!$B$5:$B$64,0)),"Not on roster"))</f>
        <v/>
      </c>
      <c r="D2011" s="12" t="str">
        <f>IF(B2011="","",IFERROR(INDEX('Cashier Roster'!$D$5:$D$64,MATCH(B2011,'Cashier Roster'!$B$5:$B$64,0)),""))</f>
        <v/>
      </c>
      <c r="E2011" s="13"/>
      <c r="F2011" s="14"/>
      <c r="G2011" s="8" t="str">
        <f>IF(OR(B2011="",E2011=""),"",IF(E2011="No","Missed",IF(F2011="","",IF(F2011&lt;=Settings!$B$7,"On time","Late"))))</f>
        <v/>
      </c>
      <c r="H2011" s="15"/>
      <c r="I2011" s="16"/>
      <c r="J2011" s="16"/>
      <c r="K2011" s="17" t="str">
        <f>IF(J2011="","",ROUND(J2011*Settings!$B$8,2))</f>
        <v/>
      </c>
      <c r="L2011" s="16"/>
      <c r="M2011" s="8" t="str">
        <f t="shared" si="31"/>
        <v/>
      </c>
      <c r="N2011" s="9"/>
    </row>
    <row r="2012" spans="1:14" ht="15.75">
      <c r="A2012" s="11"/>
      <c r="B2012" s="9"/>
      <c r="C2012" s="12" t="str">
        <f>IF(B2012="","",IFERROR(INDEX('Cashier Roster'!$C$5:$C$64,MATCH(B2012,'Cashier Roster'!$B$5:$B$64,0)),"Not on roster"))</f>
        <v/>
      </c>
      <c r="D2012" s="12" t="str">
        <f>IF(B2012="","",IFERROR(INDEX('Cashier Roster'!$D$5:$D$64,MATCH(B2012,'Cashier Roster'!$B$5:$B$64,0)),""))</f>
        <v/>
      </c>
      <c r="E2012" s="13"/>
      <c r="F2012" s="14"/>
      <c r="G2012" s="8" t="str">
        <f>IF(OR(B2012="",E2012=""),"",IF(E2012="No","Missed",IF(F2012="","",IF(F2012&lt;=Settings!$B$7,"On time","Late"))))</f>
        <v/>
      </c>
      <c r="H2012" s="15"/>
      <c r="I2012" s="16"/>
      <c r="J2012" s="16"/>
      <c r="K2012" s="17" t="str">
        <f>IF(J2012="","",ROUND(J2012*Settings!$B$8,2))</f>
        <v/>
      </c>
      <c r="L2012" s="16"/>
      <c r="M2012" s="8" t="str">
        <f t="shared" si="31"/>
        <v/>
      </c>
      <c r="N2012" s="9"/>
    </row>
    <row r="2013" spans="1:14" ht="15.75">
      <c r="A2013" s="11"/>
      <c r="B2013" s="9"/>
      <c r="C2013" s="12" t="str">
        <f>IF(B2013="","",IFERROR(INDEX('Cashier Roster'!$C$5:$C$64,MATCH(B2013,'Cashier Roster'!$B$5:$B$64,0)),"Not on roster"))</f>
        <v/>
      </c>
      <c r="D2013" s="12" t="str">
        <f>IF(B2013="","",IFERROR(INDEX('Cashier Roster'!$D$5:$D$64,MATCH(B2013,'Cashier Roster'!$B$5:$B$64,0)),""))</f>
        <v/>
      </c>
      <c r="E2013" s="13"/>
      <c r="F2013" s="14"/>
      <c r="G2013" s="8" t="str">
        <f>IF(OR(B2013="",E2013=""),"",IF(E2013="No","Missed",IF(F2013="","",IF(F2013&lt;=Settings!$B$7,"On time","Late"))))</f>
        <v/>
      </c>
      <c r="H2013" s="15"/>
      <c r="I2013" s="16"/>
      <c r="J2013" s="16"/>
      <c r="K2013" s="17" t="str">
        <f>IF(J2013="","",ROUND(J2013*Settings!$B$8,2))</f>
        <v/>
      </c>
      <c r="L2013" s="16"/>
      <c r="M2013" s="8" t="str">
        <f t="shared" si="31"/>
        <v/>
      </c>
      <c r="N2013" s="9"/>
    </row>
    <row r="2014" spans="1:14" ht="15.75">
      <c r="A2014" s="11"/>
      <c r="B2014" s="9"/>
      <c r="C2014" s="12" t="str">
        <f>IF(B2014="","",IFERROR(INDEX('Cashier Roster'!$C$5:$C$64,MATCH(B2014,'Cashier Roster'!$B$5:$B$64,0)),"Not on roster"))</f>
        <v/>
      </c>
      <c r="D2014" s="12" t="str">
        <f>IF(B2014="","",IFERROR(INDEX('Cashier Roster'!$D$5:$D$64,MATCH(B2014,'Cashier Roster'!$B$5:$B$64,0)),""))</f>
        <v/>
      </c>
      <c r="E2014" s="13"/>
      <c r="F2014" s="14"/>
      <c r="G2014" s="8" t="str">
        <f>IF(OR(B2014="",E2014=""),"",IF(E2014="No","Missed",IF(F2014="","",IF(F2014&lt;=Settings!$B$7,"On time","Late"))))</f>
        <v/>
      </c>
      <c r="H2014" s="15"/>
      <c r="I2014" s="16"/>
      <c r="J2014" s="16"/>
      <c r="K2014" s="17" t="str">
        <f>IF(J2014="","",ROUND(J2014*Settings!$B$8,2))</f>
        <v/>
      </c>
      <c r="L2014" s="16"/>
      <c r="M2014" s="8" t="str">
        <f t="shared" si="31"/>
        <v/>
      </c>
      <c r="N2014" s="9"/>
    </row>
    <row r="2015" spans="1:14" ht="15.75">
      <c r="A2015" s="11"/>
      <c r="B2015" s="9"/>
      <c r="C2015" s="12" t="str">
        <f>IF(B2015="","",IFERROR(INDEX('Cashier Roster'!$C$5:$C$64,MATCH(B2015,'Cashier Roster'!$B$5:$B$64,0)),"Not on roster"))</f>
        <v/>
      </c>
      <c r="D2015" s="12" t="str">
        <f>IF(B2015="","",IFERROR(INDEX('Cashier Roster'!$D$5:$D$64,MATCH(B2015,'Cashier Roster'!$B$5:$B$64,0)),""))</f>
        <v/>
      </c>
      <c r="E2015" s="13"/>
      <c r="F2015" s="14"/>
      <c r="G2015" s="8" t="str">
        <f>IF(OR(B2015="",E2015=""),"",IF(E2015="No","Missed",IF(F2015="","",IF(F2015&lt;=Settings!$B$7,"On time","Late"))))</f>
        <v/>
      </c>
      <c r="H2015" s="15"/>
      <c r="I2015" s="16"/>
      <c r="J2015" s="16"/>
      <c r="K2015" s="17" t="str">
        <f>IF(J2015="","",ROUND(J2015*Settings!$B$8,2))</f>
        <v/>
      </c>
      <c r="L2015" s="16"/>
      <c r="M2015" s="8" t="str">
        <f t="shared" si="31"/>
        <v/>
      </c>
      <c r="N2015" s="9"/>
    </row>
    <row r="2016" spans="1:14" ht="15.75">
      <c r="A2016" s="11"/>
      <c r="B2016" s="9"/>
      <c r="C2016" s="12" t="str">
        <f>IF(B2016="","",IFERROR(INDEX('Cashier Roster'!$C$5:$C$64,MATCH(B2016,'Cashier Roster'!$B$5:$B$64,0)),"Not on roster"))</f>
        <v/>
      </c>
      <c r="D2016" s="12" t="str">
        <f>IF(B2016="","",IFERROR(INDEX('Cashier Roster'!$D$5:$D$64,MATCH(B2016,'Cashier Roster'!$B$5:$B$64,0)),""))</f>
        <v/>
      </c>
      <c r="E2016" s="13"/>
      <c r="F2016" s="14"/>
      <c r="G2016" s="8" t="str">
        <f>IF(OR(B2016="",E2016=""),"",IF(E2016="No","Missed",IF(F2016="","",IF(F2016&lt;=Settings!$B$7,"On time","Late"))))</f>
        <v/>
      </c>
      <c r="H2016" s="15"/>
      <c r="I2016" s="16"/>
      <c r="J2016" s="16"/>
      <c r="K2016" s="17" t="str">
        <f>IF(J2016="","",ROUND(J2016*Settings!$B$8,2))</f>
        <v/>
      </c>
      <c r="L2016" s="16"/>
      <c r="M2016" s="8" t="str">
        <f t="shared" si="31"/>
        <v/>
      </c>
      <c r="N2016" s="9"/>
    </row>
    <row r="2017" spans="1:14" ht="15.75">
      <c r="A2017" s="11"/>
      <c r="B2017" s="9"/>
      <c r="C2017" s="12" t="str">
        <f>IF(B2017="","",IFERROR(INDEX('Cashier Roster'!$C$5:$C$64,MATCH(B2017,'Cashier Roster'!$B$5:$B$64,0)),"Not on roster"))</f>
        <v/>
      </c>
      <c r="D2017" s="12" t="str">
        <f>IF(B2017="","",IFERROR(INDEX('Cashier Roster'!$D$5:$D$64,MATCH(B2017,'Cashier Roster'!$B$5:$B$64,0)),""))</f>
        <v/>
      </c>
      <c r="E2017" s="13"/>
      <c r="F2017" s="14"/>
      <c r="G2017" s="8" t="str">
        <f>IF(OR(B2017="",E2017=""),"",IF(E2017="No","Missed",IF(F2017="","",IF(F2017&lt;=Settings!$B$7,"On time","Late"))))</f>
        <v/>
      </c>
      <c r="H2017" s="15"/>
      <c r="I2017" s="16"/>
      <c r="J2017" s="16"/>
      <c r="K2017" s="17" t="str">
        <f>IF(J2017="","",ROUND(J2017*Settings!$B$8,2))</f>
        <v/>
      </c>
      <c r="L2017" s="16"/>
      <c r="M2017" s="8" t="str">
        <f t="shared" si="31"/>
        <v/>
      </c>
      <c r="N2017" s="9"/>
    </row>
    <row r="2018" spans="1:14" ht="15.75">
      <c r="A2018" s="11"/>
      <c r="B2018" s="9"/>
      <c r="C2018" s="12" t="str">
        <f>IF(B2018="","",IFERROR(INDEX('Cashier Roster'!$C$5:$C$64,MATCH(B2018,'Cashier Roster'!$B$5:$B$64,0)),"Not on roster"))</f>
        <v/>
      </c>
      <c r="D2018" s="12" t="str">
        <f>IF(B2018="","",IFERROR(INDEX('Cashier Roster'!$D$5:$D$64,MATCH(B2018,'Cashier Roster'!$B$5:$B$64,0)),""))</f>
        <v/>
      </c>
      <c r="E2018" s="13"/>
      <c r="F2018" s="14"/>
      <c r="G2018" s="8" t="str">
        <f>IF(OR(B2018="",E2018=""),"",IF(E2018="No","Missed",IF(F2018="","",IF(F2018&lt;=Settings!$B$7,"On time","Late"))))</f>
        <v/>
      </c>
      <c r="H2018" s="15"/>
      <c r="I2018" s="16"/>
      <c r="J2018" s="16"/>
      <c r="K2018" s="17" t="str">
        <f>IF(J2018="","",ROUND(J2018*Settings!$B$8,2))</f>
        <v/>
      </c>
      <c r="L2018" s="16"/>
      <c r="M2018" s="8" t="str">
        <f t="shared" si="31"/>
        <v/>
      </c>
      <c r="N2018" s="9"/>
    </row>
    <row r="2019" spans="1:14" ht="15.75">
      <c r="A2019" s="11"/>
      <c r="B2019" s="9"/>
      <c r="C2019" s="12" t="str">
        <f>IF(B2019="","",IFERROR(INDEX('Cashier Roster'!$C$5:$C$64,MATCH(B2019,'Cashier Roster'!$B$5:$B$64,0)),"Not on roster"))</f>
        <v/>
      </c>
      <c r="D2019" s="12" t="str">
        <f>IF(B2019="","",IFERROR(INDEX('Cashier Roster'!$D$5:$D$64,MATCH(B2019,'Cashier Roster'!$B$5:$B$64,0)),""))</f>
        <v/>
      </c>
      <c r="E2019" s="13"/>
      <c r="F2019" s="14"/>
      <c r="G2019" s="8" t="str">
        <f>IF(OR(B2019="",E2019=""),"",IF(E2019="No","Missed",IF(F2019="","",IF(F2019&lt;=Settings!$B$7,"On time","Late"))))</f>
        <v/>
      </c>
      <c r="H2019" s="15"/>
      <c r="I2019" s="16"/>
      <c r="J2019" s="16"/>
      <c r="K2019" s="17" t="str">
        <f>IF(J2019="","",ROUND(J2019*Settings!$B$8,2))</f>
        <v/>
      </c>
      <c r="L2019" s="16"/>
      <c r="M2019" s="8" t="str">
        <f t="shared" si="31"/>
        <v/>
      </c>
      <c r="N2019" s="9"/>
    </row>
    <row r="2020" spans="1:14" ht="15.75">
      <c r="A2020" s="11"/>
      <c r="B2020" s="9"/>
      <c r="C2020" s="12" t="str">
        <f>IF(B2020="","",IFERROR(INDEX('Cashier Roster'!$C$5:$C$64,MATCH(B2020,'Cashier Roster'!$B$5:$B$64,0)),"Not on roster"))</f>
        <v/>
      </c>
      <c r="D2020" s="12" t="str">
        <f>IF(B2020="","",IFERROR(INDEX('Cashier Roster'!$D$5:$D$64,MATCH(B2020,'Cashier Roster'!$B$5:$B$64,0)),""))</f>
        <v/>
      </c>
      <c r="E2020" s="13"/>
      <c r="F2020" s="14"/>
      <c r="G2020" s="8" t="str">
        <f>IF(OR(B2020="",E2020=""),"",IF(E2020="No","Missed",IF(F2020="","",IF(F2020&lt;=Settings!$B$7,"On time","Late"))))</f>
        <v/>
      </c>
      <c r="H2020" s="15"/>
      <c r="I2020" s="16"/>
      <c r="J2020" s="16"/>
      <c r="K2020" s="17" t="str">
        <f>IF(J2020="","",ROUND(J2020*Settings!$B$8,2))</f>
        <v/>
      </c>
      <c r="L2020" s="16"/>
      <c r="M2020" s="8" t="str">
        <f t="shared" si="31"/>
        <v/>
      </c>
      <c r="N2020" s="9"/>
    </row>
    <row r="2021" spans="1:14" ht="15.75">
      <c r="A2021" s="11"/>
      <c r="B2021" s="9"/>
      <c r="C2021" s="12" t="str">
        <f>IF(B2021="","",IFERROR(INDEX('Cashier Roster'!$C$5:$C$64,MATCH(B2021,'Cashier Roster'!$B$5:$B$64,0)),"Not on roster"))</f>
        <v/>
      </c>
      <c r="D2021" s="12" t="str">
        <f>IF(B2021="","",IFERROR(INDEX('Cashier Roster'!$D$5:$D$64,MATCH(B2021,'Cashier Roster'!$B$5:$B$64,0)),""))</f>
        <v/>
      </c>
      <c r="E2021" s="13"/>
      <c r="F2021" s="14"/>
      <c r="G2021" s="8" t="str">
        <f>IF(OR(B2021="",E2021=""),"",IF(E2021="No","Missed",IF(F2021="","",IF(F2021&lt;=Settings!$B$7,"On time","Late"))))</f>
        <v/>
      </c>
      <c r="H2021" s="15"/>
      <c r="I2021" s="16"/>
      <c r="J2021" s="16"/>
      <c r="K2021" s="17" t="str">
        <f>IF(J2021="","",ROUND(J2021*Settings!$B$8,2))</f>
        <v/>
      </c>
      <c r="L2021" s="16"/>
      <c r="M2021" s="8" t="str">
        <f t="shared" si="31"/>
        <v/>
      </c>
      <c r="N2021" s="9"/>
    </row>
    <row r="2022" spans="1:14" ht="15.75">
      <c r="A2022" s="11"/>
      <c r="B2022" s="9"/>
      <c r="C2022" s="12" t="str">
        <f>IF(B2022="","",IFERROR(INDEX('Cashier Roster'!$C$5:$C$64,MATCH(B2022,'Cashier Roster'!$B$5:$B$64,0)),"Not on roster"))</f>
        <v/>
      </c>
      <c r="D2022" s="12" t="str">
        <f>IF(B2022="","",IFERROR(INDEX('Cashier Roster'!$D$5:$D$64,MATCH(B2022,'Cashier Roster'!$B$5:$B$64,0)),""))</f>
        <v/>
      </c>
      <c r="E2022" s="13"/>
      <c r="F2022" s="14"/>
      <c r="G2022" s="8" t="str">
        <f>IF(OR(B2022="",E2022=""),"",IF(E2022="No","Missed",IF(F2022="","",IF(F2022&lt;=Settings!$B$7,"On time","Late"))))</f>
        <v/>
      </c>
      <c r="H2022" s="15"/>
      <c r="I2022" s="16"/>
      <c r="J2022" s="16"/>
      <c r="K2022" s="17" t="str">
        <f>IF(J2022="","",ROUND(J2022*Settings!$B$8,2))</f>
        <v/>
      </c>
      <c r="L2022" s="16"/>
      <c r="M2022" s="8" t="str">
        <f t="shared" si="31"/>
        <v/>
      </c>
      <c r="N2022" s="9"/>
    </row>
    <row r="2023" spans="1:14" ht="15.75">
      <c r="A2023" s="11"/>
      <c r="B2023" s="9"/>
      <c r="C2023" s="12" t="str">
        <f>IF(B2023="","",IFERROR(INDEX('Cashier Roster'!$C$5:$C$64,MATCH(B2023,'Cashier Roster'!$B$5:$B$64,0)),"Not on roster"))</f>
        <v/>
      </c>
      <c r="D2023" s="12" t="str">
        <f>IF(B2023="","",IFERROR(INDEX('Cashier Roster'!$D$5:$D$64,MATCH(B2023,'Cashier Roster'!$B$5:$B$64,0)),""))</f>
        <v/>
      </c>
      <c r="E2023" s="13"/>
      <c r="F2023" s="14"/>
      <c r="G2023" s="8" t="str">
        <f>IF(OR(B2023="",E2023=""),"",IF(E2023="No","Missed",IF(F2023="","",IF(F2023&lt;=Settings!$B$7,"On time","Late"))))</f>
        <v/>
      </c>
      <c r="H2023" s="15"/>
      <c r="I2023" s="16"/>
      <c r="J2023" s="16"/>
      <c r="K2023" s="17" t="str">
        <f>IF(J2023="","",ROUND(J2023*Settings!$B$8,2))</f>
        <v/>
      </c>
      <c r="L2023" s="16"/>
      <c r="M2023" s="8" t="str">
        <f t="shared" si="31"/>
        <v/>
      </c>
      <c r="N2023" s="9"/>
    </row>
    <row r="2024" spans="1:14" ht="15.75">
      <c r="A2024" s="11"/>
      <c r="B2024" s="9"/>
      <c r="C2024" s="12" t="str">
        <f>IF(B2024="","",IFERROR(INDEX('Cashier Roster'!$C$5:$C$64,MATCH(B2024,'Cashier Roster'!$B$5:$B$64,0)),"Not on roster"))</f>
        <v/>
      </c>
      <c r="D2024" s="12" t="str">
        <f>IF(B2024="","",IFERROR(INDEX('Cashier Roster'!$D$5:$D$64,MATCH(B2024,'Cashier Roster'!$B$5:$B$64,0)),""))</f>
        <v/>
      </c>
      <c r="E2024" s="13"/>
      <c r="F2024" s="14"/>
      <c r="G2024" s="8" t="str">
        <f>IF(OR(B2024="",E2024=""),"",IF(E2024="No","Missed",IF(F2024="","",IF(F2024&lt;=Settings!$B$7,"On time","Late"))))</f>
        <v/>
      </c>
      <c r="H2024" s="15"/>
      <c r="I2024" s="16"/>
      <c r="J2024" s="16"/>
      <c r="K2024" s="17" t="str">
        <f>IF(J2024="","",ROUND(J2024*Settings!$B$8,2))</f>
        <v/>
      </c>
      <c r="L2024" s="16"/>
      <c r="M2024" s="8" t="str">
        <f t="shared" si="31"/>
        <v/>
      </c>
      <c r="N2024" s="9"/>
    </row>
    <row r="2025" spans="1:14" ht="15.75">
      <c r="A2025" s="11"/>
      <c r="B2025" s="9"/>
      <c r="C2025" s="12" t="str">
        <f>IF(B2025="","",IFERROR(INDEX('Cashier Roster'!$C$5:$C$64,MATCH(B2025,'Cashier Roster'!$B$5:$B$64,0)),"Not on roster"))</f>
        <v/>
      </c>
      <c r="D2025" s="12" t="str">
        <f>IF(B2025="","",IFERROR(INDEX('Cashier Roster'!$D$5:$D$64,MATCH(B2025,'Cashier Roster'!$B$5:$B$64,0)),""))</f>
        <v/>
      </c>
      <c r="E2025" s="13"/>
      <c r="F2025" s="14"/>
      <c r="G2025" s="8" t="str">
        <f>IF(OR(B2025="",E2025=""),"",IF(E2025="No","Missed",IF(F2025="","",IF(F2025&lt;=Settings!$B$7,"On time","Late"))))</f>
        <v/>
      </c>
      <c r="H2025" s="15"/>
      <c r="I2025" s="16"/>
      <c r="J2025" s="16"/>
      <c r="K2025" s="17" t="str">
        <f>IF(J2025="","",ROUND(J2025*Settings!$B$8,2))</f>
        <v/>
      </c>
      <c r="L2025" s="16"/>
      <c r="M2025" s="8" t="str">
        <f t="shared" si="31"/>
        <v/>
      </c>
      <c r="N2025" s="9"/>
    </row>
    <row r="2026" spans="1:14" ht="15.75">
      <c r="A2026" s="11"/>
      <c r="B2026" s="9"/>
      <c r="C2026" s="12" t="str">
        <f>IF(B2026="","",IFERROR(INDEX('Cashier Roster'!$C$5:$C$64,MATCH(B2026,'Cashier Roster'!$B$5:$B$64,0)),"Not on roster"))</f>
        <v/>
      </c>
      <c r="D2026" s="12" t="str">
        <f>IF(B2026="","",IFERROR(INDEX('Cashier Roster'!$D$5:$D$64,MATCH(B2026,'Cashier Roster'!$B$5:$B$64,0)),""))</f>
        <v/>
      </c>
      <c r="E2026" s="13"/>
      <c r="F2026" s="14"/>
      <c r="G2026" s="8" t="str">
        <f>IF(OR(B2026="",E2026=""),"",IF(E2026="No","Missed",IF(F2026="","",IF(F2026&lt;=Settings!$B$7,"On time","Late"))))</f>
        <v/>
      </c>
      <c r="H2026" s="15"/>
      <c r="I2026" s="16"/>
      <c r="J2026" s="16"/>
      <c r="K2026" s="17" t="str">
        <f>IF(J2026="","",ROUND(J2026*Settings!$B$8,2))</f>
        <v/>
      </c>
      <c r="L2026" s="16"/>
      <c r="M2026" s="8" t="str">
        <f t="shared" si="31"/>
        <v/>
      </c>
      <c r="N2026" s="9"/>
    </row>
    <row r="2027" spans="1:14" ht="15.75">
      <c r="A2027" s="11"/>
      <c r="B2027" s="9"/>
      <c r="C2027" s="12" t="str">
        <f>IF(B2027="","",IFERROR(INDEX('Cashier Roster'!$C$5:$C$64,MATCH(B2027,'Cashier Roster'!$B$5:$B$64,0)),"Not on roster"))</f>
        <v/>
      </c>
      <c r="D2027" s="12" t="str">
        <f>IF(B2027="","",IFERROR(INDEX('Cashier Roster'!$D$5:$D$64,MATCH(B2027,'Cashier Roster'!$B$5:$B$64,0)),""))</f>
        <v/>
      </c>
      <c r="E2027" s="13"/>
      <c r="F2027" s="14"/>
      <c r="G2027" s="8" t="str">
        <f>IF(OR(B2027="",E2027=""),"",IF(E2027="No","Missed",IF(F2027="","",IF(F2027&lt;=Settings!$B$7,"On time","Late"))))</f>
        <v/>
      </c>
      <c r="H2027" s="15"/>
      <c r="I2027" s="16"/>
      <c r="J2027" s="16"/>
      <c r="K2027" s="17" t="str">
        <f>IF(J2027="","",ROUND(J2027*Settings!$B$8,2))</f>
        <v/>
      </c>
      <c r="L2027" s="16"/>
      <c r="M2027" s="8" t="str">
        <f t="shared" si="31"/>
        <v/>
      </c>
      <c r="N2027" s="9"/>
    </row>
    <row r="2028" spans="1:14" ht="15.75">
      <c r="A2028" s="11"/>
      <c r="B2028" s="9"/>
      <c r="C2028" s="12" t="str">
        <f>IF(B2028="","",IFERROR(INDEX('Cashier Roster'!$C$5:$C$64,MATCH(B2028,'Cashier Roster'!$B$5:$B$64,0)),"Not on roster"))</f>
        <v/>
      </c>
      <c r="D2028" s="12" t="str">
        <f>IF(B2028="","",IFERROR(INDEX('Cashier Roster'!$D$5:$D$64,MATCH(B2028,'Cashier Roster'!$B$5:$B$64,0)),""))</f>
        <v/>
      </c>
      <c r="E2028" s="13"/>
      <c r="F2028" s="14"/>
      <c r="G2028" s="8" t="str">
        <f>IF(OR(B2028="",E2028=""),"",IF(E2028="No","Missed",IF(F2028="","",IF(F2028&lt;=Settings!$B$7,"On time","Late"))))</f>
        <v/>
      </c>
      <c r="H2028" s="15"/>
      <c r="I2028" s="16"/>
      <c r="J2028" s="16"/>
      <c r="K2028" s="17" t="str">
        <f>IF(J2028="","",ROUND(J2028*Settings!$B$8,2))</f>
        <v/>
      </c>
      <c r="L2028" s="16"/>
      <c r="M2028" s="8" t="str">
        <f t="shared" si="31"/>
        <v/>
      </c>
      <c r="N2028" s="9"/>
    </row>
    <row r="2029" spans="1:14" ht="15.75">
      <c r="A2029" s="11"/>
      <c r="B2029" s="9"/>
      <c r="C2029" s="12" t="str">
        <f>IF(B2029="","",IFERROR(INDEX('Cashier Roster'!$C$5:$C$64,MATCH(B2029,'Cashier Roster'!$B$5:$B$64,0)),"Not on roster"))</f>
        <v/>
      </c>
      <c r="D2029" s="12" t="str">
        <f>IF(B2029="","",IFERROR(INDEX('Cashier Roster'!$D$5:$D$64,MATCH(B2029,'Cashier Roster'!$B$5:$B$64,0)),""))</f>
        <v/>
      </c>
      <c r="E2029" s="13"/>
      <c r="F2029" s="14"/>
      <c r="G2029" s="8" t="str">
        <f>IF(OR(B2029="",E2029=""),"",IF(E2029="No","Missed",IF(F2029="","",IF(F2029&lt;=Settings!$B$7,"On time","Late"))))</f>
        <v/>
      </c>
      <c r="H2029" s="15"/>
      <c r="I2029" s="16"/>
      <c r="J2029" s="16"/>
      <c r="K2029" s="17" t="str">
        <f>IF(J2029="","",ROUND(J2029*Settings!$B$8,2))</f>
        <v/>
      </c>
      <c r="L2029" s="16"/>
      <c r="M2029" s="8" t="str">
        <f t="shared" si="31"/>
        <v/>
      </c>
      <c r="N2029" s="9"/>
    </row>
    <row r="2030" spans="1:14" ht="15.75">
      <c r="A2030" s="11"/>
      <c r="B2030" s="9"/>
      <c r="C2030" s="12" t="str">
        <f>IF(B2030="","",IFERROR(INDEX('Cashier Roster'!$C$5:$C$64,MATCH(B2030,'Cashier Roster'!$B$5:$B$64,0)),"Not on roster"))</f>
        <v/>
      </c>
      <c r="D2030" s="12" t="str">
        <f>IF(B2030="","",IFERROR(INDEX('Cashier Roster'!$D$5:$D$64,MATCH(B2030,'Cashier Roster'!$B$5:$B$64,0)),""))</f>
        <v/>
      </c>
      <c r="E2030" s="13"/>
      <c r="F2030" s="14"/>
      <c r="G2030" s="8" t="str">
        <f>IF(OR(B2030="",E2030=""),"",IF(E2030="No","Missed",IF(F2030="","",IF(F2030&lt;=Settings!$B$7,"On time","Late"))))</f>
        <v/>
      </c>
      <c r="H2030" s="15"/>
      <c r="I2030" s="16"/>
      <c r="J2030" s="16"/>
      <c r="K2030" s="17" t="str">
        <f>IF(J2030="","",ROUND(J2030*Settings!$B$8,2))</f>
        <v/>
      </c>
      <c r="L2030" s="16"/>
      <c r="M2030" s="8" t="str">
        <f t="shared" si="31"/>
        <v/>
      </c>
      <c r="N2030" s="9"/>
    </row>
    <row r="2031" spans="1:14" ht="15.75">
      <c r="A2031" s="11"/>
      <c r="B2031" s="9"/>
      <c r="C2031" s="12" t="str">
        <f>IF(B2031="","",IFERROR(INDEX('Cashier Roster'!$C$5:$C$64,MATCH(B2031,'Cashier Roster'!$B$5:$B$64,0)),"Not on roster"))</f>
        <v/>
      </c>
      <c r="D2031" s="12" t="str">
        <f>IF(B2031="","",IFERROR(INDEX('Cashier Roster'!$D$5:$D$64,MATCH(B2031,'Cashier Roster'!$B$5:$B$64,0)),""))</f>
        <v/>
      </c>
      <c r="E2031" s="13"/>
      <c r="F2031" s="14"/>
      <c r="G2031" s="8" t="str">
        <f>IF(OR(B2031="",E2031=""),"",IF(E2031="No","Missed",IF(F2031="","",IF(F2031&lt;=Settings!$B$7,"On time","Late"))))</f>
        <v/>
      </c>
      <c r="H2031" s="15"/>
      <c r="I2031" s="16"/>
      <c r="J2031" s="16"/>
      <c r="K2031" s="17" t="str">
        <f>IF(J2031="","",ROUND(J2031*Settings!$B$8,2))</f>
        <v/>
      </c>
      <c r="L2031" s="16"/>
      <c r="M2031" s="8" t="str">
        <f t="shared" si="31"/>
        <v/>
      </c>
      <c r="N2031" s="9"/>
    </row>
    <row r="2032" spans="1:14" ht="15.75">
      <c r="A2032" s="11"/>
      <c r="B2032" s="9"/>
      <c r="C2032" s="12" t="str">
        <f>IF(B2032="","",IFERROR(INDEX('Cashier Roster'!$C$5:$C$64,MATCH(B2032,'Cashier Roster'!$B$5:$B$64,0)),"Not on roster"))</f>
        <v/>
      </c>
      <c r="D2032" s="12" t="str">
        <f>IF(B2032="","",IFERROR(INDEX('Cashier Roster'!$D$5:$D$64,MATCH(B2032,'Cashier Roster'!$B$5:$B$64,0)),""))</f>
        <v/>
      </c>
      <c r="E2032" s="13"/>
      <c r="F2032" s="14"/>
      <c r="G2032" s="8" t="str">
        <f>IF(OR(B2032="",E2032=""),"",IF(E2032="No","Missed",IF(F2032="","",IF(F2032&lt;=Settings!$B$7,"On time","Late"))))</f>
        <v/>
      </c>
      <c r="H2032" s="15"/>
      <c r="I2032" s="16"/>
      <c r="J2032" s="16"/>
      <c r="K2032" s="17" t="str">
        <f>IF(J2032="","",ROUND(J2032*Settings!$B$8,2))</f>
        <v/>
      </c>
      <c r="L2032" s="16"/>
      <c r="M2032" s="8" t="str">
        <f t="shared" si="31"/>
        <v/>
      </c>
      <c r="N2032" s="9"/>
    </row>
    <row r="2033" spans="1:14" ht="15.75">
      <c r="A2033" s="11"/>
      <c r="B2033" s="9"/>
      <c r="C2033" s="12" t="str">
        <f>IF(B2033="","",IFERROR(INDEX('Cashier Roster'!$C$5:$C$64,MATCH(B2033,'Cashier Roster'!$B$5:$B$64,0)),"Not on roster"))</f>
        <v/>
      </c>
      <c r="D2033" s="12" t="str">
        <f>IF(B2033="","",IFERROR(INDEX('Cashier Roster'!$D$5:$D$64,MATCH(B2033,'Cashier Roster'!$B$5:$B$64,0)),""))</f>
        <v/>
      </c>
      <c r="E2033" s="13"/>
      <c r="F2033" s="14"/>
      <c r="G2033" s="8" t="str">
        <f>IF(OR(B2033="",E2033=""),"",IF(E2033="No","Missed",IF(F2033="","",IF(F2033&lt;=Settings!$B$7,"On time","Late"))))</f>
        <v/>
      </c>
      <c r="H2033" s="15"/>
      <c r="I2033" s="16"/>
      <c r="J2033" s="16"/>
      <c r="K2033" s="17" t="str">
        <f>IF(J2033="","",ROUND(J2033*Settings!$B$8,2))</f>
        <v/>
      </c>
      <c r="L2033" s="16"/>
      <c r="M2033" s="8" t="str">
        <f t="shared" si="31"/>
        <v/>
      </c>
      <c r="N2033" s="9"/>
    </row>
    <row r="2034" spans="1:14" ht="15.75">
      <c r="A2034" s="11"/>
      <c r="B2034" s="9"/>
      <c r="C2034" s="12" t="str">
        <f>IF(B2034="","",IFERROR(INDEX('Cashier Roster'!$C$5:$C$64,MATCH(B2034,'Cashier Roster'!$B$5:$B$64,0)),"Not on roster"))</f>
        <v/>
      </c>
      <c r="D2034" s="12" t="str">
        <f>IF(B2034="","",IFERROR(INDEX('Cashier Roster'!$D$5:$D$64,MATCH(B2034,'Cashier Roster'!$B$5:$B$64,0)),""))</f>
        <v/>
      </c>
      <c r="E2034" s="13"/>
      <c r="F2034" s="14"/>
      <c r="G2034" s="8" t="str">
        <f>IF(OR(B2034="",E2034=""),"",IF(E2034="No","Missed",IF(F2034="","",IF(F2034&lt;=Settings!$B$7,"On time","Late"))))</f>
        <v/>
      </c>
      <c r="H2034" s="15"/>
      <c r="I2034" s="16"/>
      <c r="J2034" s="16"/>
      <c r="K2034" s="17" t="str">
        <f>IF(J2034="","",ROUND(J2034*Settings!$B$8,2))</f>
        <v/>
      </c>
      <c r="L2034" s="16"/>
      <c r="M2034" s="8" t="str">
        <f t="shared" si="31"/>
        <v/>
      </c>
      <c r="N2034" s="9"/>
    </row>
    <row r="2035" spans="1:14" ht="15.75">
      <c r="A2035" s="11"/>
      <c r="B2035" s="9"/>
      <c r="C2035" s="12" t="str">
        <f>IF(B2035="","",IFERROR(INDEX('Cashier Roster'!$C$5:$C$64,MATCH(B2035,'Cashier Roster'!$B$5:$B$64,0)),"Not on roster"))</f>
        <v/>
      </c>
      <c r="D2035" s="12" t="str">
        <f>IF(B2035="","",IFERROR(INDEX('Cashier Roster'!$D$5:$D$64,MATCH(B2035,'Cashier Roster'!$B$5:$B$64,0)),""))</f>
        <v/>
      </c>
      <c r="E2035" s="13"/>
      <c r="F2035" s="14"/>
      <c r="G2035" s="8" t="str">
        <f>IF(OR(B2035="",E2035=""),"",IF(E2035="No","Missed",IF(F2035="","",IF(F2035&lt;=Settings!$B$7,"On time","Late"))))</f>
        <v/>
      </c>
      <c r="H2035" s="15"/>
      <c r="I2035" s="16"/>
      <c r="J2035" s="16"/>
      <c r="K2035" s="17" t="str">
        <f>IF(J2035="","",ROUND(J2035*Settings!$B$8,2))</f>
        <v/>
      </c>
      <c r="L2035" s="16"/>
      <c r="M2035" s="8" t="str">
        <f t="shared" si="31"/>
        <v/>
      </c>
      <c r="N2035" s="9"/>
    </row>
    <row r="2036" spans="1:14" ht="15.75">
      <c r="A2036" s="11"/>
      <c r="B2036" s="9"/>
      <c r="C2036" s="12" t="str">
        <f>IF(B2036="","",IFERROR(INDEX('Cashier Roster'!$C$5:$C$64,MATCH(B2036,'Cashier Roster'!$B$5:$B$64,0)),"Not on roster"))</f>
        <v/>
      </c>
      <c r="D2036" s="12" t="str">
        <f>IF(B2036="","",IFERROR(INDEX('Cashier Roster'!$D$5:$D$64,MATCH(B2036,'Cashier Roster'!$B$5:$B$64,0)),""))</f>
        <v/>
      </c>
      <c r="E2036" s="13"/>
      <c r="F2036" s="14"/>
      <c r="G2036" s="8" t="str">
        <f>IF(OR(B2036="",E2036=""),"",IF(E2036="No","Missed",IF(F2036="","",IF(F2036&lt;=Settings!$B$7,"On time","Late"))))</f>
        <v/>
      </c>
      <c r="H2036" s="15"/>
      <c r="I2036" s="16"/>
      <c r="J2036" s="16"/>
      <c r="K2036" s="17" t="str">
        <f>IF(J2036="","",ROUND(J2036*Settings!$B$8,2))</f>
        <v/>
      </c>
      <c r="L2036" s="16"/>
      <c r="M2036" s="8" t="str">
        <f t="shared" si="31"/>
        <v/>
      </c>
      <c r="N2036" s="9"/>
    </row>
    <row r="2037" spans="1:14" ht="15.75">
      <c r="A2037" s="11"/>
      <c r="B2037" s="9"/>
      <c r="C2037" s="12" t="str">
        <f>IF(B2037="","",IFERROR(INDEX('Cashier Roster'!$C$5:$C$64,MATCH(B2037,'Cashier Roster'!$B$5:$B$64,0)),"Not on roster"))</f>
        <v/>
      </c>
      <c r="D2037" s="12" t="str">
        <f>IF(B2037="","",IFERROR(INDEX('Cashier Roster'!$D$5:$D$64,MATCH(B2037,'Cashier Roster'!$B$5:$B$64,0)),""))</f>
        <v/>
      </c>
      <c r="E2037" s="13"/>
      <c r="F2037" s="14"/>
      <c r="G2037" s="8" t="str">
        <f>IF(OR(B2037="",E2037=""),"",IF(E2037="No","Missed",IF(F2037="","",IF(F2037&lt;=Settings!$B$7,"On time","Late"))))</f>
        <v/>
      </c>
      <c r="H2037" s="15"/>
      <c r="I2037" s="16"/>
      <c r="J2037" s="16"/>
      <c r="K2037" s="17" t="str">
        <f>IF(J2037="","",ROUND(J2037*Settings!$B$8,2))</f>
        <v/>
      </c>
      <c r="L2037" s="16"/>
      <c r="M2037" s="8" t="str">
        <f t="shared" si="31"/>
        <v/>
      </c>
      <c r="N2037" s="9"/>
    </row>
    <row r="2038" spans="1:14" ht="15.75">
      <c r="A2038" s="11"/>
      <c r="B2038" s="9"/>
      <c r="C2038" s="12" t="str">
        <f>IF(B2038="","",IFERROR(INDEX('Cashier Roster'!$C$5:$C$64,MATCH(B2038,'Cashier Roster'!$B$5:$B$64,0)),"Not on roster"))</f>
        <v/>
      </c>
      <c r="D2038" s="12" t="str">
        <f>IF(B2038="","",IFERROR(INDEX('Cashier Roster'!$D$5:$D$64,MATCH(B2038,'Cashier Roster'!$B$5:$B$64,0)),""))</f>
        <v/>
      </c>
      <c r="E2038" s="13"/>
      <c r="F2038" s="14"/>
      <c r="G2038" s="8" t="str">
        <f>IF(OR(B2038="",E2038=""),"",IF(E2038="No","Missed",IF(F2038="","",IF(F2038&lt;=Settings!$B$7,"On time","Late"))))</f>
        <v/>
      </c>
      <c r="H2038" s="15"/>
      <c r="I2038" s="16"/>
      <c r="J2038" s="16"/>
      <c r="K2038" s="17" t="str">
        <f>IF(J2038="","",ROUND(J2038*Settings!$B$8,2))</f>
        <v/>
      </c>
      <c r="L2038" s="16"/>
      <c r="M2038" s="8" t="str">
        <f t="shared" si="31"/>
        <v/>
      </c>
      <c r="N2038" s="9"/>
    </row>
    <row r="2039" spans="1:14" ht="15.75">
      <c r="A2039" s="11"/>
      <c r="B2039" s="9"/>
      <c r="C2039" s="12" t="str">
        <f>IF(B2039="","",IFERROR(INDEX('Cashier Roster'!$C$5:$C$64,MATCH(B2039,'Cashier Roster'!$B$5:$B$64,0)),"Not on roster"))</f>
        <v/>
      </c>
      <c r="D2039" s="12" t="str">
        <f>IF(B2039="","",IFERROR(INDEX('Cashier Roster'!$D$5:$D$64,MATCH(B2039,'Cashier Roster'!$B$5:$B$64,0)),""))</f>
        <v/>
      </c>
      <c r="E2039" s="13"/>
      <c r="F2039" s="14"/>
      <c r="G2039" s="8" t="str">
        <f>IF(OR(B2039="",E2039=""),"",IF(E2039="No","Missed",IF(F2039="","",IF(F2039&lt;=Settings!$B$7,"On time","Late"))))</f>
        <v/>
      </c>
      <c r="H2039" s="15"/>
      <c r="I2039" s="16"/>
      <c r="J2039" s="16"/>
      <c r="K2039" s="17" t="str">
        <f>IF(J2039="","",ROUND(J2039*Settings!$B$8,2))</f>
        <v/>
      </c>
      <c r="L2039" s="16"/>
      <c r="M2039" s="8" t="str">
        <f t="shared" si="31"/>
        <v/>
      </c>
      <c r="N2039" s="9"/>
    </row>
    <row r="2040" spans="1:14" ht="15.75">
      <c r="A2040" s="11"/>
      <c r="B2040" s="9"/>
      <c r="C2040" s="12" t="str">
        <f>IF(B2040="","",IFERROR(INDEX('Cashier Roster'!$C$5:$C$64,MATCH(B2040,'Cashier Roster'!$B$5:$B$64,0)),"Not on roster"))</f>
        <v/>
      </c>
      <c r="D2040" s="12" t="str">
        <f>IF(B2040="","",IFERROR(INDEX('Cashier Roster'!$D$5:$D$64,MATCH(B2040,'Cashier Roster'!$B$5:$B$64,0)),""))</f>
        <v/>
      </c>
      <c r="E2040" s="13"/>
      <c r="F2040" s="14"/>
      <c r="G2040" s="8" t="str">
        <f>IF(OR(B2040="",E2040=""),"",IF(E2040="No","Missed",IF(F2040="","",IF(F2040&lt;=Settings!$B$7,"On time","Late"))))</f>
        <v/>
      </c>
      <c r="H2040" s="15"/>
      <c r="I2040" s="16"/>
      <c r="J2040" s="16"/>
      <c r="K2040" s="17" t="str">
        <f>IF(J2040="","",ROUND(J2040*Settings!$B$8,2))</f>
        <v/>
      </c>
      <c r="L2040" s="16"/>
      <c r="M2040" s="8" t="str">
        <f t="shared" si="31"/>
        <v/>
      </c>
      <c r="N2040" s="9"/>
    </row>
    <row r="2041" spans="1:14" ht="15.75">
      <c r="A2041" s="11"/>
      <c r="B2041" s="9"/>
      <c r="C2041" s="12" t="str">
        <f>IF(B2041="","",IFERROR(INDEX('Cashier Roster'!$C$5:$C$64,MATCH(B2041,'Cashier Roster'!$B$5:$B$64,0)),"Not on roster"))</f>
        <v/>
      </c>
      <c r="D2041" s="12" t="str">
        <f>IF(B2041="","",IFERROR(INDEX('Cashier Roster'!$D$5:$D$64,MATCH(B2041,'Cashier Roster'!$B$5:$B$64,0)),""))</f>
        <v/>
      </c>
      <c r="E2041" s="13"/>
      <c r="F2041" s="14"/>
      <c r="G2041" s="8" t="str">
        <f>IF(OR(B2041="",E2041=""),"",IF(E2041="No","Missed",IF(F2041="","",IF(F2041&lt;=Settings!$B$7,"On time","Late"))))</f>
        <v/>
      </c>
      <c r="H2041" s="15"/>
      <c r="I2041" s="16"/>
      <c r="J2041" s="16"/>
      <c r="K2041" s="17" t="str">
        <f>IF(J2041="","",ROUND(J2041*Settings!$B$8,2))</f>
        <v/>
      </c>
      <c r="L2041" s="16"/>
      <c r="M2041" s="8" t="str">
        <f t="shared" si="31"/>
        <v/>
      </c>
      <c r="N2041" s="9"/>
    </row>
    <row r="2042" spans="1:14" ht="15.75">
      <c r="A2042" s="11"/>
      <c r="B2042" s="9"/>
      <c r="C2042" s="12" t="str">
        <f>IF(B2042="","",IFERROR(INDEX('Cashier Roster'!$C$5:$C$64,MATCH(B2042,'Cashier Roster'!$B$5:$B$64,0)),"Not on roster"))</f>
        <v/>
      </c>
      <c r="D2042" s="12" t="str">
        <f>IF(B2042="","",IFERROR(INDEX('Cashier Roster'!$D$5:$D$64,MATCH(B2042,'Cashier Roster'!$B$5:$B$64,0)),""))</f>
        <v/>
      </c>
      <c r="E2042" s="13"/>
      <c r="F2042" s="14"/>
      <c r="G2042" s="8" t="str">
        <f>IF(OR(B2042="",E2042=""),"",IF(E2042="No","Missed",IF(F2042="","",IF(F2042&lt;=Settings!$B$7,"On time","Late"))))</f>
        <v/>
      </c>
      <c r="H2042" s="15"/>
      <c r="I2042" s="16"/>
      <c r="J2042" s="16"/>
      <c r="K2042" s="17" t="str">
        <f>IF(J2042="","",ROUND(J2042*Settings!$B$8,2))</f>
        <v/>
      </c>
      <c r="L2042" s="16"/>
      <c r="M2042" s="8" t="str">
        <f t="shared" si="31"/>
        <v/>
      </c>
      <c r="N2042" s="9"/>
    </row>
    <row r="2043" spans="1:14" ht="15.75">
      <c r="A2043" s="11"/>
      <c r="B2043" s="9"/>
      <c r="C2043" s="12" t="str">
        <f>IF(B2043="","",IFERROR(INDEX('Cashier Roster'!$C$5:$C$64,MATCH(B2043,'Cashier Roster'!$B$5:$B$64,0)),"Not on roster"))</f>
        <v/>
      </c>
      <c r="D2043" s="12" t="str">
        <f>IF(B2043="","",IFERROR(INDEX('Cashier Roster'!$D$5:$D$64,MATCH(B2043,'Cashier Roster'!$B$5:$B$64,0)),""))</f>
        <v/>
      </c>
      <c r="E2043" s="13"/>
      <c r="F2043" s="14"/>
      <c r="G2043" s="8" t="str">
        <f>IF(OR(B2043="",E2043=""),"",IF(E2043="No","Missed",IF(F2043="","",IF(F2043&lt;=Settings!$B$7,"On time","Late"))))</f>
        <v/>
      </c>
      <c r="H2043" s="15"/>
      <c r="I2043" s="16"/>
      <c r="J2043" s="16"/>
      <c r="K2043" s="17" t="str">
        <f>IF(J2043="","",ROUND(J2043*Settings!$B$8,2))</f>
        <v/>
      </c>
      <c r="L2043" s="16"/>
      <c r="M2043" s="8" t="str">
        <f t="shared" si="31"/>
        <v/>
      </c>
      <c r="N2043" s="9"/>
    </row>
    <row r="2044" spans="1:14" ht="15.75">
      <c r="A2044" s="11"/>
      <c r="B2044" s="9"/>
      <c r="C2044" s="12" t="str">
        <f>IF(B2044="","",IFERROR(INDEX('Cashier Roster'!$C$5:$C$64,MATCH(B2044,'Cashier Roster'!$B$5:$B$64,0)),"Not on roster"))</f>
        <v/>
      </c>
      <c r="D2044" s="12" t="str">
        <f>IF(B2044="","",IFERROR(INDEX('Cashier Roster'!$D$5:$D$64,MATCH(B2044,'Cashier Roster'!$B$5:$B$64,0)),""))</f>
        <v/>
      </c>
      <c r="E2044" s="13"/>
      <c r="F2044" s="14"/>
      <c r="G2044" s="8" t="str">
        <f>IF(OR(B2044="",E2044=""),"",IF(E2044="No","Missed",IF(F2044="","",IF(F2044&lt;=Settings!$B$7,"On time","Late"))))</f>
        <v/>
      </c>
      <c r="H2044" s="15"/>
      <c r="I2044" s="16"/>
      <c r="J2044" s="16"/>
      <c r="K2044" s="17" t="str">
        <f>IF(J2044="","",ROUND(J2044*Settings!$B$8,2))</f>
        <v/>
      </c>
      <c r="L2044" s="16"/>
      <c r="M2044" s="8" t="str">
        <f t="shared" si="31"/>
        <v/>
      </c>
      <c r="N2044" s="9"/>
    </row>
    <row r="2045" spans="1:14" ht="15.75">
      <c r="A2045" s="11"/>
      <c r="B2045" s="9"/>
      <c r="C2045" s="12" t="str">
        <f>IF(B2045="","",IFERROR(INDEX('Cashier Roster'!$C$5:$C$64,MATCH(B2045,'Cashier Roster'!$B$5:$B$64,0)),"Not on roster"))</f>
        <v/>
      </c>
      <c r="D2045" s="12" t="str">
        <f>IF(B2045="","",IFERROR(INDEX('Cashier Roster'!$D$5:$D$64,MATCH(B2045,'Cashier Roster'!$B$5:$B$64,0)),""))</f>
        <v/>
      </c>
      <c r="E2045" s="13"/>
      <c r="F2045" s="14"/>
      <c r="G2045" s="8" t="str">
        <f>IF(OR(B2045="",E2045=""),"",IF(E2045="No","Missed",IF(F2045="","",IF(F2045&lt;=Settings!$B$7,"On time","Late"))))</f>
        <v/>
      </c>
      <c r="H2045" s="15"/>
      <c r="I2045" s="16"/>
      <c r="J2045" s="16"/>
      <c r="K2045" s="17" t="str">
        <f>IF(J2045="","",ROUND(J2045*Settings!$B$8,2))</f>
        <v/>
      </c>
      <c r="L2045" s="16"/>
      <c r="M2045" s="8" t="str">
        <f t="shared" si="31"/>
        <v/>
      </c>
      <c r="N2045" s="9"/>
    </row>
    <row r="2046" spans="1:14" ht="15.75">
      <c r="A2046" s="11"/>
      <c r="B2046" s="9"/>
      <c r="C2046" s="12" t="str">
        <f>IF(B2046="","",IFERROR(INDEX('Cashier Roster'!$C$5:$C$64,MATCH(B2046,'Cashier Roster'!$B$5:$B$64,0)),"Not on roster"))</f>
        <v/>
      </c>
      <c r="D2046" s="12" t="str">
        <f>IF(B2046="","",IFERROR(INDEX('Cashier Roster'!$D$5:$D$64,MATCH(B2046,'Cashier Roster'!$B$5:$B$64,0)),""))</f>
        <v/>
      </c>
      <c r="E2046" s="13"/>
      <c r="F2046" s="14"/>
      <c r="G2046" s="8" t="str">
        <f>IF(OR(B2046="",E2046=""),"",IF(E2046="No","Missed",IF(F2046="","",IF(F2046&lt;=Settings!$B$7,"On time","Late"))))</f>
        <v/>
      </c>
      <c r="H2046" s="15"/>
      <c r="I2046" s="16"/>
      <c r="J2046" s="16"/>
      <c r="K2046" s="17" t="str">
        <f>IF(J2046="","",ROUND(J2046*Settings!$B$8,2))</f>
        <v/>
      </c>
      <c r="L2046" s="16"/>
      <c r="M2046" s="8" t="str">
        <f t="shared" si="31"/>
        <v/>
      </c>
      <c r="N2046" s="9"/>
    </row>
    <row r="2047" spans="1:14" ht="15.75">
      <c r="A2047" s="11"/>
      <c r="B2047" s="9"/>
      <c r="C2047" s="12" t="str">
        <f>IF(B2047="","",IFERROR(INDEX('Cashier Roster'!$C$5:$C$64,MATCH(B2047,'Cashier Roster'!$B$5:$B$64,0)),"Not on roster"))</f>
        <v/>
      </c>
      <c r="D2047" s="12" t="str">
        <f>IF(B2047="","",IFERROR(INDEX('Cashier Roster'!$D$5:$D$64,MATCH(B2047,'Cashier Roster'!$B$5:$B$64,0)),""))</f>
        <v/>
      </c>
      <c r="E2047" s="13"/>
      <c r="F2047" s="14"/>
      <c r="G2047" s="8" t="str">
        <f>IF(OR(B2047="",E2047=""),"",IF(E2047="No","Missed",IF(F2047="","",IF(F2047&lt;=Settings!$B$7,"On time","Late"))))</f>
        <v/>
      </c>
      <c r="H2047" s="15"/>
      <c r="I2047" s="16"/>
      <c r="J2047" s="16"/>
      <c r="K2047" s="17" t="str">
        <f>IF(J2047="","",ROUND(J2047*Settings!$B$8,2))</f>
        <v/>
      </c>
      <c r="L2047" s="16"/>
      <c r="M2047" s="8" t="str">
        <f t="shared" si="31"/>
        <v/>
      </c>
      <c r="N2047" s="9"/>
    </row>
    <row r="2048" spans="1:14" ht="15.75">
      <c r="A2048" s="11"/>
      <c r="B2048" s="9"/>
      <c r="C2048" s="12" t="str">
        <f>IF(B2048="","",IFERROR(INDEX('Cashier Roster'!$C$5:$C$64,MATCH(B2048,'Cashier Roster'!$B$5:$B$64,0)),"Not on roster"))</f>
        <v/>
      </c>
      <c r="D2048" s="12" t="str">
        <f>IF(B2048="","",IFERROR(INDEX('Cashier Roster'!$D$5:$D$64,MATCH(B2048,'Cashier Roster'!$B$5:$B$64,0)),""))</f>
        <v/>
      </c>
      <c r="E2048" s="13"/>
      <c r="F2048" s="14"/>
      <c r="G2048" s="8" t="str">
        <f>IF(OR(B2048="",E2048=""),"",IF(E2048="No","Missed",IF(F2048="","",IF(F2048&lt;=Settings!$B$7,"On time","Late"))))</f>
        <v/>
      </c>
      <c r="H2048" s="15"/>
      <c r="I2048" s="16"/>
      <c r="J2048" s="16"/>
      <c r="K2048" s="17" t="str">
        <f>IF(J2048="","",ROUND(J2048*Settings!$B$8,2))</f>
        <v/>
      </c>
      <c r="L2048" s="16"/>
      <c r="M2048" s="8" t="str">
        <f t="shared" si="31"/>
        <v/>
      </c>
      <c r="N2048" s="9"/>
    </row>
    <row r="2049" spans="1:14" ht="15.75">
      <c r="A2049" s="11"/>
      <c r="B2049" s="9"/>
      <c r="C2049" s="12" t="str">
        <f>IF(B2049="","",IFERROR(INDEX('Cashier Roster'!$C$5:$C$64,MATCH(B2049,'Cashier Roster'!$B$5:$B$64,0)),"Not on roster"))</f>
        <v/>
      </c>
      <c r="D2049" s="12" t="str">
        <f>IF(B2049="","",IFERROR(INDEX('Cashier Roster'!$D$5:$D$64,MATCH(B2049,'Cashier Roster'!$B$5:$B$64,0)),""))</f>
        <v/>
      </c>
      <c r="E2049" s="13"/>
      <c r="F2049" s="14"/>
      <c r="G2049" s="8" t="str">
        <f>IF(OR(B2049="",E2049=""),"",IF(E2049="No","Missed",IF(F2049="","",IF(F2049&lt;=Settings!$B$7,"On time","Late"))))</f>
        <v/>
      </c>
      <c r="H2049" s="15"/>
      <c r="I2049" s="16"/>
      <c r="J2049" s="16"/>
      <c r="K2049" s="17" t="str">
        <f>IF(J2049="","",ROUND(J2049*Settings!$B$8,2))</f>
        <v/>
      </c>
      <c r="L2049" s="16"/>
      <c r="M2049" s="8" t="str">
        <f t="shared" si="31"/>
        <v/>
      </c>
      <c r="N2049" s="9"/>
    </row>
    <row r="2050" spans="1:14" ht="15.75">
      <c r="A2050" s="11"/>
      <c r="B2050" s="9"/>
      <c r="C2050" s="12" t="str">
        <f>IF(B2050="","",IFERROR(INDEX('Cashier Roster'!$C$5:$C$64,MATCH(B2050,'Cashier Roster'!$B$5:$B$64,0)),"Not on roster"))</f>
        <v/>
      </c>
      <c r="D2050" s="12" t="str">
        <f>IF(B2050="","",IFERROR(INDEX('Cashier Roster'!$D$5:$D$64,MATCH(B2050,'Cashier Roster'!$B$5:$B$64,0)),""))</f>
        <v/>
      </c>
      <c r="E2050" s="13"/>
      <c r="F2050" s="14"/>
      <c r="G2050" s="8" t="str">
        <f>IF(OR(B2050="",E2050=""),"",IF(E2050="No","Missed",IF(F2050="","",IF(F2050&lt;=Settings!$B$7,"On time","Late"))))</f>
        <v/>
      </c>
      <c r="H2050" s="15"/>
      <c r="I2050" s="16"/>
      <c r="J2050" s="16"/>
      <c r="K2050" s="17" t="str">
        <f>IF(J2050="","",ROUND(J2050*Settings!$B$8,2))</f>
        <v/>
      </c>
      <c r="L2050" s="16"/>
      <c r="M2050" s="8" t="str">
        <f t="shared" si="31"/>
        <v/>
      </c>
      <c r="N2050" s="9"/>
    </row>
    <row r="2051" spans="1:14" ht="15.75">
      <c r="A2051" s="11"/>
      <c r="B2051" s="9"/>
      <c r="C2051" s="12" t="str">
        <f>IF(B2051="","",IFERROR(INDEX('Cashier Roster'!$C$5:$C$64,MATCH(B2051,'Cashier Roster'!$B$5:$B$64,0)),"Not on roster"))</f>
        <v/>
      </c>
      <c r="D2051" s="12" t="str">
        <f>IF(B2051="","",IFERROR(INDEX('Cashier Roster'!$D$5:$D$64,MATCH(B2051,'Cashier Roster'!$B$5:$B$64,0)),""))</f>
        <v/>
      </c>
      <c r="E2051" s="13"/>
      <c r="F2051" s="14"/>
      <c r="G2051" s="8" t="str">
        <f>IF(OR(B2051="",E2051=""),"",IF(E2051="No","Missed",IF(F2051="","",IF(F2051&lt;=Settings!$B$7,"On time","Late"))))</f>
        <v/>
      </c>
      <c r="H2051" s="15"/>
      <c r="I2051" s="16"/>
      <c r="J2051" s="16"/>
      <c r="K2051" s="17" t="str">
        <f>IF(J2051="","",ROUND(J2051*Settings!$B$8,2))</f>
        <v/>
      </c>
      <c r="L2051" s="16"/>
      <c r="M2051" s="8" t="str">
        <f t="shared" si="31"/>
        <v/>
      </c>
      <c r="N2051" s="9"/>
    </row>
    <row r="2052" spans="1:14" ht="15.75">
      <c r="A2052" s="11"/>
      <c r="B2052" s="9"/>
      <c r="C2052" s="12" t="str">
        <f>IF(B2052="","",IFERROR(INDEX('Cashier Roster'!$C$5:$C$64,MATCH(B2052,'Cashier Roster'!$B$5:$B$64,0)),"Not on roster"))</f>
        <v/>
      </c>
      <c r="D2052" s="12" t="str">
        <f>IF(B2052="","",IFERROR(INDEX('Cashier Roster'!$D$5:$D$64,MATCH(B2052,'Cashier Roster'!$B$5:$B$64,0)),""))</f>
        <v/>
      </c>
      <c r="E2052" s="13"/>
      <c r="F2052" s="14"/>
      <c r="G2052" s="8" t="str">
        <f>IF(OR(B2052="",E2052=""),"",IF(E2052="No","Missed",IF(F2052="","",IF(F2052&lt;=Settings!$B$7,"On time","Late"))))</f>
        <v/>
      </c>
      <c r="H2052" s="15"/>
      <c r="I2052" s="16"/>
      <c r="J2052" s="16"/>
      <c r="K2052" s="17" t="str">
        <f>IF(J2052="","",ROUND(J2052*Settings!$B$8,2))</f>
        <v/>
      </c>
      <c r="L2052" s="16"/>
      <c r="M2052" s="8" t="str">
        <f t="shared" si="31"/>
        <v/>
      </c>
      <c r="N2052" s="9"/>
    </row>
    <row r="2053" spans="1:14" ht="15.75">
      <c r="A2053" s="11"/>
      <c r="B2053" s="9"/>
      <c r="C2053" s="12" t="str">
        <f>IF(B2053="","",IFERROR(INDEX('Cashier Roster'!$C$5:$C$64,MATCH(B2053,'Cashier Roster'!$B$5:$B$64,0)),"Not on roster"))</f>
        <v/>
      </c>
      <c r="D2053" s="12" t="str">
        <f>IF(B2053="","",IFERROR(INDEX('Cashier Roster'!$D$5:$D$64,MATCH(B2053,'Cashier Roster'!$B$5:$B$64,0)),""))</f>
        <v/>
      </c>
      <c r="E2053" s="13"/>
      <c r="F2053" s="14"/>
      <c r="G2053" s="8" t="str">
        <f>IF(OR(B2053="",E2053=""),"",IF(E2053="No","Missed",IF(F2053="","",IF(F2053&lt;=Settings!$B$7,"On time","Late"))))</f>
        <v/>
      </c>
      <c r="H2053" s="15"/>
      <c r="I2053" s="16"/>
      <c r="J2053" s="16"/>
      <c r="K2053" s="17" t="str">
        <f>IF(J2053="","",ROUND(J2053*Settings!$B$8,2))</f>
        <v/>
      </c>
      <c r="L2053" s="16"/>
      <c r="M2053" s="8" t="str">
        <f t="shared" ref="M2053:M2116" si="32">IF(L2053="","",IF(L2053&lt;=0,"Yes","No"))</f>
        <v/>
      </c>
      <c r="N2053" s="9"/>
    </row>
    <row r="2054" spans="1:14" ht="15.75">
      <c r="A2054" s="11"/>
      <c r="B2054" s="9"/>
      <c r="C2054" s="12" t="str">
        <f>IF(B2054="","",IFERROR(INDEX('Cashier Roster'!$C$5:$C$64,MATCH(B2054,'Cashier Roster'!$B$5:$B$64,0)),"Not on roster"))</f>
        <v/>
      </c>
      <c r="D2054" s="12" t="str">
        <f>IF(B2054="","",IFERROR(INDEX('Cashier Roster'!$D$5:$D$64,MATCH(B2054,'Cashier Roster'!$B$5:$B$64,0)),""))</f>
        <v/>
      </c>
      <c r="E2054" s="13"/>
      <c r="F2054" s="14"/>
      <c r="G2054" s="8" t="str">
        <f>IF(OR(B2054="",E2054=""),"",IF(E2054="No","Missed",IF(F2054="","",IF(F2054&lt;=Settings!$B$7,"On time","Late"))))</f>
        <v/>
      </c>
      <c r="H2054" s="15"/>
      <c r="I2054" s="16"/>
      <c r="J2054" s="16"/>
      <c r="K2054" s="17" t="str">
        <f>IF(J2054="","",ROUND(J2054*Settings!$B$8,2))</f>
        <v/>
      </c>
      <c r="L2054" s="16"/>
      <c r="M2054" s="8" t="str">
        <f t="shared" si="32"/>
        <v/>
      </c>
      <c r="N2054" s="9"/>
    </row>
    <row r="2055" spans="1:14" ht="15.75">
      <c r="A2055" s="11"/>
      <c r="B2055" s="9"/>
      <c r="C2055" s="12" t="str">
        <f>IF(B2055="","",IFERROR(INDEX('Cashier Roster'!$C$5:$C$64,MATCH(B2055,'Cashier Roster'!$B$5:$B$64,0)),"Not on roster"))</f>
        <v/>
      </c>
      <c r="D2055" s="12" t="str">
        <f>IF(B2055="","",IFERROR(INDEX('Cashier Roster'!$D$5:$D$64,MATCH(B2055,'Cashier Roster'!$B$5:$B$64,0)),""))</f>
        <v/>
      </c>
      <c r="E2055" s="13"/>
      <c r="F2055" s="14"/>
      <c r="G2055" s="8" t="str">
        <f>IF(OR(B2055="",E2055=""),"",IF(E2055="No","Missed",IF(F2055="","",IF(F2055&lt;=Settings!$B$7,"On time","Late"))))</f>
        <v/>
      </c>
      <c r="H2055" s="15"/>
      <c r="I2055" s="16"/>
      <c r="J2055" s="16"/>
      <c r="K2055" s="17" t="str">
        <f>IF(J2055="","",ROUND(J2055*Settings!$B$8,2))</f>
        <v/>
      </c>
      <c r="L2055" s="16"/>
      <c r="M2055" s="8" t="str">
        <f t="shared" si="32"/>
        <v/>
      </c>
      <c r="N2055" s="9"/>
    </row>
    <row r="2056" spans="1:14" ht="15.75">
      <c r="A2056" s="11"/>
      <c r="B2056" s="9"/>
      <c r="C2056" s="12" t="str">
        <f>IF(B2056="","",IFERROR(INDEX('Cashier Roster'!$C$5:$C$64,MATCH(B2056,'Cashier Roster'!$B$5:$B$64,0)),"Not on roster"))</f>
        <v/>
      </c>
      <c r="D2056" s="12" t="str">
        <f>IF(B2056="","",IFERROR(INDEX('Cashier Roster'!$D$5:$D$64,MATCH(B2056,'Cashier Roster'!$B$5:$B$64,0)),""))</f>
        <v/>
      </c>
      <c r="E2056" s="13"/>
      <c r="F2056" s="14"/>
      <c r="G2056" s="8" t="str">
        <f>IF(OR(B2056="",E2056=""),"",IF(E2056="No","Missed",IF(F2056="","",IF(F2056&lt;=Settings!$B$7,"On time","Late"))))</f>
        <v/>
      </c>
      <c r="H2056" s="15"/>
      <c r="I2056" s="16"/>
      <c r="J2056" s="16"/>
      <c r="K2056" s="17" t="str">
        <f>IF(J2056="","",ROUND(J2056*Settings!$B$8,2))</f>
        <v/>
      </c>
      <c r="L2056" s="16"/>
      <c r="M2056" s="8" t="str">
        <f t="shared" si="32"/>
        <v/>
      </c>
      <c r="N2056" s="9"/>
    </row>
    <row r="2057" spans="1:14" ht="15.75">
      <c r="A2057" s="11"/>
      <c r="B2057" s="9"/>
      <c r="C2057" s="12" t="str">
        <f>IF(B2057="","",IFERROR(INDEX('Cashier Roster'!$C$5:$C$64,MATCH(B2057,'Cashier Roster'!$B$5:$B$64,0)),"Not on roster"))</f>
        <v/>
      </c>
      <c r="D2057" s="12" t="str">
        <f>IF(B2057="","",IFERROR(INDEX('Cashier Roster'!$D$5:$D$64,MATCH(B2057,'Cashier Roster'!$B$5:$B$64,0)),""))</f>
        <v/>
      </c>
      <c r="E2057" s="13"/>
      <c r="F2057" s="14"/>
      <c r="G2057" s="8" t="str">
        <f>IF(OR(B2057="",E2057=""),"",IF(E2057="No","Missed",IF(F2057="","",IF(F2057&lt;=Settings!$B$7,"On time","Late"))))</f>
        <v/>
      </c>
      <c r="H2057" s="15"/>
      <c r="I2057" s="16"/>
      <c r="J2057" s="16"/>
      <c r="K2057" s="17" t="str">
        <f>IF(J2057="","",ROUND(J2057*Settings!$B$8,2))</f>
        <v/>
      </c>
      <c r="L2057" s="16"/>
      <c r="M2057" s="8" t="str">
        <f t="shared" si="32"/>
        <v/>
      </c>
      <c r="N2057" s="9"/>
    </row>
    <row r="2058" spans="1:14" ht="15.75">
      <c r="A2058" s="11"/>
      <c r="B2058" s="9"/>
      <c r="C2058" s="12" t="str">
        <f>IF(B2058="","",IFERROR(INDEX('Cashier Roster'!$C$5:$C$64,MATCH(B2058,'Cashier Roster'!$B$5:$B$64,0)),"Not on roster"))</f>
        <v/>
      </c>
      <c r="D2058" s="12" t="str">
        <f>IF(B2058="","",IFERROR(INDEX('Cashier Roster'!$D$5:$D$64,MATCH(B2058,'Cashier Roster'!$B$5:$B$64,0)),""))</f>
        <v/>
      </c>
      <c r="E2058" s="13"/>
      <c r="F2058" s="14"/>
      <c r="G2058" s="8" t="str">
        <f>IF(OR(B2058="",E2058=""),"",IF(E2058="No","Missed",IF(F2058="","",IF(F2058&lt;=Settings!$B$7,"On time","Late"))))</f>
        <v/>
      </c>
      <c r="H2058" s="15"/>
      <c r="I2058" s="16"/>
      <c r="J2058" s="16"/>
      <c r="K2058" s="17" t="str">
        <f>IF(J2058="","",ROUND(J2058*Settings!$B$8,2))</f>
        <v/>
      </c>
      <c r="L2058" s="16"/>
      <c r="M2058" s="8" t="str">
        <f t="shared" si="32"/>
        <v/>
      </c>
      <c r="N2058" s="9"/>
    </row>
    <row r="2059" spans="1:14" ht="15.75">
      <c r="A2059" s="11"/>
      <c r="B2059" s="9"/>
      <c r="C2059" s="12" t="str">
        <f>IF(B2059="","",IFERROR(INDEX('Cashier Roster'!$C$5:$C$64,MATCH(B2059,'Cashier Roster'!$B$5:$B$64,0)),"Not on roster"))</f>
        <v/>
      </c>
      <c r="D2059" s="12" t="str">
        <f>IF(B2059="","",IFERROR(INDEX('Cashier Roster'!$D$5:$D$64,MATCH(B2059,'Cashier Roster'!$B$5:$B$64,0)),""))</f>
        <v/>
      </c>
      <c r="E2059" s="13"/>
      <c r="F2059" s="14"/>
      <c r="G2059" s="8" t="str">
        <f>IF(OR(B2059="",E2059=""),"",IF(E2059="No","Missed",IF(F2059="","",IF(F2059&lt;=Settings!$B$7,"On time","Late"))))</f>
        <v/>
      </c>
      <c r="H2059" s="15"/>
      <c r="I2059" s="16"/>
      <c r="J2059" s="16"/>
      <c r="K2059" s="17" t="str">
        <f>IF(J2059="","",ROUND(J2059*Settings!$B$8,2))</f>
        <v/>
      </c>
      <c r="L2059" s="16"/>
      <c r="M2059" s="8" t="str">
        <f t="shared" si="32"/>
        <v/>
      </c>
      <c r="N2059" s="9"/>
    </row>
    <row r="2060" spans="1:14" ht="15.75">
      <c r="A2060" s="11"/>
      <c r="B2060" s="9"/>
      <c r="C2060" s="12" t="str">
        <f>IF(B2060="","",IFERROR(INDEX('Cashier Roster'!$C$5:$C$64,MATCH(B2060,'Cashier Roster'!$B$5:$B$64,0)),"Not on roster"))</f>
        <v/>
      </c>
      <c r="D2060" s="12" t="str">
        <f>IF(B2060="","",IFERROR(INDEX('Cashier Roster'!$D$5:$D$64,MATCH(B2060,'Cashier Roster'!$B$5:$B$64,0)),""))</f>
        <v/>
      </c>
      <c r="E2060" s="13"/>
      <c r="F2060" s="14"/>
      <c r="G2060" s="8" t="str">
        <f>IF(OR(B2060="",E2060=""),"",IF(E2060="No","Missed",IF(F2060="","",IF(F2060&lt;=Settings!$B$7,"On time","Late"))))</f>
        <v/>
      </c>
      <c r="H2060" s="15"/>
      <c r="I2060" s="16"/>
      <c r="J2060" s="16"/>
      <c r="K2060" s="17" t="str">
        <f>IF(J2060="","",ROUND(J2060*Settings!$B$8,2))</f>
        <v/>
      </c>
      <c r="L2060" s="16"/>
      <c r="M2060" s="8" t="str">
        <f t="shared" si="32"/>
        <v/>
      </c>
      <c r="N2060" s="9"/>
    </row>
    <row r="2061" spans="1:14" ht="15.75">
      <c r="A2061" s="11"/>
      <c r="B2061" s="9"/>
      <c r="C2061" s="12" t="str">
        <f>IF(B2061="","",IFERROR(INDEX('Cashier Roster'!$C$5:$C$64,MATCH(B2061,'Cashier Roster'!$B$5:$B$64,0)),"Not on roster"))</f>
        <v/>
      </c>
      <c r="D2061" s="12" t="str">
        <f>IF(B2061="","",IFERROR(INDEX('Cashier Roster'!$D$5:$D$64,MATCH(B2061,'Cashier Roster'!$B$5:$B$64,0)),""))</f>
        <v/>
      </c>
      <c r="E2061" s="13"/>
      <c r="F2061" s="14"/>
      <c r="G2061" s="8" t="str">
        <f>IF(OR(B2061="",E2061=""),"",IF(E2061="No","Missed",IF(F2061="","",IF(F2061&lt;=Settings!$B$7,"On time","Late"))))</f>
        <v/>
      </c>
      <c r="H2061" s="15"/>
      <c r="I2061" s="16"/>
      <c r="J2061" s="16"/>
      <c r="K2061" s="17" t="str">
        <f>IF(J2061="","",ROUND(J2061*Settings!$B$8,2))</f>
        <v/>
      </c>
      <c r="L2061" s="16"/>
      <c r="M2061" s="8" t="str">
        <f t="shared" si="32"/>
        <v/>
      </c>
      <c r="N2061" s="9"/>
    </row>
    <row r="2062" spans="1:14" ht="15.75">
      <c r="A2062" s="11"/>
      <c r="B2062" s="9"/>
      <c r="C2062" s="12" t="str">
        <f>IF(B2062="","",IFERROR(INDEX('Cashier Roster'!$C$5:$C$64,MATCH(B2062,'Cashier Roster'!$B$5:$B$64,0)),"Not on roster"))</f>
        <v/>
      </c>
      <c r="D2062" s="12" t="str">
        <f>IF(B2062="","",IFERROR(INDEX('Cashier Roster'!$D$5:$D$64,MATCH(B2062,'Cashier Roster'!$B$5:$B$64,0)),""))</f>
        <v/>
      </c>
      <c r="E2062" s="13"/>
      <c r="F2062" s="14"/>
      <c r="G2062" s="8" t="str">
        <f>IF(OR(B2062="",E2062=""),"",IF(E2062="No","Missed",IF(F2062="","",IF(F2062&lt;=Settings!$B$7,"On time","Late"))))</f>
        <v/>
      </c>
      <c r="H2062" s="15"/>
      <c r="I2062" s="16"/>
      <c r="J2062" s="16"/>
      <c r="K2062" s="17" t="str">
        <f>IF(J2062="","",ROUND(J2062*Settings!$B$8,2))</f>
        <v/>
      </c>
      <c r="L2062" s="16"/>
      <c r="M2062" s="8" t="str">
        <f t="shared" si="32"/>
        <v/>
      </c>
      <c r="N2062" s="9"/>
    </row>
    <row r="2063" spans="1:14" ht="15.75">
      <c r="A2063" s="11"/>
      <c r="B2063" s="9"/>
      <c r="C2063" s="12" t="str">
        <f>IF(B2063="","",IFERROR(INDEX('Cashier Roster'!$C$5:$C$64,MATCH(B2063,'Cashier Roster'!$B$5:$B$64,0)),"Not on roster"))</f>
        <v/>
      </c>
      <c r="D2063" s="12" t="str">
        <f>IF(B2063="","",IFERROR(INDEX('Cashier Roster'!$D$5:$D$64,MATCH(B2063,'Cashier Roster'!$B$5:$B$64,0)),""))</f>
        <v/>
      </c>
      <c r="E2063" s="13"/>
      <c r="F2063" s="14"/>
      <c r="G2063" s="8" t="str">
        <f>IF(OR(B2063="",E2063=""),"",IF(E2063="No","Missed",IF(F2063="","",IF(F2063&lt;=Settings!$B$7,"On time","Late"))))</f>
        <v/>
      </c>
      <c r="H2063" s="15"/>
      <c r="I2063" s="16"/>
      <c r="J2063" s="16"/>
      <c r="K2063" s="17" t="str">
        <f>IF(J2063="","",ROUND(J2063*Settings!$B$8,2))</f>
        <v/>
      </c>
      <c r="L2063" s="16"/>
      <c r="M2063" s="8" t="str">
        <f t="shared" si="32"/>
        <v/>
      </c>
      <c r="N2063" s="9"/>
    </row>
    <row r="2064" spans="1:14" ht="15.75">
      <c r="A2064" s="11"/>
      <c r="B2064" s="9"/>
      <c r="C2064" s="12" t="str">
        <f>IF(B2064="","",IFERROR(INDEX('Cashier Roster'!$C$5:$C$64,MATCH(B2064,'Cashier Roster'!$B$5:$B$64,0)),"Not on roster"))</f>
        <v/>
      </c>
      <c r="D2064" s="12" t="str">
        <f>IF(B2064="","",IFERROR(INDEX('Cashier Roster'!$D$5:$D$64,MATCH(B2064,'Cashier Roster'!$B$5:$B$64,0)),""))</f>
        <v/>
      </c>
      <c r="E2064" s="13"/>
      <c r="F2064" s="14"/>
      <c r="G2064" s="8" t="str">
        <f>IF(OR(B2064="",E2064=""),"",IF(E2064="No","Missed",IF(F2064="","",IF(F2064&lt;=Settings!$B$7,"On time","Late"))))</f>
        <v/>
      </c>
      <c r="H2064" s="15"/>
      <c r="I2064" s="16"/>
      <c r="J2064" s="16"/>
      <c r="K2064" s="17" t="str">
        <f>IF(J2064="","",ROUND(J2064*Settings!$B$8,2))</f>
        <v/>
      </c>
      <c r="L2064" s="16"/>
      <c r="M2064" s="8" t="str">
        <f t="shared" si="32"/>
        <v/>
      </c>
      <c r="N2064" s="9"/>
    </row>
    <row r="2065" spans="1:14" ht="15.75">
      <c r="A2065" s="11"/>
      <c r="B2065" s="9"/>
      <c r="C2065" s="12" t="str">
        <f>IF(B2065="","",IFERROR(INDEX('Cashier Roster'!$C$5:$C$64,MATCH(B2065,'Cashier Roster'!$B$5:$B$64,0)),"Not on roster"))</f>
        <v/>
      </c>
      <c r="D2065" s="12" t="str">
        <f>IF(B2065="","",IFERROR(INDEX('Cashier Roster'!$D$5:$D$64,MATCH(B2065,'Cashier Roster'!$B$5:$B$64,0)),""))</f>
        <v/>
      </c>
      <c r="E2065" s="13"/>
      <c r="F2065" s="14"/>
      <c r="G2065" s="8" t="str">
        <f>IF(OR(B2065="",E2065=""),"",IF(E2065="No","Missed",IF(F2065="","",IF(F2065&lt;=Settings!$B$7,"On time","Late"))))</f>
        <v/>
      </c>
      <c r="H2065" s="15"/>
      <c r="I2065" s="16"/>
      <c r="J2065" s="16"/>
      <c r="K2065" s="17" t="str">
        <f>IF(J2065="","",ROUND(J2065*Settings!$B$8,2))</f>
        <v/>
      </c>
      <c r="L2065" s="16"/>
      <c r="M2065" s="8" t="str">
        <f t="shared" si="32"/>
        <v/>
      </c>
      <c r="N2065" s="9"/>
    </row>
    <row r="2066" spans="1:14" ht="15.75">
      <c r="A2066" s="11"/>
      <c r="B2066" s="9"/>
      <c r="C2066" s="12" t="str">
        <f>IF(B2066="","",IFERROR(INDEX('Cashier Roster'!$C$5:$C$64,MATCH(B2066,'Cashier Roster'!$B$5:$B$64,0)),"Not on roster"))</f>
        <v/>
      </c>
      <c r="D2066" s="12" t="str">
        <f>IF(B2066="","",IFERROR(INDEX('Cashier Roster'!$D$5:$D$64,MATCH(B2066,'Cashier Roster'!$B$5:$B$64,0)),""))</f>
        <v/>
      </c>
      <c r="E2066" s="13"/>
      <c r="F2066" s="14"/>
      <c r="G2066" s="8" t="str">
        <f>IF(OR(B2066="",E2066=""),"",IF(E2066="No","Missed",IF(F2066="","",IF(F2066&lt;=Settings!$B$7,"On time","Late"))))</f>
        <v/>
      </c>
      <c r="H2066" s="15"/>
      <c r="I2066" s="16"/>
      <c r="J2066" s="16"/>
      <c r="K2066" s="17" t="str">
        <f>IF(J2066="","",ROUND(J2066*Settings!$B$8,2))</f>
        <v/>
      </c>
      <c r="L2066" s="16"/>
      <c r="M2066" s="8" t="str">
        <f t="shared" si="32"/>
        <v/>
      </c>
      <c r="N2066" s="9"/>
    </row>
    <row r="2067" spans="1:14" ht="15.75">
      <c r="A2067" s="11"/>
      <c r="B2067" s="9"/>
      <c r="C2067" s="12" t="str">
        <f>IF(B2067="","",IFERROR(INDEX('Cashier Roster'!$C$5:$C$64,MATCH(B2067,'Cashier Roster'!$B$5:$B$64,0)),"Not on roster"))</f>
        <v/>
      </c>
      <c r="D2067" s="12" t="str">
        <f>IF(B2067="","",IFERROR(INDEX('Cashier Roster'!$D$5:$D$64,MATCH(B2067,'Cashier Roster'!$B$5:$B$64,0)),""))</f>
        <v/>
      </c>
      <c r="E2067" s="13"/>
      <c r="F2067" s="14"/>
      <c r="G2067" s="8" t="str">
        <f>IF(OR(B2067="",E2067=""),"",IF(E2067="No","Missed",IF(F2067="","",IF(F2067&lt;=Settings!$B$7,"On time","Late"))))</f>
        <v/>
      </c>
      <c r="H2067" s="15"/>
      <c r="I2067" s="16"/>
      <c r="J2067" s="16"/>
      <c r="K2067" s="17" t="str">
        <f>IF(J2067="","",ROUND(J2067*Settings!$B$8,2))</f>
        <v/>
      </c>
      <c r="L2067" s="16"/>
      <c r="M2067" s="8" t="str">
        <f t="shared" si="32"/>
        <v/>
      </c>
      <c r="N2067" s="9"/>
    </row>
    <row r="2068" spans="1:14" ht="15.75">
      <c r="A2068" s="11"/>
      <c r="B2068" s="9"/>
      <c r="C2068" s="12" t="str">
        <f>IF(B2068="","",IFERROR(INDEX('Cashier Roster'!$C$5:$C$64,MATCH(B2068,'Cashier Roster'!$B$5:$B$64,0)),"Not on roster"))</f>
        <v/>
      </c>
      <c r="D2068" s="12" t="str">
        <f>IF(B2068="","",IFERROR(INDEX('Cashier Roster'!$D$5:$D$64,MATCH(B2068,'Cashier Roster'!$B$5:$B$64,0)),""))</f>
        <v/>
      </c>
      <c r="E2068" s="13"/>
      <c r="F2068" s="14"/>
      <c r="G2068" s="8" t="str">
        <f>IF(OR(B2068="",E2068=""),"",IF(E2068="No","Missed",IF(F2068="","",IF(F2068&lt;=Settings!$B$7,"On time","Late"))))</f>
        <v/>
      </c>
      <c r="H2068" s="15"/>
      <c r="I2068" s="16"/>
      <c r="J2068" s="16"/>
      <c r="K2068" s="17" t="str">
        <f>IF(J2068="","",ROUND(J2068*Settings!$B$8,2))</f>
        <v/>
      </c>
      <c r="L2068" s="16"/>
      <c r="M2068" s="8" t="str">
        <f t="shared" si="32"/>
        <v/>
      </c>
      <c r="N2068" s="9"/>
    </row>
    <row r="2069" spans="1:14" ht="15.75">
      <c r="A2069" s="11"/>
      <c r="B2069" s="9"/>
      <c r="C2069" s="12" t="str">
        <f>IF(B2069="","",IFERROR(INDEX('Cashier Roster'!$C$5:$C$64,MATCH(B2069,'Cashier Roster'!$B$5:$B$64,0)),"Not on roster"))</f>
        <v/>
      </c>
      <c r="D2069" s="12" t="str">
        <f>IF(B2069="","",IFERROR(INDEX('Cashier Roster'!$D$5:$D$64,MATCH(B2069,'Cashier Roster'!$B$5:$B$64,0)),""))</f>
        <v/>
      </c>
      <c r="E2069" s="13"/>
      <c r="F2069" s="14"/>
      <c r="G2069" s="8" t="str">
        <f>IF(OR(B2069="",E2069=""),"",IF(E2069="No","Missed",IF(F2069="","",IF(F2069&lt;=Settings!$B$7,"On time","Late"))))</f>
        <v/>
      </c>
      <c r="H2069" s="15"/>
      <c r="I2069" s="16"/>
      <c r="J2069" s="16"/>
      <c r="K2069" s="17" t="str">
        <f>IF(J2069="","",ROUND(J2069*Settings!$B$8,2))</f>
        <v/>
      </c>
      <c r="L2069" s="16"/>
      <c r="M2069" s="8" t="str">
        <f t="shared" si="32"/>
        <v/>
      </c>
      <c r="N2069" s="9"/>
    </row>
    <row r="2070" spans="1:14" ht="15.75">
      <c r="A2070" s="11"/>
      <c r="B2070" s="9"/>
      <c r="C2070" s="12" t="str">
        <f>IF(B2070="","",IFERROR(INDEX('Cashier Roster'!$C$5:$C$64,MATCH(B2070,'Cashier Roster'!$B$5:$B$64,0)),"Not on roster"))</f>
        <v/>
      </c>
      <c r="D2070" s="12" t="str">
        <f>IF(B2070="","",IFERROR(INDEX('Cashier Roster'!$D$5:$D$64,MATCH(B2070,'Cashier Roster'!$B$5:$B$64,0)),""))</f>
        <v/>
      </c>
      <c r="E2070" s="13"/>
      <c r="F2070" s="14"/>
      <c r="G2070" s="8" t="str">
        <f>IF(OR(B2070="",E2070=""),"",IF(E2070="No","Missed",IF(F2070="","",IF(F2070&lt;=Settings!$B$7,"On time","Late"))))</f>
        <v/>
      </c>
      <c r="H2070" s="15"/>
      <c r="I2070" s="16"/>
      <c r="J2070" s="16"/>
      <c r="K2070" s="17" t="str">
        <f>IF(J2070="","",ROUND(J2070*Settings!$B$8,2))</f>
        <v/>
      </c>
      <c r="L2070" s="16"/>
      <c r="M2070" s="8" t="str">
        <f t="shared" si="32"/>
        <v/>
      </c>
      <c r="N2070" s="9"/>
    </row>
    <row r="2071" spans="1:14" ht="15.75">
      <c r="A2071" s="11"/>
      <c r="B2071" s="9"/>
      <c r="C2071" s="12" t="str">
        <f>IF(B2071="","",IFERROR(INDEX('Cashier Roster'!$C$5:$C$64,MATCH(B2071,'Cashier Roster'!$B$5:$B$64,0)),"Not on roster"))</f>
        <v/>
      </c>
      <c r="D2071" s="12" t="str">
        <f>IF(B2071="","",IFERROR(INDEX('Cashier Roster'!$D$5:$D$64,MATCH(B2071,'Cashier Roster'!$B$5:$B$64,0)),""))</f>
        <v/>
      </c>
      <c r="E2071" s="13"/>
      <c r="F2071" s="14"/>
      <c r="G2071" s="8" t="str">
        <f>IF(OR(B2071="",E2071=""),"",IF(E2071="No","Missed",IF(F2071="","",IF(F2071&lt;=Settings!$B$7,"On time","Late"))))</f>
        <v/>
      </c>
      <c r="H2071" s="15"/>
      <c r="I2071" s="16"/>
      <c r="J2071" s="16"/>
      <c r="K2071" s="17" t="str">
        <f>IF(J2071="","",ROUND(J2071*Settings!$B$8,2))</f>
        <v/>
      </c>
      <c r="L2071" s="16"/>
      <c r="M2071" s="8" t="str">
        <f t="shared" si="32"/>
        <v/>
      </c>
      <c r="N2071" s="9"/>
    </row>
    <row r="2072" spans="1:14" ht="15.75">
      <c r="A2072" s="11"/>
      <c r="B2072" s="9"/>
      <c r="C2072" s="12" t="str">
        <f>IF(B2072="","",IFERROR(INDEX('Cashier Roster'!$C$5:$C$64,MATCH(B2072,'Cashier Roster'!$B$5:$B$64,0)),"Not on roster"))</f>
        <v/>
      </c>
      <c r="D2072" s="12" t="str">
        <f>IF(B2072="","",IFERROR(INDEX('Cashier Roster'!$D$5:$D$64,MATCH(B2072,'Cashier Roster'!$B$5:$B$64,0)),""))</f>
        <v/>
      </c>
      <c r="E2072" s="13"/>
      <c r="F2072" s="14"/>
      <c r="G2072" s="8" t="str">
        <f>IF(OR(B2072="",E2072=""),"",IF(E2072="No","Missed",IF(F2072="","",IF(F2072&lt;=Settings!$B$7,"On time","Late"))))</f>
        <v/>
      </c>
      <c r="H2072" s="15"/>
      <c r="I2072" s="16"/>
      <c r="J2072" s="16"/>
      <c r="K2072" s="17" t="str">
        <f>IF(J2072="","",ROUND(J2072*Settings!$B$8,2))</f>
        <v/>
      </c>
      <c r="L2072" s="16"/>
      <c r="M2072" s="8" t="str">
        <f t="shared" si="32"/>
        <v/>
      </c>
      <c r="N2072" s="9"/>
    </row>
    <row r="2073" spans="1:14" ht="15.75">
      <c r="A2073" s="11"/>
      <c r="B2073" s="9"/>
      <c r="C2073" s="12" t="str">
        <f>IF(B2073="","",IFERROR(INDEX('Cashier Roster'!$C$5:$C$64,MATCH(B2073,'Cashier Roster'!$B$5:$B$64,0)),"Not on roster"))</f>
        <v/>
      </c>
      <c r="D2073" s="12" t="str">
        <f>IF(B2073="","",IFERROR(INDEX('Cashier Roster'!$D$5:$D$64,MATCH(B2073,'Cashier Roster'!$B$5:$B$64,0)),""))</f>
        <v/>
      </c>
      <c r="E2073" s="13"/>
      <c r="F2073" s="14"/>
      <c r="G2073" s="8" t="str">
        <f>IF(OR(B2073="",E2073=""),"",IF(E2073="No","Missed",IF(F2073="","",IF(F2073&lt;=Settings!$B$7,"On time","Late"))))</f>
        <v/>
      </c>
      <c r="H2073" s="15"/>
      <c r="I2073" s="16"/>
      <c r="J2073" s="16"/>
      <c r="K2073" s="17" t="str">
        <f>IF(J2073="","",ROUND(J2073*Settings!$B$8,2))</f>
        <v/>
      </c>
      <c r="L2073" s="16"/>
      <c r="M2073" s="8" t="str">
        <f t="shared" si="32"/>
        <v/>
      </c>
      <c r="N2073" s="9"/>
    </row>
    <row r="2074" spans="1:14" ht="15.75">
      <c r="A2074" s="11"/>
      <c r="B2074" s="9"/>
      <c r="C2074" s="12" t="str">
        <f>IF(B2074="","",IFERROR(INDEX('Cashier Roster'!$C$5:$C$64,MATCH(B2074,'Cashier Roster'!$B$5:$B$64,0)),"Not on roster"))</f>
        <v/>
      </c>
      <c r="D2074" s="12" t="str">
        <f>IF(B2074="","",IFERROR(INDEX('Cashier Roster'!$D$5:$D$64,MATCH(B2074,'Cashier Roster'!$B$5:$B$64,0)),""))</f>
        <v/>
      </c>
      <c r="E2074" s="13"/>
      <c r="F2074" s="14"/>
      <c r="G2074" s="8" t="str">
        <f>IF(OR(B2074="",E2074=""),"",IF(E2074="No","Missed",IF(F2074="","",IF(F2074&lt;=Settings!$B$7,"On time","Late"))))</f>
        <v/>
      </c>
      <c r="H2074" s="15"/>
      <c r="I2074" s="16"/>
      <c r="J2074" s="16"/>
      <c r="K2074" s="17" t="str">
        <f>IF(J2074="","",ROUND(J2074*Settings!$B$8,2))</f>
        <v/>
      </c>
      <c r="L2074" s="16"/>
      <c r="M2074" s="8" t="str">
        <f t="shared" si="32"/>
        <v/>
      </c>
      <c r="N2074" s="9"/>
    </row>
    <row r="2075" spans="1:14" ht="15.75">
      <c r="A2075" s="11"/>
      <c r="B2075" s="9"/>
      <c r="C2075" s="12" t="str">
        <f>IF(B2075="","",IFERROR(INDEX('Cashier Roster'!$C$5:$C$64,MATCH(B2075,'Cashier Roster'!$B$5:$B$64,0)),"Not on roster"))</f>
        <v/>
      </c>
      <c r="D2075" s="12" t="str">
        <f>IF(B2075="","",IFERROR(INDEX('Cashier Roster'!$D$5:$D$64,MATCH(B2075,'Cashier Roster'!$B$5:$B$64,0)),""))</f>
        <v/>
      </c>
      <c r="E2075" s="13"/>
      <c r="F2075" s="14"/>
      <c r="G2075" s="8" t="str">
        <f>IF(OR(B2075="",E2075=""),"",IF(E2075="No","Missed",IF(F2075="","",IF(F2075&lt;=Settings!$B$7,"On time","Late"))))</f>
        <v/>
      </c>
      <c r="H2075" s="15"/>
      <c r="I2075" s="16"/>
      <c r="J2075" s="16"/>
      <c r="K2075" s="17" t="str">
        <f>IF(J2075="","",ROUND(J2075*Settings!$B$8,2))</f>
        <v/>
      </c>
      <c r="L2075" s="16"/>
      <c r="M2075" s="8" t="str">
        <f t="shared" si="32"/>
        <v/>
      </c>
      <c r="N2075" s="9"/>
    </row>
    <row r="2076" spans="1:14" ht="15.75">
      <c r="A2076" s="11"/>
      <c r="B2076" s="9"/>
      <c r="C2076" s="12" t="str">
        <f>IF(B2076="","",IFERROR(INDEX('Cashier Roster'!$C$5:$C$64,MATCH(B2076,'Cashier Roster'!$B$5:$B$64,0)),"Not on roster"))</f>
        <v/>
      </c>
      <c r="D2076" s="12" t="str">
        <f>IF(B2076="","",IFERROR(INDEX('Cashier Roster'!$D$5:$D$64,MATCH(B2076,'Cashier Roster'!$B$5:$B$64,0)),""))</f>
        <v/>
      </c>
      <c r="E2076" s="13"/>
      <c r="F2076" s="14"/>
      <c r="G2076" s="8" t="str">
        <f>IF(OR(B2076="",E2076=""),"",IF(E2076="No","Missed",IF(F2076="","",IF(F2076&lt;=Settings!$B$7,"On time","Late"))))</f>
        <v/>
      </c>
      <c r="H2076" s="15"/>
      <c r="I2076" s="16"/>
      <c r="J2076" s="16"/>
      <c r="K2076" s="17" t="str">
        <f>IF(J2076="","",ROUND(J2076*Settings!$B$8,2))</f>
        <v/>
      </c>
      <c r="L2076" s="16"/>
      <c r="M2076" s="8" t="str">
        <f t="shared" si="32"/>
        <v/>
      </c>
      <c r="N2076" s="9"/>
    </row>
    <row r="2077" spans="1:14" ht="15.75">
      <c r="A2077" s="11"/>
      <c r="B2077" s="9"/>
      <c r="C2077" s="12" t="str">
        <f>IF(B2077="","",IFERROR(INDEX('Cashier Roster'!$C$5:$C$64,MATCH(B2077,'Cashier Roster'!$B$5:$B$64,0)),"Not on roster"))</f>
        <v/>
      </c>
      <c r="D2077" s="12" t="str">
        <f>IF(B2077="","",IFERROR(INDEX('Cashier Roster'!$D$5:$D$64,MATCH(B2077,'Cashier Roster'!$B$5:$B$64,0)),""))</f>
        <v/>
      </c>
      <c r="E2077" s="13"/>
      <c r="F2077" s="14"/>
      <c r="G2077" s="8" t="str">
        <f>IF(OR(B2077="",E2077=""),"",IF(E2077="No","Missed",IF(F2077="","",IF(F2077&lt;=Settings!$B$7,"On time","Late"))))</f>
        <v/>
      </c>
      <c r="H2077" s="15"/>
      <c r="I2077" s="16"/>
      <c r="J2077" s="16"/>
      <c r="K2077" s="17" t="str">
        <f>IF(J2077="","",ROUND(J2077*Settings!$B$8,2))</f>
        <v/>
      </c>
      <c r="L2077" s="16"/>
      <c r="M2077" s="8" t="str">
        <f t="shared" si="32"/>
        <v/>
      </c>
      <c r="N2077" s="9"/>
    </row>
    <row r="2078" spans="1:14" ht="15.75">
      <c r="A2078" s="11"/>
      <c r="B2078" s="9"/>
      <c r="C2078" s="12" t="str">
        <f>IF(B2078="","",IFERROR(INDEX('Cashier Roster'!$C$5:$C$64,MATCH(B2078,'Cashier Roster'!$B$5:$B$64,0)),"Not on roster"))</f>
        <v/>
      </c>
      <c r="D2078" s="12" t="str">
        <f>IF(B2078="","",IFERROR(INDEX('Cashier Roster'!$D$5:$D$64,MATCH(B2078,'Cashier Roster'!$B$5:$B$64,0)),""))</f>
        <v/>
      </c>
      <c r="E2078" s="13"/>
      <c r="F2078" s="14"/>
      <c r="G2078" s="8" t="str">
        <f>IF(OR(B2078="",E2078=""),"",IF(E2078="No","Missed",IF(F2078="","",IF(F2078&lt;=Settings!$B$7,"On time","Late"))))</f>
        <v/>
      </c>
      <c r="H2078" s="15"/>
      <c r="I2078" s="16"/>
      <c r="J2078" s="16"/>
      <c r="K2078" s="17" t="str">
        <f>IF(J2078="","",ROUND(J2078*Settings!$B$8,2))</f>
        <v/>
      </c>
      <c r="L2078" s="16"/>
      <c r="M2078" s="8" t="str">
        <f t="shared" si="32"/>
        <v/>
      </c>
      <c r="N2078" s="9"/>
    </row>
    <row r="2079" spans="1:14" ht="15.75">
      <c r="A2079" s="11"/>
      <c r="B2079" s="9"/>
      <c r="C2079" s="12" t="str">
        <f>IF(B2079="","",IFERROR(INDEX('Cashier Roster'!$C$5:$C$64,MATCH(B2079,'Cashier Roster'!$B$5:$B$64,0)),"Not on roster"))</f>
        <v/>
      </c>
      <c r="D2079" s="12" t="str">
        <f>IF(B2079="","",IFERROR(INDEX('Cashier Roster'!$D$5:$D$64,MATCH(B2079,'Cashier Roster'!$B$5:$B$64,0)),""))</f>
        <v/>
      </c>
      <c r="E2079" s="13"/>
      <c r="F2079" s="14"/>
      <c r="G2079" s="8" t="str">
        <f>IF(OR(B2079="",E2079=""),"",IF(E2079="No","Missed",IF(F2079="","",IF(F2079&lt;=Settings!$B$7,"On time","Late"))))</f>
        <v/>
      </c>
      <c r="H2079" s="15"/>
      <c r="I2079" s="16"/>
      <c r="J2079" s="16"/>
      <c r="K2079" s="17" t="str">
        <f>IF(J2079="","",ROUND(J2079*Settings!$B$8,2))</f>
        <v/>
      </c>
      <c r="L2079" s="16"/>
      <c r="M2079" s="8" t="str">
        <f t="shared" si="32"/>
        <v/>
      </c>
      <c r="N2079" s="9"/>
    </row>
    <row r="2080" spans="1:14" ht="15.75">
      <c r="A2080" s="11"/>
      <c r="B2080" s="9"/>
      <c r="C2080" s="12" t="str">
        <f>IF(B2080="","",IFERROR(INDEX('Cashier Roster'!$C$5:$C$64,MATCH(B2080,'Cashier Roster'!$B$5:$B$64,0)),"Not on roster"))</f>
        <v/>
      </c>
      <c r="D2080" s="12" t="str">
        <f>IF(B2080="","",IFERROR(INDEX('Cashier Roster'!$D$5:$D$64,MATCH(B2080,'Cashier Roster'!$B$5:$B$64,0)),""))</f>
        <v/>
      </c>
      <c r="E2080" s="13"/>
      <c r="F2080" s="14"/>
      <c r="G2080" s="8" t="str">
        <f>IF(OR(B2080="",E2080=""),"",IF(E2080="No","Missed",IF(F2080="","",IF(F2080&lt;=Settings!$B$7,"On time","Late"))))</f>
        <v/>
      </c>
      <c r="H2080" s="15"/>
      <c r="I2080" s="16"/>
      <c r="J2080" s="16"/>
      <c r="K2080" s="17" t="str">
        <f>IF(J2080="","",ROUND(J2080*Settings!$B$8,2))</f>
        <v/>
      </c>
      <c r="L2080" s="16"/>
      <c r="M2080" s="8" t="str">
        <f t="shared" si="32"/>
        <v/>
      </c>
      <c r="N2080" s="9"/>
    </row>
    <row r="2081" spans="1:14" ht="15.75">
      <c r="A2081" s="11"/>
      <c r="B2081" s="9"/>
      <c r="C2081" s="12" t="str">
        <f>IF(B2081="","",IFERROR(INDEX('Cashier Roster'!$C$5:$C$64,MATCH(B2081,'Cashier Roster'!$B$5:$B$64,0)),"Not on roster"))</f>
        <v/>
      </c>
      <c r="D2081" s="12" t="str">
        <f>IF(B2081="","",IFERROR(INDEX('Cashier Roster'!$D$5:$D$64,MATCH(B2081,'Cashier Roster'!$B$5:$B$64,0)),""))</f>
        <v/>
      </c>
      <c r="E2081" s="13"/>
      <c r="F2081" s="14"/>
      <c r="G2081" s="8" t="str">
        <f>IF(OR(B2081="",E2081=""),"",IF(E2081="No","Missed",IF(F2081="","",IF(F2081&lt;=Settings!$B$7,"On time","Late"))))</f>
        <v/>
      </c>
      <c r="H2081" s="15"/>
      <c r="I2081" s="16"/>
      <c r="J2081" s="16"/>
      <c r="K2081" s="17" t="str">
        <f>IF(J2081="","",ROUND(J2081*Settings!$B$8,2))</f>
        <v/>
      </c>
      <c r="L2081" s="16"/>
      <c r="M2081" s="8" t="str">
        <f t="shared" si="32"/>
        <v/>
      </c>
      <c r="N2081" s="9"/>
    </row>
    <row r="2082" spans="1:14" ht="15.75">
      <c r="A2082" s="11"/>
      <c r="B2082" s="9"/>
      <c r="C2082" s="12" t="str">
        <f>IF(B2082="","",IFERROR(INDEX('Cashier Roster'!$C$5:$C$64,MATCH(B2082,'Cashier Roster'!$B$5:$B$64,0)),"Not on roster"))</f>
        <v/>
      </c>
      <c r="D2082" s="12" t="str">
        <f>IF(B2082="","",IFERROR(INDEX('Cashier Roster'!$D$5:$D$64,MATCH(B2082,'Cashier Roster'!$B$5:$B$64,0)),""))</f>
        <v/>
      </c>
      <c r="E2082" s="13"/>
      <c r="F2082" s="14"/>
      <c r="G2082" s="8" t="str">
        <f>IF(OR(B2082="",E2082=""),"",IF(E2082="No","Missed",IF(F2082="","",IF(F2082&lt;=Settings!$B$7,"On time","Late"))))</f>
        <v/>
      </c>
      <c r="H2082" s="15"/>
      <c r="I2082" s="16"/>
      <c r="J2082" s="16"/>
      <c r="K2082" s="17" t="str">
        <f>IF(J2082="","",ROUND(J2082*Settings!$B$8,2))</f>
        <v/>
      </c>
      <c r="L2082" s="16"/>
      <c r="M2082" s="8" t="str">
        <f t="shared" si="32"/>
        <v/>
      </c>
      <c r="N2082" s="9"/>
    </row>
    <row r="2083" spans="1:14" ht="15.75">
      <c r="A2083" s="11"/>
      <c r="B2083" s="9"/>
      <c r="C2083" s="12" t="str">
        <f>IF(B2083="","",IFERROR(INDEX('Cashier Roster'!$C$5:$C$64,MATCH(B2083,'Cashier Roster'!$B$5:$B$64,0)),"Not on roster"))</f>
        <v/>
      </c>
      <c r="D2083" s="12" t="str">
        <f>IF(B2083="","",IFERROR(INDEX('Cashier Roster'!$D$5:$D$64,MATCH(B2083,'Cashier Roster'!$B$5:$B$64,0)),""))</f>
        <v/>
      </c>
      <c r="E2083" s="13"/>
      <c r="F2083" s="14"/>
      <c r="G2083" s="8" t="str">
        <f>IF(OR(B2083="",E2083=""),"",IF(E2083="No","Missed",IF(F2083="","",IF(F2083&lt;=Settings!$B$7,"On time","Late"))))</f>
        <v/>
      </c>
      <c r="H2083" s="15"/>
      <c r="I2083" s="16"/>
      <c r="J2083" s="16"/>
      <c r="K2083" s="17" t="str">
        <f>IF(J2083="","",ROUND(J2083*Settings!$B$8,2))</f>
        <v/>
      </c>
      <c r="L2083" s="16"/>
      <c r="M2083" s="8" t="str">
        <f t="shared" si="32"/>
        <v/>
      </c>
      <c r="N2083" s="9"/>
    </row>
    <row r="2084" spans="1:14" ht="15.75">
      <c r="A2084" s="11"/>
      <c r="B2084" s="9"/>
      <c r="C2084" s="12" t="str">
        <f>IF(B2084="","",IFERROR(INDEX('Cashier Roster'!$C$5:$C$64,MATCH(B2084,'Cashier Roster'!$B$5:$B$64,0)),"Not on roster"))</f>
        <v/>
      </c>
      <c r="D2084" s="12" t="str">
        <f>IF(B2084="","",IFERROR(INDEX('Cashier Roster'!$D$5:$D$64,MATCH(B2084,'Cashier Roster'!$B$5:$B$64,0)),""))</f>
        <v/>
      </c>
      <c r="E2084" s="13"/>
      <c r="F2084" s="14"/>
      <c r="G2084" s="8" t="str">
        <f>IF(OR(B2084="",E2084=""),"",IF(E2084="No","Missed",IF(F2084="","",IF(F2084&lt;=Settings!$B$7,"On time","Late"))))</f>
        <v/>
      </c>
      <c r="H2084" s="15"/>
      <c r="I2084" s="16"/>
      <c r="J2084" s="16"/>
      <c r="K2084" s="17" t="str">
        <f>IF(J2084="","",ROUND(J2084*Settings!$B$8,2))</f>
        <v/>
      </c>
      <c r="L2084" s="16"/>
      <c r="M2084" s="8" t="str">
        <f t="shared" si="32"/>
        <v/>
      </c>
      <c r="N2084" s="9"/>
    </row>
    <row r="2085" spans="1:14" ht="15.75">
      <c r="A2085" s="11"/>
      <c r="B2085" s="9"/>
      <c r="C2085" s="12" t="str">
        <f>IF(B2085="","",IFERROR(INDEX('Cashier Roster'!$C$5:$C$64,MATCH(B2085,'Cashier Roster'!$B$5:$B$64,0)),"Not on roster"))</f>
        <v/>
      </c>
      <c r="D2085" s="12" t="str">
        <f>IF(B2085="","",IFERROR(INDEX('Cashier Roster'!$D$5:$D$64,MATCH(B2085,'Cashier Roster'!$B$5:$B$64,0)),""))</f>
        <v/>
      </c>
      <c r="E2085" s="13"/>
      <c r="F2085" s="14"/>
      <c r="G2085" s="8" t="str">
        <f>IF(OR(B2085="",E2085=""),"",IF(E2085="No","Missed",IF(F2085="","",IF(F2085&lt;=Settings!$B$7,"On time","Late"))))</f>
        <v/>
      </c>
      <c r="H2085" s="15"/>
      <c r="I2085" s="16"/>
      <c r="J2085" s="16"/>
      <c r="K2085" s="17" t="str">
        <f>IF(J2085="","",ROUND(J2085*Settings!$B$8,2))</f>
        <v/>
      </c>
      <c r="L2085" s="16"/>
      <c r="M2085" s="8" t="str">
        <f t="shared" si="32"/>
        <v/>
      </c>
      <c r="N2085" s="9"/>
    </row>
    <row r="2086" spans="1:14" ht="15.75">
      <c r="A2086" s="11"/>
      <c r="B2086" s="9"/>
      <c r="C2086" s="12" t="str">
        <f>IF(B2086="","",IFERROR(INDEX('Cashier Roster'!$C$5:$C$64,MATCH(B2086,'Cashier Roster'!$B$5:$B$64,0)),"Not on roster"))</f>
        <v/>
      </c>
      <c r="D2086" s="12" t="str">
        <f>IF(B2086="","",IFERROR(INDEX('Cashier Roster'!$D$5:$D$64,MATCH(B2086,'Cashier Roster'!$B$5:$B$64,0)),""))</f>
        <v/>
      </c>
      <c r="E2086" s="13"/>
      <c r="F2086" s="14"/>
      <c r="G2086" s="8" t="str">
        <f>IF(OR(B2086="",E2086=""),"",IF(E2086="No","Missed",IF(F2086="","",IF(F2086&lt;=Settings!$B$7,"On time","Late"))))</f>
        <v/>
      </c>
      <c r="H2086" s="15"/>
      <c r="I2086" s="16"/>
      <c r="J2086" s="16"/>
      <c r="K2086" s="17" t="str">
        <f>IF(J2086="","",ROUND(J2086*Settings!$B$8,2))</f>
        <v/>
      </c>
      <c r="L2086" s="16"/>
      <c r="M2086" s="8" t="str">
        <f t="shared" si="32"/>
        <v/>
      </c>
      <c r="N2086" s="9"/>
    </row>
    <row r="2087" spans="1:14" ht="15.75">
      <c r="A2087" s="11"/>
      <c r="B2087" s="9"/>
      <c r="C2087" s="12" t="str">
        <f>IF(B2087="","",IFERROR(INDEX('Cashier Roster'!$C$5:$C$64,MATCH(B2087,'Cashier Roster'!$B$5:$B$64,0)),"Not on roster"))</f>
        <v/>
      </c>
      <c r="D2087" s="12" t="str">
        <f>IF(B2087="","",IFERROR(INDEX('Cashier Roster'!$D$5:$D$64,MATCH(B2087,'Cashier Roster'!$B$5:$B$64,0)),""))</f>
        <v/>
      </c>
      <c r="E2087" s="13"/>
      <c r="F2087" s="14"/>
      <c r="G2087" s="8" t="str">
        <f>IF(OR(B2087="",E2087=""),"",IF(E2087="No","Missed",IF(F2087="","",IF(F2087&lt;=Settings!$B$7,"On time","Late"))))</f>
        <v/>
      </c>
      <c r="H2087" s="15"/>
      <c r="I2087" s="16"/>
      <c r="J2087" s="16"/>
      <c r="K2087" s="17" t="str">
        <f>IF(J2087="","",ROUND(J2087*Settings!$B$8,2))</f>
        <v/>
      </c>
      <c r="L2087" s="16"/>
      <c r="M2087" s="8" t="str">
        <f t="shared" si="32"/>
        <v/>
      </c>
      <c r="N2087" s="9"/>
    </row>
    <row r="2088" spans="1:14" ht="15.75">
      <c r="A2088" s="11"/>
      <c r="B2088" s="9"/>
      <c r="C2088" s="12" t="str">
        <f>IF(B2088="","",IFERROR(INDEX('Cashier Roster'!$C$5:$C$64,MATCH(B2088,'Cashier Roster'!$B$5:$B$64,0)),"Not on roster"))</f>
        <v/>
      </c>
      <c r="D2088" s="12" t="str">
        <f>IF(B2088="","",IFERROR(INDEX('Cashier Roster'!$D$5:$D$64,MATCH(B2088,'Cashier Roster'!$B$5:$B$64,0)),""))</f>
        <v/>
      </c>
      <c r="E2088" s="13"/>
      <c r="F2088" s="14"/>
      <c r="G2088" s="8" t="str">
        <f>IF(OR(B2088="",E2088=""),"",IF(E2088="No","Missed",IF(F2088="","",IF(F2088&lt;=Settings!$B$7,"On time","Late"))))</f>
        <v/>
      </c>
      <c r="H2088" s="15"/>
      <c r="I2088" s="16"/>
      <c r="J2088" s="16"/>
      <c r="K2088" s="17" t="str">
        <f>IF(J2088="","",ROUND(J2088*Settings!$B$8,2))</f>
        <v/>
      </c>
      <c r="L2088" s="16"/>
      <c r="M2088" s="8" t="str">
        <f t="shared" si="32"/>
        <v/>
      </c>
      <c r="N2088" s="9"/>
    </row>
    <row r="2089" spans="1:14" ht="15.75">
      <c r="A2089" s="11"/>
      <c r="B2089" s="9"/>
      <c r="C2089" s="12" t="str">
        <f>IF(B2089="","",IFERROR(INDEX('Cashier Roster'!$C$5:$C$64,MATCH(B2089,'Cashier Roster'!$B$5:$B$64,0)),"Not on roster"))</f>
        <v/>
      </c>
      <c r="D2089" s="12" t="str">
        <f>IF(B2089="","",IFERROR(INDEX('Cashier Roster'!$D$5:$D$64,MATCH(B2089,'Cashier Roster'!$B$5:$B$64,0)),""))</f>
        <v/>
      </c>
      <c r="E2089" s="13"/>
      <c r="F2089" s="14"/>
      <c r="G2089" s="8" t="str">
        <f>IF(OR(B2089="",E2089=""),"",IF(E2089="No","Missed",IF(F2089="","",IF(F2089&lt;=Settings!$B$7,"On time","Late"))))</f>
        <v/>
      </c>
      <c r="H2089" s="15"/>
      <c r="I2089" s="16"/>
      <c r="J2089" s="16"/>
      <c r="K2089" s="17" t="str">
        <f>IF(J2089="","",ROUND(J2089*Settings!$B$8,2))</f>
        <v/>
      </c>
      <c r="L2089" s="16"/>
      <c r="M2089" s="8" t="str">
        <f t="shared" si="32"/>
        <v/>
      </c>
      <c r="N2089" s="9"/>
    </row>
    <row r="2090" spans="1:14" ht="15.75">
      <c r="A2090" s="11"/>
      <c r="B2090" s="9"/>
      <c r="C2090" s="12" t="str">
        <f>IF(B2090="","",IFERROR(INDEX('Cashier Roster'!$C$5:$C$64,MATCH(B2090,'Cashier Roster'!$B$5:$B$64,0)),"Not on roster"))</f>
        <v/>
      </c>
      <c r="D2090" s="12" t="str">
        <f>IF(B2090="","",IFERROR(INDEX('Cashier Roster'!$D$5:$D$64,MATCH(B2090,'Cashier Roster'!$B$5:$B$64,0)),""))</f>
        <v/>
      </c>
      <c r="E2090" s="13"/>
      <c r="F2090" s="14"/>
      <c r="G2090" s="8" t="str">
        <f>IF(OR(B2090="",E2090=""),"",IF(E2090="No","Missed",IF(F2090="","",IF(F2090&lt;=Settings!$B$7,"On time","Late"))))</f>
        <v/>
      </c>
      <c r="H2090" s="15"/>
      <c r="I2090" s="16"/>
      <c r="J2090" s="16"/>
      <c r="K2090" s="17" t="str">
        <f>IF(J2090="","",ROUND(J2090*Settings!$B$8,2))</f>
        <v/>
      </c>
      <c r="L2090" s="16"/>
      <c r="M2090" s="8" t="str">
        <f t="shared" si="32"/>
        <v/>
      </c>
      <c r="N2090" s="9"/>
    </row>
    <row r="2091" spans="1:14" ht="15.75">
      <c r="A2091" s="11"/>
      <c r="B2091" s="9"/>
      <c r="C2091" s="12" t="str">
        <f>IF(B2091="","",IFERROR(INDEX('Cashier Roster'!$C$5:$C$64,MATCH(B2091,'Cashier Roster'!$B$5:$B$64,0)),"Not on roster"))</f>
        <v/>
      </c>
      <c r="D2091" s="12" t="str">
        <f>IF(B2091="","",IFERROR(INDEX('Cashier Roster'!$D$5:$D$64,MATCH(B2091,'Cashier Roster'!$B$5:$B$64,0)),""))</f>
        <v/>
      </c>
      <c r="E2091" s="13"/>
      <c r="F2091" s="14"/>
      <c r="G2091" s="8" t="str">
        <f>IF(OR(B2091="",E2091=""),"",IF(E2091="No","Missed",IF(F2091="","",IF(F2091&lt;=Settings!$B$7,"On time","Late"))))</f>
        <v/>
      </c>
      <c r="H2091" s="15"/>
      <c r="I2091" s="16"/>
      <c r="J2091" s="16"/>
      <c r="K2091" s="17" t="str">
        <f>IF(J2091="","",ROUND(J2091*Settings!$B$8,2))</f>
        <v/>
      </c>
      <c r="L2091" s="16"/>
      <c r="M2091" s="8" t="str">
        <f t="shared" si="32"/>
        <v/>
      </c>
      <c r="N2091" s="9"/>
    </row>
    <row r="2092" spans="1:14" ht="15.75">
      <c r="A2092" s="11"/>
      <c r="B2092" s="9"/>
      <c r="C2092" s="12" t="str">
        <f>IF(B2092="","",IFERROR(INDEX('Cashier Roster'!$C$5:$C$64,MATCH(B2092,'Cashier Roster'!$B$5:$B$64,0)),"Not on roster"))</f>
        <v/>
      </c>
      <c r="D2092" s="12" t="str">
        <f>IF(B2092="","",IFERROR(INDEX('Cashier Roster'!$D$5:$D$64,MATCH(B2092,'Cashier Roster'!$B$5:$B$64,0)),""))</f>
        <v/>
      </c>
      <c r="E2092" s="13"/>
      <c r="F2092" s="14"/>
      <c r="G2092" s="8" t="str">
        <f>IF(OR(B2092="",E2092=""),"",IF(E2092="No","Missed",IF(F2092="","",IF(F2092&lt;=Settings!$B$7,"On time","Late"))))</f>
        <v/>
      </c>
      <c r="H2092" s="15"/>
      <c r="I2092" s="16"/>
      <c r="J2092" s="16"/>
      <c r="K2092" s="17" t="str">
        <f>IF(J2092="","",ROUND(J2092*Settings!$B$8,2))</f>
        <v/>
      </c>
      <c r="L2092" s="16"/>
      <c r="M2092" s="8" t="str">
        <f t="shared" si="32"/>
        <v/>
      </c>
      <c r="N2092" s="9"/>
    </row>
    <row r="2093" spans="1:14" ht="15.75">
      <c r="A2093" s="11"/>
      <c r="B2093" s="9"/>
      <c r="C2093" s="12" t="str">
        <f>IF(B2093="","",IFERROR(INDEX('Cashier Roster'!$C$5:$C$64,MATCH(B2093,'Cashier Roster'!$B$5:$B$64,0)),"Not on roster"))</f>
        <v/>
      </c>
      <c r="D2093" s="12" t="str">
        <f>IF(B2093="","",IFERROR(INDEX('Cashier Roster'!$D$5:$D$64,MATCH(B2093,'Cashier Roster'!$B$5:$B$64,0)),""))</f>
        <v/>
      </c>
      <c r="E2093" s="13"/>
      <c r="F2093" s="14"/>
      <c r="G2093" s="8" t="str">
        <f>IF(OR(B2093="",E2093=""),"",IF(E2093="No","Missed",IF(F2093="","",IF(F2093&lt;=Settings!$B$7,"On time","Late"))))</f>
        <v/>
      </c>
      <c r="H2093" s="15"/>
      <c r="I2093" s="16"/>
      <c r="J2093" s="16"/>
      <c r="K2093" s="17" t="str">
        <f>IF(J2093="","",ROUND(J2093*Settings!$B$8,2))</f>
        <v/>
      </c>
      <c r="L2093" s="16"/>
      <c r="M2093" s="8" t="str">
        <f t="shared" si="32"/>
        <v/>
      </c>
      <c r="N2093" s="9"/>
    </row>
    <row r="2094" spans="1:14" ht="15.75">
      <c r="A2094" s="11"/>
      <c r="B2094" s="9"/>
      <c r="C2094" s="12" t="str">
        <f>IF(B2094="","",IFERROR(INDEX('Cashier Roster'!$C$5:$C$64,MATCH(B2094,'Cashier Roster'!$B$5:$B$64,0)),"Not on roster"))</f>
        <v/>
      </c>
      <c r="D2094" s="12" t="str">
        <f>IF(B2094="","",IFERROR(INDEX('Cashier Roster'!$D$5:$D$64,MATCH(B2094,'Cashier Roster'!$B$5:$B$64,0)),""))</f>
        <v/>
      </c>
      <c r="E2094" s="13"/>
      <c r="F2094" s="14"/>
      <c r="G2094" s="8" t="str">
        <f>IF(OR(B2094="",E2094=""),"",IF(E2094="No","Missed",IF(F2094="","",IF(F2094&lt;=Settings!$B$7,"On time","Late"))))</f>
        <v/>
      </c>
      <c r="H2094" s="15"/>
      <c r="I2094" s="16"/>
      <c r="J2094" s="16"/>
      <c r="K2094" s="17" t="str">
        <f>IF(J2094="","",ROUND(J2094*Settings!$B$8,2))</f>
        <v/>
      </c>
      <c r="L2094" s="16"/>
      <c r="M2094" s="8" t="str">
        <f t="shared" si="32"/>
        <v/>
      </c>
      <c r="N2094" s="9"/>
    </row>
    <row r="2095" spans="1:14" ht="15.75">
      <c r="A2095" s="11"/>
      <c r="B2095" s="9"/>
      <c r="C2095" s="12" t="str">
        <f>IF(B2095="","",IFERROR(INDEX('Cashier Roster'!$C$5:$C$64,MATCH(B2095,'Cashier Roster'!$B$5:$B$64,0)),"Not on roster"))</f>
        <v/>
      </c>
      <c r="D2095" s="12" t="str">
        <f>IF(B2095="","",IFERROR(INDEX('Cashier Roster'!$D$5:$D$64,MATCH(B2095,'Cashier Roster'!$B$5:$B$64,0)),""))</f>
        <v/>
      </c>
      <c r="E2095" s="13"/>
      <c r="F2095" s="14"/>
      <c r="G2095" s="8" t="str">
        <f>IF(OR(B2095="",E2095=""),"",IF(E2095="No","Missed",IF(F2095="","",IF(F2095&lt;=Settings!$B$7,"On time","Late"))))</f>
        <v/>
      </c>
      <c r="H2095" s="15"/>
      <c r="I2095" s="16"/>
      <c r="J2095" s="16"/>
      <c r="K2095" s="17" t="str">
        <f>IF(J2095="","",ROUND(J2095*Settings!$B$8,2))</f>
        <v/>
      </c>
      <c r="L2095" s="16"/>
      <c r="M2095" s="8" t="str">
        <f t="shared" si="32"/>
        <v/>
      </c>
      <c r="N2095" s="9"/>
    </row>
    <row r="2096" spans="1:14" ht="15.75">
      <c r="A2096" s="11"/>
      <c r="B2096" s="9"/>
      <c r="C2096" s="12" t="str">
        <f>IF(B2096="","",IFERROR(INDEX('Cashier Roster'!$C$5:$C$64,MATCH(B2096,'Cashier Roster'!$B$5:$B$64,0)),"Not on roster"))</f>
        <v/>
      </c>
      <c r="D2096" s="12" t="str">
        <f>IF(B2096="","",IFERROR(INDEX('Cashier Roster'!$D$5:$D$64,MATCH(B2096,'Cashier Roster'!$B$5:$B$64,0)),""))</f>
        <v/>
      </c>
      <c r="E2096" s="13"/>
      <c r="F2096" s="14"/>
      <c r="G2096" s="8" t="str">
        <f>IF(OR(B2096="",E2096=""),"",IF(E2096="No","Missed",IF(F2096="","",IF(F2096&lt;=Settings!$B$7,"On time","Late"))))</f>
        <v/>
      </c>
      <c r="H2096" s="15"/>
      <c r="I2096" s="16"/>
      <c r="J2096" s="16"/>
      <c r="K2096" s="17" t="str">
        <f>IF(J2096="","",ROUND(J2096*Settings!$B$8,2))</f>
        <v/>
      </c>
      <c r="L2096" s="16"/>
      <c r="M2096" s="8" t="str">
        <f t="shared" si="32"/>
        <v/>
      </c>
      <c r="N2096" s="9"/>
    </row>
    <row r="2097" spans="1:14" ht="15.75">
      <c r="A2097" s="11"/>
      <c r="B2097" s="9"/>
      <c r="C2097" s="12" t="str">
        <f>IF(B2097="","",IFERROR(INDEX('Cashier Roster'!$C$5:$C$64,MATCH(B2097,'Cashier Roster'!$B$5:$B$64,0)),"Not on roster"))</f>
        <v/>
      </c>
      <c r="D2097" s="12" t="str">
        <f>IF(B2097="","",IFERROR(INDEX('Cashier Roster'!$D$5:$D$64,MATCH(B2097,'Cashier Roster'!$B$5:$B$64,0)),""))</f>
        <v/>
      </c>
      <c r="E2097" s="13"/>
      <c r="F2097" s="14"/>
      <c r="G2097" s="8" t="str">
        <f>IF(OR(B2097="",E2097=""),"",IF(E2097="No","Missed",IF(F2097="","",IF(F2097&lt;=Settings!$B$7,"On time","Late"))))</f>
        <v/>
      </c>
      <c r="H2097" s="15"/>
      <c r="I2097" s="16"/>
      <c r="J2097" s="16"/>
      <c r="K2097" s="17" t="str">
        <f>IF(J2097="","",ROUND(J2097*Settings!$B$8,2))</f>
        <v/>
      </c>
      <c r="L2097" s="16"/>
      <c r="M2097" s="8" t="str">
        <f t="shared" si="32"/>
        <v/>
      </c>
      <c r="N2097" s="9"/>
    </row>
    <row r="2098" spans="1:14" ht="15.75">
      <c r="A2098" s="11"/>
      <c r="B2098" s="9"/>
      <c r="C2098" s="12" t="str">
        <f>IF(B2098="","",IFERROR(INDEX('Cashier Roster'!$C$5:$C$64,MATCH(B2098,'Cashier Roster'!$B$5:$B$64,0)),"Not on roster"))</f>
        <v/>
      </c>
      <c r="D2098" s="12" t="str">
        <f>IF(B2098="","",IFERROR(INDEX('Cashier Roster'!$D$5:$D$64,MATCH(B2098,'Cashier Roster'!$B$5:$B$64,0)),""))</f>
        <v/>
      </c>
      <c r="E2098" s="13"/>
      <c r="F2098" s="14"/>
      <c r="G2098" s="8" t="str">
        <f>IF(OR(B2098="",E2098=""),"",IF(E2098="No","Missed",IF(F2098="","",IF(F2098&lt;=Settings!$B$7,"On time","Late"))))</f>
        <v/>
      </c>
      <c r="H2098" s="15"/>
      <c r="I2098" s="16"/>
      <c r="J2098" s="16"/>
      <c r="K2098" s="17" t="str">
        <f>IF(J2098="","",ROUND(J2098*Settings!$B$8,2))</f>
        <v/>
      </c>
      <c r="L2098" s="16"/>
      <c r="M2098" s="8" t="str">
        <f t="shared" si="32"/>
        <v/>
      </c>
      <c r="N2098" s="9"/>
    </row>
    <row r="2099" spans="1:14" ht="15.75">
      <c r="A2099" s="11"/>
      <c r="B2099" s="9"/>
      <c r="C2099" s="12" t="str">
        <f>IF(B2099="","",IFERROR(INDEX('Cashier Roster'!$C$5:$C$64,MATCH(B2099,'Cashier Roster'!$B$5:$B$64,0)),"Not on roster"))</f>
        <v/>
      </c>
      <c r="D2099" s="12" t="str">
        <f>IF(B2099="","",IFERROR(INDEX('Cashier Roster'!$D$5:$D$64,MATCH(B2099,'Cashier Roster'!$B$5:$B$64,0)),""))</f>
        <v/>
      </c>
      <c r="E2099" s="13"/>
      <c r="F2099" s="14"/>
      <c r="G2099" s="8" t="str">
        <f>IF(OR(B2099="",E2099=""),"",IF(E2099="No","Missed",IF(F2099="","",IF(F2099&lt;=Settings!$B$7,"On time","Late"))))</f>
        <v/>
      </c>
      <c r="H2099" s="15"/>
      <c r="I2099" s="16"/>
      <c r="J2099" s="16"/>
      <c r="K2099" s="17" t="str">
        <f>IF(J2099="","",ROUND(J2099*Settings!$B$8,2))</f>
        <v/>
      </c>
      <c r="L2099" s="16"/>
      <c r="M2099" s="8" t="str">
        <f t="shared" si="32"/>
        <v/>
      </c>
      <c r="N2099" s="9"/>
    </row>
    <row r="2100" spans="1:14" ht="15.75">
      <c r="A2100" s="11"/>
      <c r="B2100" s="9"/>
      <c r="C2100" s="12" t="str">
        <f>IF(B2100="","",IFERROR(INDEX('Cashier Roster'!$C$5:$C$64,MATCH(B2100,'Cashier Roster'!$B$5:$B$64,0)),"Not on roster"))</f>
        <v/>
      </c>
      <c r="D2100" s="12" t="str">
        <f>IF(B2100="","",IFERROR(INDEX('Cashier Roster'!$D$5:$D$64,MATCH(B2100,'Cashier Roster'!$B$5:$B$64,0)),""))</f>
        <v/>
      </c>
      <c r="E2100" s="13"/>
      <c r="F2100" s="14"/>
      <c r="G2100" s="8" t="str">
        <f>IF(OR(B2100="",E2100=""),"",IF(E2100="No","Missed",IF(F2100="","",IF(F2100&lt;=Settings!$B$7,"On time","Late"))))</f>
        <v/>
      </c>
      <c r="H2100" s="15"/>
      <c r="I2100" s="16"/>
      <c r="J2100" s="16"/>
      <c r="K2100" s="17" t="str">
        <f>IF(J2100="","",ROUND(J2100*Settings!$B$8,2))</f>
        <v/>
      </c>
      <c r="L2100" s="16"/>
      <c r="M2100" s="8" t="str">
        <f t="shared" si="32"/>
        <v/>
      </c>
      <c r="N2100" s="9"/>
    </row>
    <row r="2101" spans="1:14" ht="15.75">
      <c r="A2101" s="11"/>
      <c r="B2101" s="9"/>
      <c r="C2101" s="12" t="str">
        <f>IF(B2101="","",IFERROR(INDEX('Cashier Roster'!$C$5:$C$64,MATCH(B2101,'Cashier Roster'!$B$5:$B$64,0)),"Not on roster"))</f>
        <v/>
      </c>
      <c r="D2101" s="12" t="str">
        <f>IF(B2101="","",IFERROR(INDEX('Cashier Roster'!$D$5:$D$64,MATCH(B2101,'Cashier Roster'!$B$5:$B$64,0)),""))</f>
        <v/>
      </c>
      <c r="E2101" s="13"/>
      <c r="F2101" s="14"/>
      <c r="G2101" s="8" t="str">
        <f>IF(OR(B2101="",E2101=""),"",IF(E2101="No","Missed",IF(F2101="","",IF(F2101&lt;=Settings!$B$7,"On time","Late"))))</f>
        <v/>
      </c>
      <c r="H2101" s="15"/>
      <c r="I2101" s="16"/>
      <c r="J2101" s="16"/>
      <c r="K2101" s="17" t="str">
        <f>IF(J2101="","",ROUND(J2101*Settings!$B$8,2))</f>
        <v/>
      </c>
      <c r="L2101" s="16"/>
      <c r="M2101" s="8" t="str">
        <f t="shared" si="32"/>
        <v/>
      </c>
      <c r="N2101" s="9"/>
    </row>
    <row r="2102" spans="1:14" ht="15.75">
      <c r="A2102" s="11"/>
      <c r="B2102" s="9"/>
      <c r="C2102" s="12" t="str">
        <f>IF(B2102="","",IFERROR(INDEX('Cashier Roster'!$C$5:$C$64,MATCH(B2102,'Cashier Roster'!$B$5:$B$64,0)),"Not on roster"))</f>
        <v/>
      </c>
      <c r="D2102" s="12" t="str">
        <f>IF(B2102="","",IFERROR(INDEX('Cashier Roster'!$D$5:$D$64,MATCH(B2102,'Cashier Roster'!$B$5:$B$64,0)),""))</f>
        <v/>
      </c>
      <c r="E2102" s="13"/>
      <c r="F2102" s="14"/>
      <c r="G2102" s="8" t="str">
        <f>IF(OR(B2102="",E2102=""),"",IF(E2102="No","Missed",IF(F2102="","",IF(F2102&lt;=Settings!$B$7,"On time","Late"))))</f>
        <v/>
      </c>
      <c r="H2102" s="15"/>
      <c r="I2102" s="16"/>
      <c r="J2102" s="16"/>
      <c r="K2102" s="17" t="str">
        <f>IF(J2102="","",ROUND(J2102*Settings!$B$8,2))</f>
        <v/>
      </c>
      <c r="L2102" s="16"/>
      <c r="M2102" s="8" t="str">
        <f t="shared" si="32"/>
        <v/>
      </c>
      <c r="N2102" s="9"/>
    </row>
    <row r="2103" spans="1:14" ht="15.75">
      <c r="A2103" s="11"/>
      <c r="B2103" s="9"/>
      <c r="C2103" s="12" t="str">
        <f>IF(B2103="","",IFERROR(INDEX('Cashier Roster'!$C$5:$C$64,MATCH(B2103,'Cashier Roster'!$B$5:$B$64,0)),"Not on roster"))</f>
        <v/>
      </c>
      <c r="D2103" s="12" t="str">
        <f>IF(B2103="","",IFERROR(INDEX('Cashier Roster'!$D$5:$D$64,MATCH(B2103,'Cashier Roster'!$B$5:$B$64,0)),""))</f>
        <v/>
      </c>
      <c r="E2103" s="13"/>
      <c r="F2103" s="14"/>
      <c r="G2103" s="8" t="str">
        <f>IF(OR(B2103="",E2103=""),"",IF(E2103="No","Missed",IF(F2103="","",IF(F2103&lt;=Settings!$B$7,"On time","Late"))))</f>
        <v/>
      </c>
      <c r="H2103" s="15"/>
      <c r="I2103" s="16"/>
      <c r="J2103" s="16"/>
      <c r="K2103" s="17" t="str">
        <f>IF(J2103="","",ROUND(J2103*Settings!$B$8,2))</f>
        <v/>
      </c>
      <c r="L2103" s="16"/>
      <c r="M2103" s="8" t="str">
        <f t="shared" si="32"/>
        <v/>
      </c>
      <c r="N2103" s="9"/>
    </row>
    <row r="2104" spans="1:14" ht="15.75">
      <c r="A2104" s="11"/>
      <c r="B2104" s="9"/>
      <c r="C2104" s="12" t="str">
        <f>IF(B2104="","",IFERROR(INDEX('Cashier Roster'!$C$5:$C$64,MATCH(B2104,'Cashier Roster'!$B$5:$B$64,0)),"Not on roster"))</f>
        <v/>
      </c>
      <c r="D2104" s="12" t="str">
        <f>IF(B2104="","",IFERROR(INDEX('Cashier Roster'!$D$5:$D$64,MATCH(B2104,'Cashier Roster'!$B$5:$B$64,0)),""))</f>
        <v/>
      </c>
      <c r="E2104" s="13"/>
      <c r="F2104" s="14"/>
      <c r="G2104" s="8" t="str">
        <f>IF(OR(B2104="",E2104=""),"",IF(E2104="No","Missed",IF(F2104="","",IF(F2104&lt;=Settings!$B$7,"On time","Late"))))</f>
        <v/>
      </c>
      <c r="H2104" s="15"/>
      <c r="I2104" s="16"/>
      <c r="J2104" s="16"/>
      <c r="K2104" s="17" t="str">
        <f>IF(J2104="","",ROUND(J2104*Settings!$B$8,2))</f>
        <v/>
      </c>
      <c r="L2104" s="16"/>
      <c r="M2104" s="8" t="str">
        <f t="shared" si="32"/>
        <v/>
      </c>
      <c r="N2104" s="9"/>
    </row>
    <row r="2105" spans="1:14" ht="15.75">
      <c r="A2105" s="11"/>
      <c r="B2105" s="9"/>
      <c r="C2105" s="12" t="str">
        <f>IF(B2105="","",IFERROR(INDEX('Cashier Roster'!$C$5:$C$64,MATCH(B2105,'Cashier Roster'!$B$5:$B$64,0)),"Not on roster"))</f>
        <v/>
      </c>
      <c r="D2105" s="12" t="str">
        <f>IF(B2105="","",IFERROR(INDEX('Cashier Roster'!$D$5:$D$64,MATCH(B2105,'Cashier Roster'!$B$5:$B$64,0)),""))</f>
        <v/>
      </c>
      <c r="E2105" s="13"/>
      <c r="F2105" s="14"/>
      <c r="G2105" s="8" t="str">
        <f>IF(OR(B2105="",E2105=""),"",IF(E2105="No","Missed",IF(F2105="","",IF(F2105&lt;=Settings!$B$7,"On time","Late"))))</f>
        <v/>
      </c>
      <c r="H2105" s="15"/>
      <c r="I2105" s="16"/>
      <c r="J2105" s="16"/>
      <c r="K2105" s="17" t="str">
        <f>IF(J2105="","",ROUND(J2105*Settings!$B$8,2))</f>
        <v/>
      </c>
      <c r="L2105" s="16"/>
      <c r="M2105" s="8" t="str">
        <f t="shared" si="32"/>
        <v/>
      </c>
      <c r="N2105" s="9"/>
    </row>
    <row r="2106" spans="1:14" ht="15.75">
      <c r="A2106" s="11"/>
      <c r="B2106" s="9"/>
      <c r="C2106" s="12" t="str">
        <f>IF(B2106="","",IFERROR(INDEX('Cashier Roster'!$C$5:$C$64,MATCH(B2106,'Cashier Roster'!$B$5:$B$64,0)),"Not on roster"))</f>
        <v/>
      </c>
      <c r="D2106" s="12" t="str">
        <f>IF(B2106="","",IFERROR(INDEX('Cashier Roster'!$D$5:$D$64,MATCH(B2106,'Cashier Roster'!$B$5:$B$64,0)),""))</f>
        <v/>
      </c>
      <c r="E2106" s="13"/>
      <c r="F2106" s="14"/>
      <c r="G2106" s="8" t="str">
        <f>IF(OR(B2106="",E2106=""),"",IF(E2106="No","Missed",IF(F2106="","",IF(F2106&lt;=Settings!$B$7,"On time","Late"))))</f>
        <v/>
      </c>
      <c r="H2106" s="15"/>
      <c r="I2106" s="16"/>
      <c r="J2106" s="16"/>
      <c r="K2106" s="17" t="str">
        <f>IF(J2106="","",ROUND(J2106*Settings!$B$8,2))</f>
        <v/>
      </c>
      <c r="L2106" s="16"/>
      <c r="M2106" s="8" t="str">
        <f t="shared" si="32"/>
        <v/>
      </c>
      <c r="N2106" s="9"/>
    </row>
    <row r="2107" spans="1:14" ht="15.75">
      <c r="A2107" s="11"/>
      <c r="B2107" s="9"/>
      <c r="C2107" s="12" t="str">
        <f>IF(B2107="","",IFERROR(INDEX('Cashier Roster'!$C$5:$C$64,MATCH(B2107,'Cashier Roster'!$B$5:$B$64,0)),"Not on roster"))</f>
        <v/>
      </c>
      <c r="D2107" s="12" t="str">
        <f>IF(B2107="","",IFERROR(INDEX('Cashier Roster'!$D$5:$D$64,MATCH(B2107,'Cashier Roster'!$B$5:$B$64,0)),""))</f>
        <v/>
      </c>
      <c r="E2107" s="13"/>
      <c r="F2107" s="14"/>
      <c r="G2107" s="8" t="str">
        <f>IF(OR(B2107="",E2107=""),"",IF(E2107="No","Missed",IF(F2107="","",IF(F2107&lt;=Settings!$B$7,"On time","Late"))))</f>
        <v/>
      </c>
      <c r="H2107" s="15"/>
      <c r="I2107" s="16"/>
      <c r="J2107" s="16"/>
      <c r="K2107" s="17" t="str">
        <f>IF(J2107="","",ROUND(J2107*Settings!$B$8,2))</f>
        <v/>
      </c>
      <c r="L2107" s="16"/>
      <c r="M2107" s="8" t="str">
        <f t="shared" si="32"/>
        <v/>
      </c>
      <c r="N2107" s="9"/>
    </row>
    <row r="2108" spans="1:14" ht="15.75">
      <c r="A2108" s="11"/>
      <c r="B2108" s="9"/>
      <c r="C2108" s="12" t="str">
        <f>IF(B2108="","",IFERROR(INDEX('Cashier Roster'!$C$5:$C$64,MATCH(B2108,'Cashier Roster'!$B$5:$B$64,0)),"Not on roster"))</f>
        <v/>
      </c>
      <c r="D2108" s="12" t="str">
        <f>IF(B2108="","",IFERROR(INDEX('Cashier Roster'!$D$5:$D$64,MATCH(B2108,'Cashier Roster'!$B$5:$B$64,0)),""))</f>
        <v/>
      </c>
      <c r="E2108" s="13"/>
      <c r="F2108" s="14"/>
      <c r="G2108" s="8" t="str">
        <f>IF(OR(B2108="",E2108=""),"",IF(E2108="No","Missed",IF(F2108="","",IF(F2108&lt;=Settings!$B$7,"On time","Late"))))</f>
        <v/>
      </c>
      <c r="H2108" s="15"/>
      <c r="I2108" s="16"/>
      <c r="J2108" s="16"/>
      <c r="K2108" s="17" t="str">
        <f>IF(J2108="","",ROUND(J2108*Settings!$B$8,2))</f>
        <v/>
      </c>
      <c r="L2108" s="16"/>
      <c r="M2108" s="8" t="str">
        <f t="shared" si="32"/>
        <v/>
      </c>
      <c r="N2108" s="9"/>
    </row>
    <row r="2109" spans="1:14" ht="15.75">
      <c r="A2109" s="11"/>
      <c r="B2109" s="9"/>
      <c r="C2109" s="12" t="str">
        <f>IF(B2109="","",IFERROR(INDEX('Cashier Roster'!$C$5:$C$64,MATCH(B2109,'Cashier Roster'!$B$5:$B$64,0)),"Not on roster"))</f>
        <v/>
      </c>
      <c r="D2109" s="12" t="str">
        <f>IF(B2109="","",IFERROR(INDEX('Cashier Roster'!$D$5:$D$64,MATCH(B2109,'Cashier Roster'!$B$5:$B$64,0)),""))</f>
        <v/>
      </c>
      <c r="E2109" s="13"/>
      <c r="F2109" s="14"/>
      <c r="G2109" s="8" t="str">
        <f>IF(OR(B2109="",E2109=""),"",IF(E2109="No","Missed",IF(F2109="","",IF(F2109&lt;=Settings!$B$7,"On time","Late"))))</f>
        <v/>
      </c>
      <c r="H2109" s="15"/>
      <c r="I2109" s="16"/>
      <c r="J2109" s="16"/>
      <c r="K2109" s="17" t="str">
        <f>IF(J2109="","",ROUND(J2109*Settings!$B$8,2))</f>
        <v/>
      </c>
      <c r="L2109" s="16"/>
      <c r="M2109" s="8" t="str">
        <f t="shared" si="32"/>
        <v/>
      </c>
      <c r="N2109" s="9"/>
    </row>
    <row r="2110" spans="1:14" ht="15.75">
      <c r="A2110" s="11"/>
      <c r="B2110" s="9"/>
      <c r="C2110" s="12" t="str">
        <f>IF(B2110="","",IFERROR(INDEX('Cashier Roster'!$C$5:$C$64,MATCH(B2110,'Cashier Roster'!$B$5:$B$64,0)),"Not on roster"))</f>
        <v/>
      </c>
      <c r="D2110" s="12" t="str">
        <f>IF(B2110="","",IFERROR(INDEX('Cashier Roster'!$D$5:$D$64,MATCH(B2110,'Cashier Roster'!$B$5:$B$64,0)),""))</f>
        <v/>
      </c>
      <c r="E2110" s="13"/>
      <c r="F2110" s="14"/>
      <c r="G2110" s="8" t="str">
        <f>IF(OR(B2110="",E2110=""),"",IF(E2110="No","Missed",IF(F2110="","",IF(F2110&lt;=Settings!$B$7,"On time","Late"))))</f>
        <v/>
      </c>
      <c r="H2110" s="15"/>
      <c r="I2110" s="16"/>
      <c r="J2110" s="16"/>
      <c r="K2110" s="17" t="str">
        <f>IF(J2110="","",ROUND(J2110*Settings!$B$8,2))</f>
        <v/>
      </c>
      <c r="L2110" s="16"/>
      <c r="M2110" s="8" t="str">
        <f t="shared" si="32"/>
        <v/>
      </c>
      <c r="N2110" s="9"/>
    </row>
    <row r="2111" spans="1:14" ht="15.75">
      <c r="A2111" s="11"/>
      <c r="B2111" s="9"/>
      <c r="C2111" s="12" t="str">
        <f>IF(B2111="","",IFERROR(INDEX('Cashier Roster'!$C$5:$C$64,MATCH(B2111,'Cashier Roster'!$B$5:$B$64,0)),"Not on roster"))</f>
        <v/>
      </c>
      <c r="D2111" s="12" t="str">
        <f>IF(B2111="","",IFERROR(INDEX('Cashier Roster'!$D$5:$D$64,MATCH(B2111,'Cashier Roster'!$B$5:$B$64,0)),""))</f>
        <v/>
      </c>
      <c r="E2111" s="13"/>
      <c r="F2111" s="14"/>
      <c r="G2111" s="8" t="str">
        <f>IF(OR(B2111="",E2111=""),"",IF(E2111="No","Missed",IF(F2111="","",IF(F2111&lt;=Settings!$B$7,"On time","Late"))))</f>
        <v/>
      </c>
      <c r="H2111" s="15"/>
      <c r="I2111" s="16"/>
      <c r="J2111" s="16"/>
      <c r="K2111" s="17" t="str">
        <f>IF(J2111="","",ROUND(J2111*Settings!$B$8,2))</f>
        <v/>
      </c>
      <c r="L2111" s="16"/>
      <c r="M2111" s="8" t="str">
        <f t="shared" si="32"/>
        <v/>
      </c>
      <c r="N2111" s="9"/>
    </row>
    <row r="2112" spans="1:14" ht="15.75">
      <c r="A2112" s="11"/>
      <c r="B2112" s="9"/>
      <c r="C2112" s="12" t="str">
        <f>IF(B2112="","",IFERROR(INDEX('Cashier Roster'!$C$5:$C$64,MATCH(B2112,'Cashier Roster'!$B$5:$B$64,0)),"Not on roster"))</f>
        <v/>
      </c>
      <c r="D2112" s="12" t="str">
        <f>IF(B2112="","",IFERROR(INDEX('Cashier Roster'!$D$5:$D$64,MATCH(B2112,'Cashier Roster'!$B$5:$B$64,0)),""))</f>
        <v/>
      </c>
      <c r="E2112" s="13"/>
      <c r="F2112" s="14"/>
      <c r="G2112" s="8" t="str">
        <f>IF(OR(B2112="",E2112=""),"",IF(E2112="No","Missed",IF(F2112="","",IF(F2112&lt;=Settings!$B$7,"On time","Late"))))</f>
        <v/>
      </c>
      <c r="H2112" s="15"/>
      <c r="I2112" s="16"/>
      <c r="J2112" s="16"/>
      <c r="K2112" s="17" t="str">
        <f>IF(J2112="","",ROUND(J2112*Settings!$B$8,2))</f>
        <v/>
      </c>
      <c r="L2112" s="16"/>
      <c r="M2112" s="8" t="str">
        <f t="shared" si="32"/>
        <v/>
      </c>
      <c r="N2112" s="9"/>
    </row>
    <row r="2113" spans="1:14" ht="15.75">
      <c r="A2113" s="11"/>
      <c r="B2113" s="9"/>
      <c r="C2113" s="12" t="str">
        <f>IF(B2113="","",IFERROR(INDEX('Cashier Roster'!$C$5:$C$64,MATCH(B2113,'Cashier Roster'!$B$5:$B$64,0)),"Not on roster"))</f>
        <v/>
      </c>
      <c r="D2113" s="12" t="str">
        <f>IF(B2113="","",IFERROR(INDEX('Cashier Roster'!$D$5:$D$64,MATCH(B2113,'Cashier Roster'!$B$5:$B$64,0)),""))</f>
        <v/>
      </c>
      <c r="E2113" s="13"/>
      <c r="F2113" s="14"/>
      <c r="G2113" s="8" t="str">
        <f>IF(OR(B2113="",E2113=""),"",IF(E2113="No","Missed",IF(F2113="","",IF(F2113&lt;=Settings!$B$7,"On time","Late"))))</f>
        <v/>
      </c>
      <c r="H2113" s="15"/>
      <c r="I2113" s="16"/>
      <c r="J2113" s="16"/>
      <c r="K2113" s="17" t="str">
        <f>IF(J2113="","",ROUND(J2113*Settings!$B$8,2))</f>
        <v/>
      </c>
      <c r="L2113" s="16"/>
      <c r="M2113" s="8" t="str">
        <f t="shared" si="32"/>
        <v/>
      </c>
      <c r="N2113" s="9"/>
    </row>
    <row r="2114" spans="1:14" ht="15.75">
      <c r="A2114" s="11"/>
      <c r="B2114" s="9"/>
      <c r="C2114" s="12" t="str">
        <f>IF(B2114="","",IFERROR(INDEX('Cashier Roster'!$C$5:$C$64,MATCH(B2114,'Cashier Roster'!$B$5:$B$64,0)),"Not on roster"))</f>
        <v/>
      </c>
      <c r="D2114" s="12" t="str">
        <f>IF(B2114="","",IFERROR(INDEX('Cashier Roster'!$D$5:$D$64,MATCH(B2114,'Cashier Roster'!$B$5:$B$64,0)),""))</f>
        <v/>
      </c>
      <c r="E2114" s="13"/>
      <c r="F2114" s="14"/>
      <c r="G2114" s="8" t="str">
        <f>IF(OR(B2114="",E2114=""),"",IF(E2114="No","Missed",IF(F2114="","",IF(F2114&lt;=Settings!$B$7,"On time","Late"))))</f>
        <v/>
      </c>
      <c r="H2114" s="15"/>
      <c r="I2114" s="16"/>
      <c r="J2114" s="16"/>
      <c r="K2114" s="17" t="str">
        <f>IF(J2114="","",ROUND(J2114*Settings!$B$8,2))</f>
        <v/>
      </c>
      <c r="L2114" s="16"/>
      <c r="M2114" s="8" t="str">
        <f t="shared" si="32"/>
        <v/>
      </c>
      <c r="N2114" s="9"/>
    </row>
    <row r="2115" spans="1:14" ht="15.75">
      <c r="A2115" s="11"/>
      <c r="B2115" s="9"/>
      <c r="C2115" s="12" t="str">
        <f>IF(B2115="","",IFERROR(INDEX('Cashier Roster'!$C$5:$C$64,MATCH(B2115,'Cashier Roster'!$B$5:$B$64,0)),"Not on roster"))</f>
        <v/>
      </c>
      <c r="D2115" s="12" t="str">
        <f>IF(B2115="","",IFERROR(INDEX('Cashier Roster'!$D$5:$D$64,MATCH(B2115,'Cashier Roster'!$B$5:$B$64,0)),""))</f>
        <v/>
      </c>
      <c r="E2115" s="13"/>
      <c r="F2115" s="14"/>
      <c r="G2115" s="8" t="str">
        <f>IF(OR(B2115="",E2115=""),"",IF(E2115="No","Missed",IF(F2115="","",IF(F2115&lt;=Settings!$B$7,"On time","Late"))))</f>
        <v/>
      </c>
      <c r="H2115" s="15"/>
      <c r="I2115" s="16"/>
      <c r="J2115" s="16"/>
      <c r="K2115" s="17" t="str">
        <f>IF(J2115="","",ROUND(J2115*Settings!$B$8,2))</f>
        <v/>
      </c>
      <c r="L2115" s="16"/>
      <c r="M2115" s="8" t="str">
        <f t="shared" si="32"/>
        <v/>
      </c>
      <c r="N2115" s="9"/>
    </row>
    <row r="2116" spans="1:14" ht="15.75">
      <c r="A2116" s="11"/>
      <c r="B2116" s="9"/>
      <c r="C2116" s="12" t="str">
        <f>IF(B2116="","",IFERROR(INDEX('Cashier Roster'!$C$5:$C$64,MATCH(B2116,'Cashier Roster'!$B$5:$B$64,0)),"Not on roster"))</f>
        <v/>
      </c>
      <c r="D2116" s="12" t="str">
        <f>IF(B2116="","",IFERROR(INDEX('Cashier Roster'!$D$5:$D$64,MATCH(B2116,'Cashier Roster'!$B$5:$B$64,0)),""))</f>
        <v/>
      </c>
      <c r="E2116" s="13"/>
      <c r="F2116" s="14"/>
      <c r="G2116" s="8" t="str">
        <f>IF(OR(B2116="",E2116=""),"",IF(E2116="No","Missed",IF(F2116="","",IF(F2116&lt;=Settings!$B$7,"On time","Late"))))</f>
        <v/>
      </c>
      <c r="H2116" s="15"/>
      <c r="I2116" s="16"/>
      <c r="J2116" s="16"/>
      <c r="K2116" s="17" t="str">
        <f>IF(J2116="","",ROUND(J2116*Settings!$B$8,2))</f>
        <v/>
      </c>
      <c r="L2116" s="16"/>
      <c r="M2116" s="8" t="str">
        <f t="shared" si="32"/>
        <v/>
      </c>
      <c r="N2116" s="9"/>
    </row>
    <row r="2117" spans="1:14" ht="15.75">
      <c r="A2117" s="11"/>
      <c r="B2117" s="9"/>
      <c r="C2117" s="12" t="str">
        <f>IF(B2117="","",IFERROR(INDEX('Cashier Roster'!$C$5:$C$64,MATCH(B2117,'Cashier Roster'!$B$5:$B$64,0)),"Not on roster"))</f>
        <v/>
      </c>
      <c r="D2117" s="12" t="str">
        <f>IF(B2117="","",IFERROR(INDEX('Cashier Roster'!$D$5:$D$64,MATCH(B2117,'Cashier Roster'!$B$5:$B$64,0)),""))</f>
        <v/>
      </c>
      <c r="E2117" s="13"/>
      <c r="F2117" s="14"/>
      <c r="G2117" s="8" t="str">
        <f>IF(OR(B2117="",E2117=""),"",IF(E2117="No","Missed",IF(F2117="","",IF(F2117&lt;=Settings!$B$7,"On time","Late"))))</f>
        <v/>
      </c>
      <c r="H2117" s="15"/>
      <c r="I2117" s="16"/>
      <c r="J2117" s="16"/>
      <c r="K2117" s="17" t="str">
        <f>IF(J2117="","",ROUND(J2117*Settings!$B$8,2))</f>
        <v/>
      </c>
      <c r="L2117" s="16"/>
      <c r="M2117" s="8" t="str">
        <f t="shared" ref="M2117:M2180" si="33">IF(L2117="","",IF(L2117&lt;=0,"Yes","No"))</f>
        <v/>
      </c>
      <c r="N2117" s="9"/>
    </row>
    <row r="2118" spans="1:14" ht="15.75">
      <c r="A2118" s="11"/>
      <c r="B2118" s="9"/>
      <c r="C2118" s="12" t="str">
        <f>IF(B2118="","",IFERROR(INDEX('Cashier Roster'!$C$5:$C$64,MATCH(B2118,'Cashier Roster'!$B$5:$B$64,0)),"Not on roster"))</f>
        <v/>
      </c>
      <c r="D2118" s="12" t="str">
        <f>IF(B2118="","",IFERROR(INDEX('Cashier Roster'!$D$5:$D$64,MATCH(B2118,'Cashier Roster'!$B$5:$B$64,0)),""))</f>
        <v/>
      </c>
      <c r="E2118" s="13"/>
      <c r="F2118" s="14"/>
      <c r="G2118" s="8" t="str">
        <f>IF(OR(B2118="",E2118=""),"",IF(E2118="No","Missed",IF(F2118="","",IF(F2118&lt;=Settings!$B$7,"On time","Late"))))</f>
        <v/>
      </c>
      <c r="H2118" s="15"/>
      <c r="I2118" s="16"/>
      <c r="J2118" s="16"/>
      <c r="K2118" s="17" t="str">
        <f>IF(J2118="","",ROUND(J2118*Settings!$B$8,2))</f>
        <v/>
      </c>
      <c r="L2118" s="16"/>
      <c r="M2118" s="8" t="str">
        <f t="shared" si="33"/>
        <v/>
      </c>
      <c r="N2118" s="9"/>
    </row>
    <row r="2119" spans="1:14" ht="15.75">
      <c r="A2119" s="11"/>
      <c r="B2119" s="9"/>
      <c r="C2119" s="12" t="str">
        <f>IF(B2119="","",IFERROR(INDEX('Cashier Roster'!$C$5:$C$64,MATCH(B2119,'Cashier Roster'!$B$5:$B$64,0)),"Not on roster"))</f>
        <v/>
      </c>
      <c r="D2119" s="12" t="str">
        <f>IF(B2119="","",IFERROR(INDEX('Cashier Roster'!$D$5:$D$64,MATCH(B2119,'Cashier Roster'!$B$5:$B$64,0)),""))</f>
        <v/>
      </c>
      <c r="E2119" s="13"/>
      <c r="F2119" s="14"/>
      <c r="G2119" s="8" t="str">
        <f>IF(OR(B2119="",E2119=""),"",IF(E2119="No","Missed",IF(F2119="","",IF(F2119&lt;=Settings!$B$7,"On time","Late"))))</f>
        <v/>
      </c>
      <c r="H2119" s="15"/>
      <c r="I2119" s="16"/>
      <c r="J2119" s="16"/>
      <c r="K2119" s="17" t="str">
        <f>IF(J2119="","",ROUND(J2119*Settings!$B$8,2))</f>
        <v/>
      </c>
      <c r="L2119" s="16"/>
      <c r="M2119" s="8" t="str">
        <f t="shared" si="33"/>
        <v/>
      </c>
      <c r="N2119" s="9"/>
    </row>
    <row r="2120" spans="1:14" ht="15.75">
      <c r="A2120" s="11"/>
      <c r="B2120" s="9"/>
      <c r="C2120" s="12" t="str">
        <f>IF(B2120="","",IFERROR(INDEX('Cashier Roster'!$C$5:$C$64,MATCH(B2120,'Cashier Roster'!$B$5:$B$64,0)),"Not on roster"))</f>
        <v/>
      </c>
      <c r="D2120" s="12" t="str">
        <f>IF(B2120="","",IFERROR(INDEX('Cashier Roster'!$D$5:$D$64,MATCH(B2120,'Cashier Roster'!$B$5:$B$64,0)),""))</f>
        <v/>
      </c>
      <c r="E2120" s="13"/>
      <c r="F2120" s="14"/>
      <c r="G2120" s="8" t="str">
        <f>IF(OR(B2120="",E2120=""),"",IF(E2120="No","Missed",IF(F2120="","",IF(F2120&lt;=Settings!$B$7,"On time","Late"))))</f>
        <v/>
      </c>
      <c r="H2120" s="15"/>
      <c r="I2120" s="16"/>
      <c r="J2120" s="16"/>
      <c r="K2120" s="17" t="str">
        <f>IF(J2120="","",ROUND(J2120*Settings!$B$8,2))</f>
        <v/>
      </c>
      <c r="L2120" s="16"/>
      <c r="M2120" s="8" t="str">
        <f t="shared" si="33"/>
        <v/>
      </c>
      <c r="N2120" s="9"/>
    </row>
    <row r="2121" spans="1:14" ht="15.75">
      <c r="A2121" s="11"/>
      <c r="B2121" s="9"/>
      <c r="C2121" s="12" t="str">
        <f>IF(B2121="","",IFERROR(INDEX('Cashier Roster'!$C$5:$C$64,MATCH(B2121,'Cashier Roster'!$B$5:$B$64,0)),"Not on roster"))</f>
        <v/>
      </c>
      <c r="D2121" s="12" t="str">
        <f>IF(B2121="","",IFERROR(INDEX('Cashier Roster'!$D$5:$D$64,MATCH(B2121,'Cashier Roster'!$B$5:$B$64,0)),""))</f>
        <v/>
      </c>
      <c r="E2121" s="13"/>
      <c r="F2121" s="14"/>
      <c r="G2121" s="8" t="str">
        <f>IF(OR(B2121="",E2121=""),"",IF(E2121="No","Missed",IF(F2121="","",IF(F2121&lt;=Settings!$B$7,"On time","Late"))))</f>
        <v/>
      </c>
      <c r="H2121" s="15"/>
      <c r="I2121" s="16"/>
      <c r="J2121" s="16"/>
      <c r="K2121" s="17" t="str">
        <f>IF(J2121="","",ROUND(J2121*Settings!$B$8,2))</f>
        <v/>
      </c>
      <c r="L2121" s="16"/>
      <c r="M2121" s="8" t="str">
        <f t="shared" si="33"/>
        <v/>
      </c>
      <c r="N2121" s="9"/>
    </row>
    <row r="2122" spans="1:14" ht="15.75">
      <c r="A2122" s="11"/>
      <c r="B2122" s="9"/>
      <c r="C2122" s="12" t="str">
        <f>IF(B2122="","",IFERROR(INDEX('Cashier Roster'!$C$5:$C$64,MATCH(B2122,'Cashier Roster'!$B$5:$B$64,0)),"Not on roster"))</f>
        <v/>
      </c>
      <c r="D2122" s="12" t="str">
        <f>IF(B2122="","",IFERROR(INDEX('Cashier Roster'!$D$5:$D$64,MATCH(B2122,'Cashier Roster'!$B$5:$B$64,0)),""))</f>
        <v/>
      </c>
      <c r="E2122" s="13"/>
      <c r="F2122" s="14"/>
      <c r="G2122" s="8" t="str">
        <f>IF(OR(B2122="",E2122=""),"",IF(E2122="No","Missed",IF(F2122="","",IF(F2122&lt;=Settings!$B$7,"On time","Late"))))</f>
        <v/>
      </c>
      <c r="H2122" s="15"/>
      <c r="I2122" s="16"/>
      <c r="J2122" s="16"/>
      <c r="K2122" s="17" t="str">
        <f>IF(J2122="","",ROUND(J2122*Settings!$B$8,2))</f>
        <v/>
      </c>
      <c r="L2122" s="16"/>
      <c r="M2122" s="8" t="str">
        <f t="shared" si="33"/>
        <v/>
      </c>
      <c r="N2122" s="9"/>
    </row>
    <row r="2123" spans="1:14" ht="15.75">
      <c r="A2123" s="11"/>
      <c r="B2123" s="9"/>
      <c r="C2123" s="12" t="str">
        <f>IF(B2123="","",IFERROR(INDEX('Cashier Roster'!$C$5:$C$64,MATCH(B2123,'Cashier Roster'!$B$5:$B$64,0)),"Not on roster"))</f>
        <v/>
      </c>
      <c r="D2123" s="12" t="str">
        <f>IF(B2123="","",IFERROR(INDEX('Cashier Roster'!$D$5:$D$64,MATCH(B2123,'Cashier Roster'!$B$5:$B$64,0)),""))</f>
        <v/>
      </c>
      <c r="E2123" s="13"/>
      <c r="F2123" s="14"/>
      <c r="G2123" s="8" t="str">
        <f>IF(OR(B2123="",E2123=""),"",IF(E2123="No","Missed",IF(F2123="","",IF(F2123&lt;=Settings!$B$7,"On time","Late"))))</f>
        <v/>
      </c>
      <c r="H2123" s="15"/>
      <c r="I2123" s="16"/>
      <c r="J2123" s="16"/>
      <c r="K2123" s="17" t="str">
        <f>IF(J2123="","",ROUND(J2123*Settings!$B$8,2))</f>
        <v/>
      </c>
      <c r="L2123" s="16"/>
      <c r="M2123" s="8" t="str">
        <f t="shared" si="33"/>
        <v/>
      </c>
      <c r="N2123" s="9"/>
    </row>
    <row r="2124" spans="1:14" ht="15.75">
      <c r="A2124" s="11"/>
      <c r="B2124" s="9"/>
      <c r="C2124" s="12" t="str">
        <f>IF(B2124="","",IFERROR(INDEX('Cashier Roster'!$C$5:$C$64,MATCH(B2124,'Cashier Roster'!$B$5:$B$64,0)),"Not on roster"))</f>
        <v/>
      </c>
      <c r="D2124" s="12" t="str">
        <f>IF(B2124="","",IFERROR(INDEX('Cashier Roster'!$D$5:$D$64,MATCH(B2124,'Cashier Roster'!$B$5:$B$64,0)),""))</f>
        <v/>
      </c>
      <c r="E2124" s="13"/>
      <c r="F2124" s="14"/>
      <c r="G2124" s="8" t="str">
        <f>IF(OR(B2124="",E2124=""),"",IF(E2124="No","Missed",IF(F2124="","",IF(F2124&lt;=Settings!$B$7,"On time","Late"))))</f>
        <v/>
      </c>
      <c r="H2124" s="15"/>
      <c r="I2124" s="16"/>
      <c r="J2124" s="16"/>
      <c r="K2124" s="17" t="str">
        <f>IF(J2124="","",ROUND(J2124*Settings!$B$8,2))</f>
        <v/>
      </c>
      <c r="L2124" s="16"/>
      <c r="M2124" s="8" t="str">
        <f t="shared" si="33"/>
        <v/>
      </c>
      <c r="N2124" s="9"/>
    </row>
    <row r="2125" spans="1:14" ht="15.75">
      <c r="A2125" s="11"/>
      <c r="B2125" s="9"/>
      <c r="C2125" s="12" t="str">
        <f>IF(B2125="","",IFERROR(INDEX('Cashier Roster'!$C$5:$C$64,MATCH(B2125,'Cashier Roster'!$B$5:$B$64,0)),"Not on roster"))</f>
        <v/>
      </c>
      <c r="D2125" s="12" t="str">
        <f>IF(B2125="","",IFERROR(INDEX('Cashier Roster'!$D$5:$D$64,MATCH(B2125,'Cashier Roster'!$B$5:$B$64,0)),""))</f>
        <v/>
      </c>
      <c r="E2125" s="13"/>
      <c r="F2125" s="14"/>
      <c r="G2125" s="8" t="str">
        <f>IF(OR(B2125="",E2125=""),"",IF(E2125="No","Missed",IF(F2125="","",IF(F2125&lt;=Settings!$B$7,"On time","Late"))))</f>
        <v/>
      </c>
      <c r="H2125" s="15"/>
      <c r="I2125" s="16"/>
      <c r="J2125" s="16"/>
      <c r="K2125" s="17" t="str">
        <f>IF(J2125="","",ROUND(J2125*Settings!$B$8,2))</f>
        <v/>
      </c>
      <c r="L2125" s="16"/>
      <c r="M2125" s="8" t="str">
        <f t="shared" si="33"/>
        <v/>
      </c>
      <c r="N2125" s="9"/>
    </row>
    <row r="2126" spans="1:14" ht="15.75">
      <c r="A2126" s="11"/>
      <c r="B2126" s="9"/>
      <c r="C2126" s="12" t="str">
        <f>IF(B2126="","",IFERROR(INDEX('Cashier Roster'!$C$5:$C$64,MATCH(B2126,'Cashier Roster'!$B$5:$B$64,0)),"Not on roster"))</f>
        <v/>
      </c>
      <c r="D2126" s="12" t="str">
        <f>IF(B2126="","",IFERROR(INDEX('Cashier Roster'!$D$5:$D$64,MATCH(B2126,'Cashier Roster'!$B$5:$B$64,0)),""))</f>
        <v/>
      </c>
      <c r="E2126" s="13"/>
      <c r="F2126" s="14"/>
      <c r="G2126" s="8" t="str">
        <f>IF(OR(B2126="",E2126=""),"",IF(E2126="No","Missed",IF(F2126="","",IF(F2126&lt;=Settings!$B$7,"On time","Late"))))</f>
        <v/>
      </c>
      <c r="H2126" s="15"/>
      <c r="I2126" s="16"/>
      <c r="J2126" s="16"/>
      <c r="K2126" s="17" t="str">
        <f>IF(J2126="","",ROUND(J2126*Settings!$B$8,2))</f>
        <v/>
      </c>
      <c r="L2126" s="16"/>
      <c r="M2126" s="8" t="str">
        <f t="shared" si="33"/>
        <v/>
      </c>
      <c r="N2126" s="9"/>
    </row>
    <row r="2127" spans="1:14" ht="15.75">
      <c r="A2127" s="11"/>
      <c r="B2127" s="9"/>
      <c r="C2127" s="12" t="str">
        <f>IF(B2127="","",IFERROR(INDEX('Cashier Roster'!$C$5:$C$64,MATCH(B2127,'Cashier Roster'!$B$5:$B$64,0)),"Not on roster"))</f>
        <v/>
      </c>
      <c r="D2127" s="12" t="str">
        <f>IF(B2127="","",IFERROR(INDEX('Cashier Roster'!$D$5:$D$64,MATCH(B2127,'Cashier Roster'!$B$5:$B$64,0)),""))</f>
        <v/>
      </c>
      <c r="E2127" s="13"/>
      <c r="F2127" s="14"/>
      <c r="G2127" s="8" t="str">
        <f>IF(OR(B2127="",E2127=""),"",IF(E2127="No","Missed",IF(F2127="","",IF(F2127&lt;=Settings!$B$7,"On time","Late"))))</f>
        <v/>
      </c>
      <c r="H2127" s="15"/>
      <c r="I2127" s="16"/>
      <c r="J2127" s="16"/>
      <c r="K2127" s="17" t="str">
        <f>IF(J2127="","",ROUND(J2127*Settings!$B$8,2))</f>
        <v/>
      </c>
      <c r="L2127" s="16"/>
      <c r="M2127" s="8" t="str">
        <f t="shared" si="33"/>
        <v/>
      </c>
      <c r="N2127" s="9"/>
    </row>
    <row r="2128" spans="1:14" ht="15.75">
      <c r="A2128" s="11"/>
      <c r="B2128" s="9"/>
      <c r="C2128" s="12" t="str">
        <f>IF(B2128="","",IFERROR(INDEX('Cashier Roster'!$C$5:$C$64,MATCH(B2128,'Cashier Roster'!$B$5:$B$64,0)),"Not on roster"))</f>
        <v/>
      </c>
      <c r="D2128" s="12" t="str">
        <f>IF(B2128="","",IFERROR(INDEX('Cashier Roster'!$D$5:$D$64,MATCH(B2128,'Cashier Roster'!$B$5:$B$64,0)),""))</f>
        <v/>
      </c>
      <c r="E2128" s="13"/>
      <c r="F2128" s="14"/>
      <c r="G2128" s="8" t="str">
        <f>IF(OR(B2128="",E2128=""),"",IF(E2128="No","Missed",IF(F2128="","",IF(F2128&lt;=Settings!$B$7,"On time","Late"))))</f>
        <v/>
      </c>
      <c r="H2128" s="15"/>
      <c r="I2128" s="16"/>
      <c r="J2128" s="16"/>
      <c r="K2128" s="17" t="str">
        <f>IF(J2128="","",ROUND(J2128*Settings!$B$8,2))</f>
        <v/>
      </c>
      <c r="L2128" s="16"/>
      <c r="M2128" s="8" t="str">
        <f t="shared" si="33"/>
        <v/>
      </c>
      <c r="N2128" s="9"/>
    </row>
    <row r="2129" spans="1:14" ht="15.75">
      <c r="A2129" s="11"/>
      <c r="B2129" s="9"/>
      <c r="C2129" s="12" t="str">
        <f>IF(B2129="","",IFERROR(INDEX('Cashier Roster'!$C$5:$C$64,MATCH(B2129,'Cashier Roster'!$B$5:$B$64,0)),"Not on roster"))</f>
        <v/>
      </c>
      <c r="D2129" s="12" t="str">
        <f>IF(B2129="","",IFERROR(INDEX('Cashier Roster'!$D$5:$D$64,MATCH(B2129,'Cashier Roster'!$B$5:$B$64,0)),""))</f>
        <v/>
      </c>
      <c r="E2129" s="13"/>
      <c r="F2129" s="14"/>
      <c r="G2129" s="8" t="str">
        <f>IF(OR(B2129="",E2129=""),"",IF(E2129="No","Missed",IF(F2129="","",IF(F2129&lt;=Settings!$B$7,"On time","Late"))))</f>
        <v/>
      </c>
      <c r="H2129" s="15"/>
      <c r="I2129" s="16"/>
      <c r="J2129" s="16"/>
      <c r="K2129" s="17" t="str">
        <f>IF(J2129="","",ROUND(J2129*Settings!$B$8,2))</f>
        <v/>
      </c>
      <c r="L2129" s="16"/>
      <c r="M2129" s="8" t="str">
        <f t="shared" si="33"/>
        <v/>
      </c>
      <c r="N2129" s="9"/>
    </row>
    <row r="2130" spans="1:14" ht="15.75">
      <c r="A2130" s="11"/>
      <c r="B2130" s="9"/>
      <c r="C2130" s="12" t="str">
        <f>IF(B2130="","",IFERROR(INDEX('Cashier Roster'!$C$5:$C$64,MATCH(B2130,'Cashier Roster'!$B$5:$B$64,0)),"Not on roster"))</f>
        <v/>
      </c>
      <c r="D2130" s="12" t="str">
        <f>IF(B2130="","",IFERROR(INDEX('Cashier Roster'!$D$5:$D$64,MATCH(B2130,'Cashier Roster'!$B$5:$B$64,0)),""))</f>
        <v/>
      </c>
      <c r="E2130" s="13"/>
      <c r="F2130" s="14"/>
      <c r="G2130" s="8" t="str">
        <f>IF(OR(B2130="",E2130=""),"",IF(E2130="No","Missed",IF(F2130="","",IF(F2130&lt;=Settings!$B$7,"On time","Late"))))</f>
        <v/>
      </c>
      <c r="H2130" s="15"/>
      <c r="I2130" s="16"/>
      <c r="J2130" s="16"/>
      <c r="K2130" s="17" t="str">
        <f>IF(J2130="","",ROUND(J2130*Settings!$B$8,2))</f>
        <v/>
      </c>
      <c r="L2130" s="16"/>
      <c r="M2130" s="8" t="str">
        <f t="shared" si="33"/>
        <v/>
      </c>
      <c r="N2130" s="9"/>
    </row>
    <row r="2131" spans="1:14" ht="15.75">
      <c r="A2131" s="11"/>
      <c r="B2131" s="9"/>
      <c r="C2131" s="12" t="str">
        <f>IF(B2131="","",IFERROR(INDEX('Cashier Roster'!$C$5:$C$64,MATCH(B2131,'Cashier Roster'!$B$5:$B$64,0)),"Not on roster"))</f>
        <v/>
      </c>
      <c r="D2131" s="12" t="str">
        <f>IF(B2131="","",IFERROR(INDEX('Cashier Roster'!$D$5:$D$64,MATCH(B2131,'Cashier Roster'!$B$5:$B$64,0)),""))</f>
        <v/>
      </c>
      <c r="E2131" s="13"/>
      <c r="F2131" s="14"/>
      <c r="G2131" s="8" t="str">
        <f>IF(OR(B2131="",E2131=""),"",IF(E2131="No","Missed",IF(F2131="","",IF(F2131&lt;=Settings!$B$7,"On time","Late"))))</f>
        <v/>
      </c>
      <c r="H2131" s="15"/>
      <c r="I2131" s="16"/>
      <c r="J2131" s="16"/>
      <c r="K2131" s="17" t="str">
        <f>IF(J2131="","",ROUND(J2131*Settings!$B$8,2))</f>
        <v/>
      </c>
      <c r="L2131" s="16"/>
      <c r="M2131" s="8" t="str">
        <f t="shared" si="33"/>
        <v/>
      </c>
      <c r="N2131" s="9"/>
    </row>
    <row r="2132" spans="1:14" ht="15.75">
      <c r="A2132" s="11"/>
      <c r="B2132" s="9"/>
      <c r="C2132" s="12" t="str">
        <f>IF(B2132="","",IFERROR(INDEX('Cashier Roster'!$C$5:$C$64,MATCH(B2132,'Cashier Roster'!$B$5:$B$64,0)),"Not on roster"))</f>
        <v/>
      </c>
      <c r="D2132" s="12" t="str">
        <f>IF(B2132="","",IFERROR(INDEX('Cashier Roster'!$D$5:$D$64,MATCH(B2132,'Cashier Roster'!$B$5:$B$64,0)),""))</f>
        <v/>
      </c>
      <c r="E2132" s="13"/>
      <c r="F2132" s="14"/>
      <c r="G2132" s="8" t="str">
        <f>IF(OR(B2132="",E2132=""),"",IF(E2132="No","Missed",IF(F2132="","",IF(F2132&lt;=Settings!$B$7,"On time","Late"))))</f>
        <v/>
      </c>
      <c r="H2132" s="15"/>
      <c r="I2132" s="16"/>
      <c r="J2132" s="16"/>
      <c r="K2132" s="17" t="str">
        <f>IF(J2132="","",ROUND(J2132*Settings!$B$8,2))</f>
        <v/>
      </c>
      <c r="L2132" s="16"/>
      <c r="M2132" s="8" t="str">
        <f t="shared" si="33"/>
        <v/>
      </c>
      <c r="N2132" s="9"/>
    </row>
    <row r="2133" spans="1:14" ht="15.75">
      <c r="A2133" s="11"/>
      <c r="B2133" s="9"/>
      <c r="C2133" s="12" t="str">
        <f>IF(B2133="","",IFERROR(INDEX('Cashier Roster'!$C$5:$C$64,MATCH(B2133,'Cashier Roster'!$B$5:$B$64,0)),"Not on roster"))</f>
        <v/>
      </c>
      <c r="D2133" s="12" t="str">
        <f>IF(B2133="","",IFERROR(INDEX('Cashier Roster'!$D$5:$D$64,MATCH(B2133,'Cashier Roster'!$B$5:$B$64,0)),""))</f>
        <v/>
      </c>
      <c r="E2133" s="13"/>
      <c r="F2133" s="14"/>
      <c r="G2133" s="8" t="str">
        <f>IF(OR(B2133="",E2133=""),"",IF(E2133="No","Missed",IF(F2133="","",IF(F2133&lt;=Settings!$B$7,"On time","Late"))))</f>
        <v/>
      </c>
      <c r="H2133" s="15"/>
      <c r="I2133" s="16"/>
      <c r="J2133" s="16"/>
      <c r="K2133" s="17" t="str">
        <f>IF(J2133="","",ROUND(J2133*Settings!$B$8,2))</f>
        <v/>
      </c>
      <c r="L2133" s="16"/>
      <c r="M2133" s="8" t="str">
        <f t="shared" si="33"/>
        <v/>
      </c>
      <c r="N2133" s="9"/>
    </row>
    <row r="2134" spans="1:14" ht="15.75">
      <c r="A2134" s="11"/>
      <c r="B2134" s="9"/>
      <c r="C2134" s="12" t="str">
        <f>IF(B2134="","",IFERROR(INDEX('Cashier Roster'!$C$5:$C$64,MATCH(B2134,'Cashier Roster'!$B$5:$B$64,0)),"Not on roster"))</f>
        <v/>
      </c>
      <c r="D2134" s="12" t="str">
        <f>IF(B2134="","",IFERROR(INDEX('Cashier Roster'!$D$5:$D$64,MATCH(B2134,'Cashier Roster'!$B$5:$B$64,0)),""))</f>
        <v/>
      </c>
      <c r="E2134" s="13"/>
      <c r="F2134" s="14"/>
      <c r="G2134" s="8" t="str">
        <f>IF(OR(B2134="",E2134=""),"",IF(E2134="No","Missed",IF(F2134="","",IF(F2134&lt;=Settings!$B$7,"On time","Late"))))</f>
        <v/>
      </c>
      <c r="H2134" s="15"/>
      <c r="I2134" s="16"/>
      <c r="J2134" s="16"/>
      <c r="K2134" s="17" t="str">
        <f>IF(J2134="","",ROUND(J2134*Settings!$B$8,2))</f>
        <v/>
      </c>
      <c r="L2134" s="16"/>
      <c r="M2134" s="8" t="str">
        <f t="shared" si="33"/>
        <v/>
      </c>
      <c r="N2134" s="9"/>
    </row>
    <row r="2135" spans="1:14" ht="15.75">
      <c r="A2135" s="11"/>
      <c r="B2135" s="9"/>
      <c r="C2135" s="12" t="str">
        <f>IF(B2135="","",IFERROR(INDEX('Cashier Roster'!$C$5:$C$64,MATCH(B2135,'Cashier Roster'!$B$5:$B$64,0)),"Not on roster"))</f>
        <v/>
      </c>
      <c r="D2135" s="12" t="str">
        <f>IF(B2135="","",IFERROR(INDEX('Cashier Roster'!$D$5:$D$64,MATCH(B2135,'Cashier Roster'!$B$5:$B$64,0)),""))</f>
        <v/>
      </c>
      <c r="E2135" s="13"/>
      <c r="F2135" s="14"/>
      <c r="G2135" s="8" t="str">
        <f>IF(OR(B2135="",E2135=""),"",IF(E2135="No","Missed",IF(F2135="","",IF(F2135&lt;=Settings!$B$7,"On time","Late"))))</f>
        <v/>
      </c>
      <c r="H2135" s="15"/>
      <c r="I2135" s="16"/>
      <c r="J2135" s="16"/>
      <c r="K2135" s="17" t="str">
        <f>IF(J2135="","",ROUND(J2135*Settings!$B$8,2))</f>
        <v/>
      </c>
      <c r="L2135" s="16"/>
      <c r="M2135" s="8" t="str">
        <f t="shared" si="33"/>
        <v/>
      </c>
      <c r="N2135" s="9"/>
    </row>
    <row r="2136" spans="1:14" ht="15.75">
      <c r="A2136" s="11"/>
      <c r="B2136" s="9"/>
      <c r="C2136" s="12" t="str">
        <f>IF(B2136="","",IFERROR(INDEX('Cashier Roster'!$C$5:$C$64,MATCH(B2136,'Cashier Roster'!$B$5:$B$64,0)),"Not on roster"))</f>
        <v/>
      </c>
      <c r="D2136" s="12" t="str">
        <f>IF(B2136="","",IFERROR(INDEX('Cashier Roster'!$D$5:$D$64,MATCH(B2136,'Cashier Roster'!$B$5:$B$64,0)),""))</f>
        <v/>
      </c>
      <c r="E2136" s="13"/>
      <c r="F2136" s="14"/>
      <c r="G2136" s="8" t="str">
        <f>IF(OR(B2136="",E2136=""),"",IF(E2136="No","Missed",IF(F2136="","",IF(F2136&lt;=Settings!$B$7,"On time","Late"))))</f>
        <v/>
      </c>
      <c r="H2136" s="15"/>
      <c r="I2136" s="16"/>
      <c r="J2136" s="16"/>
      <c r="K2136" s="17" t="str">
        <f>IF(J2136="","",ROUND(J2136*Settings!$B$8,2))</f>
        <v/>
      </c>
      <c r="L2136" s="16"/>
      <c r="M2136" s="8" t="str">
        <f t="shared" si="33"/>
        <v/>
      </c>
      <c r="N2136" s="9"/>
    </row>
    <row r="2137" spans="1:14" ht="15.75">
      <c r="A2137" s="11"/>
      <c r="B2137" s="9"/>
      <c r="C2137" s="12" t="str">
        <f>IF(B2137="","",IFERROR(INDEX('Cashier Roster'!$C$5:$C$64,MATCH(B2137,'Cashier Roster'!$B$5:$B$64,0)),"Not on roster"))</f>
        <v/>
      </c>
      <c r="D2137" s="12" t="str">
        <f>IF(B2137="","",IFERROR(INDEX('Cashier Roster'!$D$5:$D$64,MATCH(B2137,'Cashier Roster'!$B$5:$B$64,0)),""))</f>
        <v/>
      </c>
      <c r="E2137" s="13"/>
      <c r="F2137" s="14"/>
      <c r="G2137" s="8" t="str">
        <f>IF(OR(B2137="",E2137=""),"",IF(E2137="No","Missed",IF(F2137="","",IF(F2137&lt;=Settings!$B$7,"On time","Late"))))</f>
        <v/>
      </c>
      <c r="H2137" s="15"/>
      <c r="I2137" s="16"/>
      <c r="J2137" s="16"/>
      <c r="K2137" s="17" t="str">
        <f>IF(J2137="","",ROUND(J2137*Settings!$B$8,2))</f>
        <v/>
      </c>
      <c r="L2137" s="16"/>
      <c r="M2137" s="8" t="str">
        <f t="shared" si="33"/>
        <v/>
      </c>
      <c r="N2137" s="9"/>
    </row>
    <row r="2138" spans="1:14" ht="15.75">
      <c r="A2138" s="11"/>
      <c r="B2138" s="9"/>
      <c r="C2138" s="12" t="str">
        <f>IF(B2138="","",IFERROR(INDEX('Cashier Roster'!$C$5:$C$64,MATCH(B2138,'Cashier Roster'!$B$5:$B$64,0)),"Not on roster"))</f>
        <v/>
      </c>
      <c r="D2138" s="12" t="str">
        <f>IF(B2138="","",IFERROR(INDEX('Cashier Roster'!$D$5:$D$64,MATCH(B2138,'Cashier Roster'!$B$5:$B$64,0)),""))</f>
        <v/>
      </c>
      <c r="E2138" s="13"/>
      <c r="F2138" s="14"/>
      <c r="G2138" s="8" t="str">
        <f>IF(OR(B2138="",E2138=""),"",IF(E2138="No","Missed",IF(F2138="","",IF(F2138&lt;=Settings!$B$7,"On time","Late"))))</f>
        <v/>
      </c>
      <c r="H2138" s="15"/>
      <c r="I2138" s="16"/>
      <c r="J2138" s="16"/>
      <c r="K2138" s="17" t="str">
        <f>IF(J2138="","",ROUND(J2138*Settings!$B$8,2))</f>
        <v/>
      </c>
      <c r="L2138" s="16"/>
      <c r="M2138" s="8" t="str">
        <f t="shared" si="33"/>
        <v/>
      </c>
      <c r="N2138" s="9"/>
    </row>
    <row r="2139" spans="1:14" ht="15.75">
      <c r="A2139" s="11"/>
      <c r="B2139" s="9"/>
      <c r="C2139" s="12" t="str">
        <f>IF(B2139="","",IFERROR(INDEX('Cashier Roster'!$C$5:$C$64,MATCH(B2139,'Cashier Roster'!$B$5:$B$64,0)),"Not on roster"))</f>
        <v/>
      </c>
      <c r="D2139" s="12" t="str">
        <f>IF(B2139="","",IFERROR(INDEX('Cashier Roster'!$D$5:$D$64,MATCH(B2139,'Cashier Roster'!$B$5:$B$64,0)),""))</f>
        <v/>
      </c>
      <c r="E2139" s="13"/>
      <c r="F2139" s="14"/>
      <c r="G2139" s="8" t="str">
        <f>IF(OR(B2139="",E2139=""),"",IF(E2139="No","Missed",IF(F2139="","",IF(F2139&lt;=Settings!$B$7,"On time","Late"))))</f>
        <v/>
      </c>
      <c r="H2139" s="15"/>
      <c r="I2139" s="16"/>
      <c r="J2139" s="16"/>
      <c r="K2139" s="17" t="str">
        <f>IF(J2139="","",ROUND(J2139*Settings!$B$8,2))</f>
        <v/>
      </c>
      <c r="L2139" s="16"/>
      <c r="M2139" s="8" t="str">
        <f t="shared" si="33"/>
        <v/>
      </c>
      <c r="N2139" s="9"/>
    </row>
    <row r="2140" spans="1:14" ht="15.75">
      <c r="A2140" s="11"/>
      <c r="B2140" s="9"/>
      <c r="C2140" s="12" t="str">
        <f>IF(B2140="","",IFERROR(INDEX('Cashier Roster'!$C$5:$C$64,MATCH(B2140,'Cashier Roster'!$B$5:$B$64,0)),"Not on roster"))</f>
        <v/>
      </c>
      <c r="D2140" s="12" t="str">
        <f>IF(B2140="","",IFERROR(INDEX('Cashier Roster'!$D$5:$D$64,MATCH(B2140,'Cashier Roster'!$B$5:$B$64,0)),""))</f>
        <v/>
      </c>
      <c r="E2140" s="13"/>
      <c r="F2140" s="14"/>
      <c r="G2140" s="8" t="str">
        <f>IF(OR(B2140="",E2140=""),"",IF(E2140="No","Missed",IF(F2140="","",IF(F2140&lt;=Settings!$B$7,"On time","Late"))))</f>
        <v/>
      </c>
      <c r="H2140" s="15"/>
      <c r="I2140" s="16"/>
      <c r="J2140" s="16"/>
      <c r="K2140" s="17" t="str">
        <f>IF(J2140="","",ROUND(J2140*Settings!$B$8,2))</f>
        <v/>
      </c>
      <c r="L2140" s="16"/>
      <c r="M2140" s="8" t="str">
        <f t="shared" si="33"/>
        <v/>
      </c>
      <c r="N2140" s="9"/>
    </row>
    <row r="2141" spans="1:14" ht="15.75">
      <c r="A2141" s="11"/>
      <c r="B2141" s="9"/>
      <c r="C2141" s="12" t="str">
        <f>IF(B2141="","",IFERROR(INDEX('Cashier Roster'!$C$5:$C$64,MATCH(B2141,'Cashier Roster'!$B$5:$B$64,0)),"Not on roster"))</f>
        <v/>
      </c>
      <c r="D2141" s="12" t="str">
        <f>IF(B2141="","",IFERROR(INDEX('Cashier Roster'!$D$5:$D$64,MATCH(B2141,'Cashier Roster'!$B$5:$B$64,0)),""))</f>
        <v/>
      </c>
      <c r="E2141" s="13"/>
      <c r="F2141" s="14"/>
      <c r="G2141" s="8" t="str">
        <f>IF(OR(B2141="",E2141=""),"",IF(E2141="No","Missed",IF(F2141="","",IF(F2141&lt;=Settings!$B$7,"On time","Late"))))</f>
        <v/>
      </c>
      <c r="H2141" s="15"/>
      <c r="I2141" s="16"/>
      <c r="J2141" s="16"/>
      <c r="K2141" s="17" t="str">
        <f>IF(J2141="","",ROUND(J2141*Settings!$B$8,2))</f>
        <v/>
      </c>
      <c r="L2141" s="16"/>
      <c r="M2141" s="8" t="str">
        <f t="shared" si="33"/>
        <v/>
      </c>
      <c r="N2141" s="9"/>
    </row>
    <row r="2142" spans="1:14" ht="15.75">
      <c r="A2142" s="11"/>
      <c r="B2142" s="9"/>
      <c r="C2142" s="12" t="str">
        <f>IF(B2142="","",IFERROR(INDEX('Cashier Roster'!$C$5:$C$64,MATCH(B2142,'Cashier Roster'!$B$5:$B$64,0)),"Not on roster"))</f>
        <v/>
      </c>
      <c r="D2142" s="12" t="str">
        <f>IF(B2142="","",IFERROR(INDEX('Cashier Roster'!$D$5:$D$64,MATCH(B2142,'Cashier Roster'!$B$5:$B$64,0)),""))</f>
        <v/>
      </c>
      <c r="E2142" s="13"/>
      <c r="F2142" s="14"/>
      <c r="G2142" s="8" t="str">
        <f>IF(OR(B2142="",E2142=""),"",IF(E2142="No","Missed",IF(F2142="","",IF(F2142&lt;=Settings!$B$7,"On time","Late"))))</f>
        <v/>
      </c>
      <c r="H2142" s="15"/>
      <c r="I2142" s="16"/>
      <c r="J2142" s="16"/>
      <c r="K2142" s="17" t="str">
        <f>IF(J2142="","",ROUND(J2142*Settings!$B$8,2))</f>
        <v/>
      </c>
      <c r="L2142" s="16"/>
      <c r="M2142" s="8" t="str">
        <f t="shared" si="33"/>
        <v/>
      </c>
      <c r="N2142" s="9"/>
    </row>
    <row r="2143" spans="1:14" ht="15.75">
      <c r="A2143" s="11"/>
      <c r="B2143" s="9"/>
      <c r="C2143" s="12" t="str">
        <f>IF(B2143="","",IFERROR(INDEX('Cashier Roster'!$C$5:$C$64,MATCH(B2143,'Cashier Roster'!$B$5:$B$64,0)),"Not on roster"))</f>
        <v/>
      </c>
      <c r="D2143" s="12" t="str">
        <f>IF(B2143="","",IFERROR(INDEX('Cashier Roster'!$D$5:$D$64,MATCH(B2143,'Cashier Roster'!$B$5:$B$64,0)),""))</f>
        <v/>
      </c>
      <c r="E2143" s="13"/>
      <c r="F2143" s="14"/>
      <c r="G2143" s="8" t="str">
        <f>IF(OR(B2143="",E2143=""),"",IF(E2143="No","Missed",IF(F2143="","",IF(F2143&lt;=Settings!$B$7,"On time","Late"))))</f>
        <v/>
      </c>
      <c r="H2143" s="15"/>
      <c r="I2143" s="16"/>
      <c r="J2143" s="16"/>
      <c r="K2143" s="17" t="str">
        <f>IF(J2143="","",ROUND(J2143*Settings!$B$8,2))</f>
        <v/>
      </c>
      <c r="L2143" s="16"/>
      <c r="M2143" s="8" t="str">
        <f t="shared" si="33"/>
        <v/>
      </c>
      <c r="N2143" s="9"/>
    </row>
    <row r="2144" spans="1:14" ht="15.75">
      <c r="A2144" s="11"/>
      <c r="B2144" s="9"/>
      <c r="C2144" s="12" t="str">
        <f>IF(B2144="","",IFERROR(INDEX('Cashier Roster'!$C$5:$C$64,MATCH(B2144,'Cashier Roster'!$B$5:$B$64,0)),"Not on roster"))</f>
        <v/>
      </c>
      <c r="D2144" s="12" t="str">
        <f>IF(B2144="","",IFERROR(INDEX('Cashier Roster'!$D$5:$D$64,MATCH(B2144,'Cashier Roster'!$B$5:$B$64,0)),""))</f>
        <v/>
      </c>
      <c r="E2144" s="13"/>
      <c r="F2144" s="14"/>
      <c r="G2144" s="8" t="str">
        <f>IF(OR(B2144="",E2144=""),"",IF(E2144="No","Missed",IF(F2144="","",IF(F2144&lt;=Settings!$B$7,"On time","Late"))))</f>
        <v/>
      </c>
      <c r="H2144" s="15"/>
      <c r="I2144" s="16"/>
      <c r="J2144" s="16"/>
      <c r="K2144" s="17" t="str">
        <f>IF(J2144="","",ROUND(J2144*Settings!$B$8,2))</f>
        <v/>
      </c>
      <c r="L2144" s="16"/>
      <c r="M2144" s="8" t="str">
        <f t="shared" si="33"/>
        <v/>
      </c>
      <c r="N2144" s="9"/>
    </row>
    <row r="2145" spans="1:14" ht="15.75">
      <c r="A2145" s="11"/>
      <c r="B2145" s="9"/>
      <c r="C2145" s="12" t="str">
        <f>IF(B2145="","",IFERROR(INDEX('Cashier Roster'!$C$5:$C$64,MATCH(B2145,'Cashier Roster'!$B$5:$B$64,0)),"Not on roster"))</f>
        <v/>
      </c>
      <c r="D2145" s="12" t="str">
        <f>IF(B2145="","",IFERROR(INDEX('Cashier Roster'!$D$5:$D$64,MATCH(B2145,'Cashier Roster'!$B$5:$B$64,0)),""))</f>
        <v/>
      </c>
      <c r="E2145" s="13"/>
      <c r="F2145" s="14"/>
      <c r="G2145" s="8" t="str">
        <f>IF(OR(B2145="",E2145=""),"",IF(E2145="No","Missed",IF(F2145="","",IF(F2145&lt;=Settings!$B$7,"On time","Late"))))</f>
        <v/>
      </c>
      <c r="H2145" s="15"/>
      <c r="I2145" s="16"/>
      <c r="J2145" s="16"/>
      <c r="K2145" s="17" t="str">
        <f>IF(J2145="","",ROUND(J2145*Settings!$B$8,2))</f>
        <v/>
      </c>
      <c r="L2145" s="16"/>
      <c r="M2145" s="8" t="str">
        <f t="shared" si="33"/>
        <v/>
      </c>
      <c r="N2145" s="9"/>
    </row>
    <row r="2146" spans="1:14" ht="15.75">
      <c r="A2146" s="11"/>
      <c r="B2146" s="9"/>
      <c r="C2146" s="12" t="str">
        <f>IF(B2146="","",IFERROR(INDEX('Cashier Roster'!$C$5:$C$64,MATCH(B2146,'Cashier Roster'!$B$5:$B$64,0)),"Not on roster"))</f>
        <v/>
      </c>
      <c r="D2146" s="12" t="str">
        <f>IF(B2146="","",IFERROR(INDEX('Cashier Roster'!$D$5:$D$64,MATCH(B2146,'Cashier Roster'!$B$5:$B$64,0)),""))</f>
        <v/>
      </c>
      <c r="E2146" s="13"/>
      <c r="F2146" s="14"/>
      <c r="G2146" s="8" t="str">
        <f>IF(OR(B2146="",E2146=""),"",IF(E2146="No","Missed",IF(F2146="","",IF(F2146&lt;=Settings!$B$7,"On time","Late"))))</f>
        <v/>
      </c>
      <c r="H2146" s="15"/>
      <c r="I2146" s="16"/>
      <c r="J2146" s="16"/>
      <c r="K2146" s="17" t="str">
        <f>IF(J2146="","",ROUND(J2146*Settings!$B$8,2))</f>
        <v/>
      </c>
      <c r="L2146" s="16"/>
      <c r="M2146" s="8" t="str">
        <f t="shared" si="33"/>
        <v/>
      </c>
      <c r="N2146" s="9"/>
    </row>
    <row r="2147" spans="1:14" ht="15.75">
      <c r="A2147" s="11"/>
      <c r="B2147" s="9"/>
      <c r="C2147" s="12" t="str">
        <f>IF(B2147="","",IFERROR(INDEX('Cashier Roster'!$C$5:$C$64,MATCH(B2147,'Cashier Roster'!$B$5:$B$64,0)),"Not on roster"))</f>
        <v/>
      </c>
      <c r="D2147" s="12" t="str">
        <f>IF(B2147="","",IFERROR(INDEX('Cashier Roster'!$D$5:$D$64,MATCH(B2147,'Cashier Roster'!$B$5:$B$64,0)),""))</f>
        <v/>
      </c>
      <c r="E2147" s="13"/>
      <c r="F2147" s="14"/>
      <c r="G2147" s="8" t="str">
        <f>IF(OR(B2147="",E2147=""),"",IF(E2147="No","Missed",IF(F2147="","",IF(F2147&lt;=Settings!$B$7,"On time","Late"))))</f>
        <v/>
      </c>
      <c r="H2147" s="15"/>
      <c r="I2147" s="16"/>
      <c r="J2147" s="16"/>
      <c r="K2147" s="17" t="str">
        <f>IF(J2147="","",ROUND(J2147*Settings!$B$8,2))</f>
        <v/>
      </c>
      <c r="L2147" s="16"/>
      <c r="M2147" s="8" t="str">
        <f t="shared" si="33"/>
        <v/>
      </c>
      <c r="N2147" s="9"/>
    </row>
    <row r="2148" spans="1:14" ht="15.75">
      <c r="A2148" s="11"/>
      <c r="B2148" s="9"/>
      <c r="C2148" s="12" t="str">
        <f>IF(B2148="","",IFERROR(INDEX('Cashier Roster'!$C$5:$C$64,MATCH(B2148,'Cashier Roster'!$B$5:$B$64,0)),"Not on roster"))</f>
        <v/>
      </c>
      <c r="D2148" s="12" t="str">
        <f>IF(B2148="","",IFERROR(INDEX('Cashier Roster'!$D$5:$D$64,MATCH(B2148,'Cashier Roster'!$B$5:$B$64,0)),""))</f>
        <v/>
      </c>
      <c r="E2148" s="13"/>
      <c r="F2148" s="14"/>
      <c r="G2148" s="8" t="str">
        <f>IF(OR(B2148="",E2148=""),"",IF(E2148="No","Missed",IF(F2148="","",IF(F2148&lt;=Settings!$B$7,"On time","Late"))))</f>
        <v/>
      </c>
      <c r="H2148" s="15"/>
      <c r="I2148" s="16"/>
      <c r="J2148" s="16"/>
      <c r="K2148" s="17" t="str">
        <f>IF(J2148="","",ROUND(J2148*Settings!$B$8,2))</f>
        <v/>
      </c>
      <c r="L2148" s="16"/>
      <c r="M2148" s="8" t="str">
        <f t="shared" si="33"/>
        <v/>
      </c>
      <c r="N2148" s="9"/>
    </row>
    <row r="2149" spans="1:14" ht="15.75">
      <c r="A2149" s="11"/>
      <c r="B2149" s="9"/>
      <c r="C2149" s="12" t="str">
        <f>IF(B2149="","",IFERROR(INDEX('Cashier Roster'!$C$5:$C$64,MATCH(B2149,'Cashier Roster'!$B$5:$B$64,0)),"Not on roster"))</f>
        <v/>
      </c>
      <c r="D2149" s="12" t="str">
        <f>IF(B2149="","",IFERROR(INDEX('Cashier Roster'!$D$5:$D$64,MATCH(B2149,'Cashier Roster'!$B$5:$B$64,0)),""))</f>
        <v/>
      </c>
      <c r="E2149" s="13"/>
      <c r="F2149" s="14"/>
      <c r="G2149" s="8" t="str">
        <f>IF(OR(B2149="",E2149=""),"",IF(E2149="No","Missed",IF(F2149="","",IF(F2149&lt;=Settings!$B$7,"On time","Late"))))</f>
        <v/>
      </c>
      <c r="H2149" s="15"/>
      <c r="I2149" s="16"/>
      <c r="J2149" s="16"/>
      <c r="K2149" s="17" t="str">
        <f>IF(J2149="","",ROUND(J2149*Settings!$B$8,2))</f>
        <v/>
      </c>
      <c r="L2149" s="16"/>
      <c r="M2149" s="8" t="str">
        <f t="shared" si="33"/>
        <v/>
      </c>
      <c r="N2149" s="9"/>
    </row>
    <row r="2150" spans="1:14" ht="15.75">
      <c r="A2150" s="11"/>
      <c r="B2150" s="9"/>
      <c r="C2150" s="12" t="str">
        <f>IF(B2150="","",IFERROR(INDEX('Cashier Roster'!$C$5:$C$64,MATCH(B2150,'Cashier Roster'!$B$5:$B$64,0)),"Not on roster"))</f>
        <v/>
      </c>
      <c r="D2150" s="12" t="str">
        <f>IF(B2150="","",IFERROR(INDEX('Cashier Roster'!$D$5:$D$64,MATCH(B2150,'Cashier Roster'!$B$5:$B$64,0)),""))</f>
        <v/>
      </c>
      <c r="E2150" s="13"/>
      <c r="F2150" s="14"/>
      <c r="G2150" s="8" t="str">
        <f>IF(OR(B2150="",E2150=""),"",IF(E2150="No","Missed",IF(F2150="","",IF(F2150&lt;=Settings!$B$7,"On time","Late"))))</f>
        <v/>
      </c>
      <c r="H2150" s="15"/>
      <c r="I2150" s="16"/>
      <c r="J2150" s="16"/>
      <c r="K2150" s="17" t="str">
        <f>IF(J2150="","",ROUND(J2150*Settings!$B$8,2))</f>
        <v/>
      </c>
      <c r="L2150" s="16"/>
      <c r="M2150" s="8" t="str">
        <f t="shared" si="33"/>
        <v/>
      </c>
      <c r="N2150" s="9"/>
    </row>
    <row r="2151" spans="1:14" ht="15.75">
      <c r="A2151" s="11"/>
      <c r="B2151" s="9"/>
      <c r="C2151" s="12" t="str">
        <f>IF(B2151="","",IFERROR(INDEX('Cashier Roster'!$C$5:$C$64,MATCH(B2151,'Cashier Roster'!$B$5:$B$64,0)),"Not on roster"))</f>
        <v/>
      </c>
      <c r="D2151" s="12" t="str">
        <f>IF(B2151="","",IFERROR(INDEX('Cashier Roster'!$D$5:$D$64,MATCH(B2151,'Cashier Roster'!$B$5:$B$64,0)),""))</f>
        <v/>
      </c>
      <c r="E2151" s="13"/>
      <c r="F2151" s="14"/>
      <c r="G2151" s="8" t="str">
        <f>IF(OR(B2151="",E2151=""),"",IF(E2151="No","Missed",IF(F2151="","",IF(F2151&lt;=Settings!$B$7,"On time","Late"))))</f>
        <v/>
      </c>
      <c r="H2151" s="15"/>
      <c r="I2151" s="16"/>
      <c r="J2151" s="16"/>
      <c r="K2151" s="17" t="str">
        <f>IF(J2151="","",ROUND(J2151*Settings!$B$8,2))</f>
        <v/>
      </c>
      <c r="L2151" s="16"/>
      <c r="M2151" s="8" t="str">
        <f t="shared" si="33"/>
        <v/>
      </c>
      <c r="N2151" s="9"/>
    </row>
    <row r="2152" spans="1:14" ht="15.75">
      <c r="A2152" s="11"/>
      <c r="B2152" s="9"/>
      <c r="C2152" s="12" t="str">
        <f>IF(B2152="","",IFERROR(INDEX('Cashier Roster'!$C$5:$C$64,MATCH(B2152,'Cashier Roster'!$B$5:$B$64,0)),"Not on roster"))</f>
        <v/>
      </c>
      <c r="D2152" s="12" t="str">
        <f>IF(B2152="","",IFERROR(INDEX('Cashier Roster'!$D$5:$D$64,MATCH(B2152,'Cashier Roster'!$B$5:$B$64,0)),""))</f>
        <v/>
      </c>
      <c r="E2152" s="13"/>
      <c r="F2152" s="14"/>
      <c r="G2152" s="8" t="str">
        <f>IF(OR(B2152="",E2152=""),"",IF(E2152="No","Missed",IF(F2152="","",IF(F2152&lt;=Settings!$B$7,"On time","Late"))))</f>
        <v/>
      </c>
      <c r="H2152" s="15"/>
      <c r="I2152" s="16"/>
      <c r="J2152" s="16"/>
      <c r="K2152" s="17" t="str">
        <f>IF(J2152="","",ROUND(J2152*Settings!$B$8,2))</f>
        <v/>
      </c>
      <c r="L2152" s="16"/>
      <c r="M2152" s="8" t="str">
        <f t="shared" si="33"/>
        <v/>
      </c>
      <c r="N2152" s="9"/>
    </row>
    <row r="2153" spans="1:14" ht="15.75">
      <c r="A2153" s="11"/>
      <c r="B2153" s="9"/>
      <c r="C2153" s="12" t="str">
        <f>IF(B2153="","",IFERROR(INDEX('Cashier Roster'!$C$5:$C$64,MATCH(B2153,'Cashier Roster'!$B$5:$B$64,0)),"Not on roster"))</f>
        <v/>
      </c>
      <c r="D2153" s="12" t="str">
        <f>IF(B2153="","",IFERROR(INDEX('Cashier Roster'!$D$5:$D$64,MATCH(B2153,'Cashier Roster'!$B$5:$B$64,0)),""))</f>
        <v/>
      </c>
      <c r="E2153" s="13"/>
      <c r="F2153" s="14"/>
      <c r="G2153" s="8" t="str">
        <f>IF(OR(B2153="",E2153=""),"",IF(E2153="No","Missed",IF(F2153="","",IF(F2153&lt;=Settings!$B$7,"On time","Late"))))</f>
        <v/>
      </c>
      <c r="H2153" s="15"/>
      <c r="I2153" s="16"/>
      <c r="J2153" s="16"/>
      <c r="K2153" s="17" t="str">
        <f>IF(J2153="","",ROUND(J2153*Settings!$B$8,2))</f>
        <v/>
      </c>
      <c r="L2153" s="16"/>
      <c r="M2153" s="8" t="str">
        <f t="shared" si="33"/>
        <v/>
      </c>
      <c r="N2153" s="9"/>
    </row>
    <row r="2154" spans="1:14" ht="15.75">
      <c r="A2154" s="11"/>
      <c r="B2154" s="9"/>
      <c r="C2154" s="12" t="str">
        <f>IF(B2154="","",IFERROR(INDEX('Cashier Roster'!$C$5:$C$64,MATCH(B2154,'Cashier Roster'!$B$5:$B$64,0)),"Not on roster"))</f>
        <v/>
      </c>
      <c r="D2154" s="12" t="str">
        <f>IF(B2154="","",IFERROR(INDEX('Cashier Roster'!$D$5:$D$64,MATCH(B2154,'Cashier Roster'!$B$5:$B$64,0)),""))</f>
        <v/>
      </c>
      <c r="E2154" s="13"/>
      <c r="F2154" s="14"/>
      <c r="G2154" s="8" t="str">
        <f>IF(OR(B2154="",E2154=""),"",IF(E2154="No","Missed",IF(F2154="","",IF(F2154&lt;=Settings!$B$7,"On time","Late"))))</f>
        <v/>
      </c>
      <c r="H2154" s="15"/>
      <c r="I2154" s="16"/>
      <c r="J2154" s="16"/>
      <c r="K2154" s="17" t="str">
        <f>IF(J2154="","",ROUND(J2154*Settings!$B$8,2))</f>
        <v/>
      </c>
      <c r="L2154" s="16"/>
      <c r="M2154" s="8" t="str">
        <f t="shared" si="33"/>
        <v/>
      </c>
      <c r="N2154" s="9"/>
    </row>
    <row r="2155" spans="1:14" ht="15.75">
      <c r="A2155" s="11"/>
      <c r="B2155" s="9"/>
      <c r="C2155" s="12" t="str">
        <f>IF(B2155="","",IFERROR(INDEX('Cashier Roster'!$C$5:$C$64,MATCH(B2155,'Cashier Roster'!$B$5:$B$64,0)),"Not on roster"))</f>
        <v/>
      </c>
      <c r="D2155" s="12" t="str">
        <f>IF(B2155="","",IFERROR(INDEX('Cashier Roster'!$D$5:$D$64,MATCH(B2155,'Cashier Roster'!$B$5:$B$64,0)),""))</f>
        <v/>
      </c>
      <c r="E2155" s="13"/>
      <c r="F2155" s="14"/>
      <c r="G2155" s="8" t="str">
        <f>IF(OR(B2155="",E2155=""),"",IF(E2155="No","Missed",IF(F2155="","",IF(F2155&lt;=Settings!$B$7,"On time","Late"))))</f>
        <v/>
      </c>
      <c r="H2155" s="15"/>
      <c r="I2155" s="16"/>
      <c r="J2155" s="16"/>
      <c r="K2155" s="17" t="str">
        <f>IF(J2155="","",ROUND(J2155*Settings!$B$8,2))</f>
        <v/>
      </c>
      <c r="L2155" s="16"/>
      <c r="M2155" s="8" t="str">
        <f t="shared" si="33"/>
        <v/>
      </c>
      <c r="N2155" s="9"/>
    </row>
    <row r="2156" spans="1:14" ht="15.75">
      <c r="A2156" s="11"/>
      <c r="B2156" s="9"/>
      <c r="C2156" s="12" t="str">
        <f>IF(B2156="","",IFERROR(INDEX('Cashier Roster'!$C$5:$C$64,MATCH(B2156,'Cashier Roster'!$B$5:$B$64,0)),"Not on roster"))</f>
        <v/>
      </c>
      <c r="D2156" s="12" t="str">
        <f>IF(B2156="","",IFERROR(INDEX('Cashier Roster'!$D$5:$D$64,MATCH(B2156,'Cashier Roster'!$B$5:$B$64,0)),""))</f>
        <v/>
      </c>
      <c r="E2156" s="13"/>
      <c r="F2156" s="14"/>
      <c r="G2156" s="8" t="str">
        <f>IF(OR(B2156="",E2156=""),"",IF(E2156="No","Missed",IF(F2156="","",IF(F2156&lt;=Settings!$B$7,"On time","Late"))))</f>
        <v/>
      </c>
      <c r="H2156" s="15"/>
      <c r="I2156" s="16"/>
      <c r="J2156" s="16"/>
      <c r="K2156" s="17" t="str">
        <f>IF(J2156="","",ROUND(J2156*Settings!$B$8,2))</f>
        <v/>
      </c>
      <c r="L2156" s="16"/>
      <c r="M2156" s="8" t="str">
        <f t="shared" si="33"/>
        <v/>
      </c>
      <c r="N2156" s="9"/>
    </row>
    <row r="2157" spans="1:14" ht="15.75">
      <c r="A2157" s="11"/>
      <c r="B2157" s="9"/>
      <c r="C2157" s="12" t="str">
        <f>IF(B2157="","",IFERROR(INDEX('Cashier Roster'!$C$5:$C$64,MATCH(B2157,'Cashier Roster'!$B$5:$B$64,0)),"Not on roster"))</f>
        <v/>
      </c>
      <c r="D2157" s="12" t="str">
        <f>IF(B2157="","",IFERROR(INDEX('Cashier Roster'!$D$5:$D$64,MATCH(B2157,'Cashier Roster'!$B$5:$B$64,0)),""))</f>
        <v/>
      </c>
      <c r="E2157" s="13"/>
      <c r="F2157" s="14"/>
      <c r="G2157" s="8" t="str">
        <f>IF(OR(B2157="",E2157=""),"",IF(E2157="No","Missed",IF(F2157="","",IF(F2157&lt;=Settings!$B$7,"On time","Late"))))</f>
        <v/>
      </c>
      <c r="H2157" s="15"/>
      <c r="I2157" s="16"/>
      <c r="J2157" s="16"/>
      <c r="K2157" s="17" t="str">
        <f>IF(J2157="","",ROUND(J2157*Settings!$B$8,2))</f>
        <v/>
      </c>
      <c r="L2157" s="16"/>
      <c r="M2157" s="8" t="str">
        <f t="shared" si="33"/>
        <v/>
      </c>
      <c r="N2157" s="9"/>
    </row>
    <row r="2158" spans="1:14" ht="15.75">
      <c r="A2158" s="11"/>
      <c r="B2158" s="9"/>
      <c r="C2158" s="12" t="str">
        <f>IF(B2158="","",IFERROR(INDEX('Cashier Roster'!$C$5:$C$64,MATCH(B2158,'Cashier Roster'!$B$5:$B$64,0)),"Not on roster"))</f>
        <v/>
      </c>
      <c r="D2158" s="12" t="str">
        <f>IF(B2158="","",IFERROR(INDEX('Cashier Roster'!$D$5:$D$64,MATCH(B2158,'Cashier Roster'!$B$5:$B$64,0)),""))</f>
        <v/>
      </c>
      <c r="E2158" s="13"/>
      <c r="F2158" s="14"/>
      <c r="G2158" s="8" t="str">
        <f>IF(OR(B2158="",E2158=""),"",IF(E2158="No","Missed",IF(F2158="","",IF(F2158&lt;=Settings!$B$7,"On time","Late"))))</f>
        <v/>
      </c>
      <c r="H2158" s="15"/>
      <c r="I2158" s="16"/>
      <c r="J2158" s="16"/>
      <c r="K2158" s="17" t="str">
        <f>IF(J2158="","",ROUND(J2158*Settings!$B$8,2))</f>
        <v/>
      </c>
      <c r="L2158" s="16"/>
      <c r="M2158" s="8" t="str">
        <f t="shared" si="33"/>
        <v/>
      </c>
      <c r="N2158" s="9"/>
    </row>
    <row r="2159" spans="1:14" ht="15.75">
      <c r="A2159" s="11"/>
      <c r="B2159" s="9"/>
      <c r="C2159" s="12" t="str">
        <f>IF(B2159="","",IFERROR(INDEX('Cashier Roster'!$C$5:$C$64,MATCH(B2159,'Cashier Roster'!$B$5:$B$64,0)),"Not on roster"))</f>
        <v/>
      </c>
      <c r="D2159" s="12" t="str">
        <f>IF(B2159="","",IFERROR(INDEX('Cashier Roster'!$D$5:$D$64,MATCH(B2159,'Cashier Roster'!$B$5:$B$64,0)),""))</f>
        <v/>
      </c>
      <c r="E2159" s="13"/>
      <c r="F2159" s="14"/>
      <c r="G2159" s="8" t="str">
        <f>IF(OR(B2159="",E2159=""),"",IF(E2159="No","Missed",IF(F2159="","",IF(F2159&lt;=Settings!$B$7,"On time","Late"))))</f>
        <v/>
      </c>
      <c r="H2159" s="15"/>
      <c r="I2159" s="16"/>
      <c r="J2159" s="16"/>
      <c r="K2159" s="17" t="str">
        <f>IF(J2159="","",ROUND(J2159*Settings!$B$8,2))</f>
        <v/>
      </c>
      <c r="L2159" s="16"/>
      <c r="M2159" s="8" t="str">
        <f t="shared" si="33"/>
        <v/>
      </c>
      <c r="N2159" s="9"/>
    </row>
    <row r="2160" spans="1:14" ht="15.75">
      <c r="A2160" s="11"/>
      <c r="B2160" s="9"/>
      <c r="C2160" s="12" t="str">
        <f>IF(B2160="","",IFERROR(INDEX('Cashier Roster'!$C$5:$C$64,MATCH(B2160,'Cashier Roster'!$B$5:$B$64,0)),"Not on roster"))</f>
        <v/>
      </c>
      <c r="D2160" s="12" t="str">
        <f>IF(B2160="","",IFERROR(INDEX('Cashier Roster'!$D$5:$D$64,MATCH(B2160,'Cashier Roster'!$B$5:$B$64,0)),""))</f>
        <v/>
      </c>
      <c r="E2160" s="13"/>
      <c r="F2160" s="14"/>
      <c r="G2160" s="8" t="str">
        <f>IF(OR(B2160="",E2160=""),"",IF(E2160="No","Missed",IF(F2160="","",IF(F2160&lt;=Settings!$B$7,"On time","Late"))))</f>
        <v/>
      </c>
      <c r="H2160" s="15"/>
      <c r="I2160" s="16"/>
      <c r="J2160" s="16"/>
      <c r="K2160" s="17" t="str">
        <f>IF(J2160="","",ROUND(J2160*Settings!$B$8,2))</f>
        <v/>
      </c>
      <c r="L2160" s="16"/>
      <c r="M2160" s="8" t="str">
        <f t="shared" si="33"/>
        <v/>
      </c>
      <c r="N2160" s="9"/>
    </row>
    <row r="2161" spans="1:14" ht="15.75">
      <c r="A2161" s="11"/>
      <c r="B2161" s="9"/>
      <c r="C2161" s="12" t="str">
        <f>IF(B2161="","",IFERROR(INDEX('Cashier Roster'!$C$5:$C$64,MATCH(B2161,'Cashier Roster'!$B$5:$B$64,0)),"Not on roster"))</f>
        <v/>
      </c>
      <c r="D2161" s="12" t="str">
        <f>IF(B2161="","",IFERROR(INDEX('Cashier Roster'!$D$5:$D$64,MATCH(B2161,'Cashier Roster'!$B$5:$B$64,0)),""))</f>
        <v/>
      </c>
      <c r="E2161" s="13"/>
      <c r="F2161" s="14"/>
      <c r="G2161" s="8" t="str">
        <f>IF(OR(B2161="",E2161=""),"",IF(E2161="No","Missed",IF(F2161="","",IF(F2161&lt;=Settings!$B$7,"On time","Late"))))</f>
        <v/>
      </c>
      <c r="H2161" s="15"/>
      <c r="I2161" s="16"/>
      <c r="J2161" s="16"/>
      <c r="K2161" s="17" t="str">
        <f>IF(J2161="","",ROUND(J2161*Settings!$B$8,2))</f>
        <v/>
      </c>
      <c r="L2161" s="16"/>
      <c r="M2161" s="8" t="str">
        <f t="shared" si="33"/>
        <v/>
      </c>
      <c r="N2161" s="9"/>
    </row>
    <row r="2162" spans="1:14" ht="15.75">
      <c r="A2162" s="11"/>
      <c r="B2162" s="9"/>
      <c r="C2162" s="12" t="str">
        <f>IF(B2162="","",IFERROR(INDEX('Cashier Roster'!$C$5:$C$64,MATCH(B2162,'Cashier Roster'!$B$5:$B$64,0)),"Not on roster"))</f>
        <v/>
      </c>
      <c r="D2162" s="12" t="str">
        <f>IF(B2162="","",IFERROR(INDEX('Cashier Roster'!$D$5:$D$64,MATCH(B2162,'Cashier Roster'!$B$5:$B$64,0)),""))</f>
        <v/>
      </c>
      <c r="E2162" s="13"/>
      <c r="F2162" s="14"/>
      <c r="G2162" s="8" t="str">
        <f>IF(OR(B2162="",E2162=""),"",IF(E2162="No","Missed",IF(F2162="","",IF(F2162&lt;=Settings!$B$7,"On time","Late"))))</f>
        <v/>
      </c>
      <c r="H2162" s="15"/>
      <c r="I2162" s="16"/>
      <c r="J2162" s="16"/>
      <c r="K2162" s="17" t="str">
        <f>IF(J2162="","",ROUND(J2162*Settings!$B$8,2))</f>
        <v/>
      </c>
      <c r="L2162" s="16"/>
      <c r="M2162" s="8" t="str">
        <f t="shared" si="33"/>
        <v/>
      </c>
      <c r="N2162" s="9"/>
    </row>
    <row r="2163" spans="1:14" ht="15.75">
      <c r="A2163" s="11"/>
      <c r="B2163" s="9"/>
      <c r="C2163" s="12" t="str">
        <f>IF(B2163="","",IFERROR(INDEX('Cashier Roster'!$C$5:$C$64,MATCH(B2163,'Cashier Roster'!$B$5:$B$64,0)),"Not on roster"))</f>
        <v/>
      </c>
      <c r="D2163" s="12" t="str">
        <f>IF(B2163="","",IFERROR(INDEX('Cashier Roster'!$D$5:$D$64,MATCH(B2163,'Cashier Roster'!$B$5:$B$64,0)),""))</f>
        <v/>
      </c>
      <c r="E2163" s="13"/>
      <c r="F2163" s="14"/>
      <c r="G2163" s="8" t="str">
        <f>IF(OR(B2163="",E2163=""),"",IF(E2163="No","Missed",IF(F2163="","",IF(F2163&lt;=Settings!$B$7,"On time","Late"))))</f>
        <v/>
      </c>
      <c r="H2163" s="15"/>
      <c r="I2163" s="16"/>
      <c r="J2163" s="16"/>
      <c r="K2163" s="17" t="str">
        <f>IF(J2163="","",ROUND(J2163*Settings!$B$8,2))</f>
        <v/>
      </c>
      <c r="L2163" s="16"/>
      <c r="M2163" s="8" t="str">
        <f t="shared" si="33"/>
        <v/>
      </c>
      <c r="N2163" s="9"/>
    </row>
    <row r="2164" spans="1:14" ht="15.75">
      <c r="A2164" s="11"/>
      <c r="B2164" s="9"/>
      <c r="C2164" s="12" t="str">
        <f>IF(B2164="","",IFERROR(INDEX('Cashier Roster'!$C$5:$C$64,MATCH(B2164,'Cashier Roster'!$B$5:$B$64,0)),"Not on roster"))</f>
        <v/>
      </c>
      <c r="D2164" s="12" t="str">
        <f>IF(B2164="","",IFERROR(INDEX('Cashier Roster'!$D$5:$D$64,MATCH(B2164,'Cashier Roster'!$B$5:$B$64,0)),""))</f>
        <v/>
      </c>
      <c r="E2164" s="13"/>
      <c r="F2164" s="14"/>
      <c r="G2164" s="8" t="str">
        <f>IF(OR(B2164="",E2164=""),"",IF(E2164="No","Missed",IF(F2164="","",IF(F2164&lt;=Settings!$B$7,"On time","Late"))))</f>
        <v/>
      </c>
      <c r="H2164" s="15"/>
      <c r="I2164" s="16"/>
      <c r="J2164" s="16"/>
      <c r="K2164" s="17" t="str">
        <f>IF(J2164="","",ROUND(J2164*Settings!$B$8,2))</f>
        <v/>
      </c>
      <c r="L2164" s="16"/>
      <c r="M2164" s="8" t="str">
        <f t="shared" si="33"/>
        <v/>
      </c>
      <c r="N2164" s="9"/>
    </row>
    <row r="2165" spans="1:14" ht="15.75">
      <c r="A2165" s="11"/>
      <c r="B2165" s="9"/>
      <c r="C2165" s="12" t="str">
        <f>IF(B2165="","",IFERROR(INDEX('Cashier Roster'!$C$5:$C$64,MATCH(B2165,'Cashier Roster'!$B$5:$B$64,0)),"Not on roster"))</f>
        <v/>
      </c>
      <c r="D2165" s="12" t="str">
        <f>IF(B2165="","",IFERROR(INDEX('Cashier Roster'!$D$5:$D$64,MATCH(B2165,'Cashier Roster'!$B$5:$B$64,0)),""))</f>
        <v/>
      </c>
      <c r="E2165" s="13"/>
      <c r="F2165" s="14"/>
      <c r="G2165" s="8" t="str">
        <f>IF(OR(B2165="",E2165=""),"",IF(E2165="No","Missed",IF(F2165="","",IF(F2165&lt;=Settings!$B$7,"On time","Late"))))</f>
        <v/>
      </c>
      <c r="H2165" s="15"/>
      <c r="I2165" s="16"/>
      <c r="J2165" s="16"/>
      <c r="K2165" s="17" t="str">
        <f>IF(J2165="","",ROUND(J2165*Settings!$B$8,2))</f>
        <v/>
      </c>
      <c r="L2165" s="16"/>
      <c r="M2165" s="8" t="str">
        <f t="shared" si="33"/>
        <v/>
      </c>
      <c r="N2165" s="9"/>
    </row>
    <row r="2166" spans="1:14" ht="15.75">
      <c r="A2166" s="11"/>
      <c r="B2166" s="9"/>
      <c r="C2166" s="12" t="str">
        <f>IF(B2166="","",IFERROR(INDEX('Cashier Roster'!$C$5:$C$64,MATCH(B2166,'Cashier Roster'!$B$5:$B$64,0)),"Not on roster"))</f>
        <v/>
      </c>
      <c r="D2166" s="12" t="str">
        <f>IF(B2166="","",IFERROR(INDEX('Cashier Roster'!$D$5:$D$64,MATCH(B2166,'Cashier Roster'!$B$5:$B$64,0)),""))</f>
        <v/>
      </c>
      <c r="E2166" s="13"/>
      <c r="F2166" s="14"/>
      <c r="G2166" s="8" t="str">
        <f>IF(OR(B2166="",E2166=""),"",IF(E2166="No","Missed",IF(F2166="","",IF(F2166&lt;=Settings!$B$7,"On time","Late"))))</f>
        <v/>
      </c>
      <c r="H2166" s="15"/>
      <c r="I2166" s="16"/>
      <c r="J2166" s="16"/>
      <c r="K2166" s="17" t="str">
        <f>IF(J2166="","",ROUND(J2166*Settings!$B$8,2))</f>
        <v/>
      </c>
      <c r="L2166" s="16"/>
      <c r="M2166" s="8" t="str">
        <f t="shared" si="33"/>
        <v/>
      </c>
      <c r="N2166" s="9"/>
    </row>
    <row r="2167" spans="1:14" ht="15.75">
      <c r="A2167" s="11"/>
      <c r="B2167" s="9"/>
      <c r="C2167" s="12" t="str">
        <f>IF(B2167="","",IFERROR(INDEX('Cashier Roster'!$C$5:$C$64,MATCH(B2167,'Cashier Roster'!$B$5:$B$64,0)),"Not on roster"))</f>
        <v/>
      </c>
      <c r="D2167" s="12" t="str">
        <f>IF(B2167="","",IFERROR(INDEX('Cashier Roster'!$D$5:$D$64,MATCH(B2167,'Cashier Roster'!$B$5:$B$64,0)),""))</f>
        <v/>
      </c>
      <c r="E2167" s="13"/>
      <c r="F2167" s="14"/>
      <c r="G2167" s="8" t="str">
        <f>IF(OR(B2167="",E2167=""),"",IF(E2167="No","Missed",IF(F2167="","",IF(F2167&lt;=Settings!$B$7,"On time","Late"))))</f>
        <v/>
      </c>
      <c r="H2167" s="15"/>
      <c r="I2167" s="16"/>
      <c r="J2167" s="16"/>
      <c r="K2167" s="17" t="str">
        <f>IF(J2167="","",ROUND(J2167*Settings!$B$8,2))</f>
        <v/>
      </c>
      <c r="L2167" s="16"/>
      <c r="M2167" s="8" t="str">
        <f t="shared" si="33"/>
        <v/>
      </c>
      <c r="N2167" s="9"/>
    </row>
    <row r="2168" spans="1:14" ht="15.75">
      <c r="A2168" s="11"/>
      <c r="B2168" s="9"/>
      <c r="C2168" s="12" t="str">
        <f>IF(B2168="","",IFERROR(INDEX('Cashier Roster'!$C$5:$C$64,MATCH(B2168,'Cashier Roster'!$B$5:$B$64,0)),"Not on roster"))</f>
        <v/>
      </c>
      <c r="D2168" s="12" t="str">
        <f>IF(B2168="","",IFERROR(INDEX('Cashier Roster'!$D$5:$D$64,MATCH(B2168,'Cashier Roster'!$B$5:$B$64,0)),""))</f>
        <v/>
      </c>
      <c r="E2168" s="13"/>
      <c r="F2168" s="14"/>
      <c r="G2168" s="8" t="str">
        <f>IF(OR(B2168="",E2168=""),"",IF(E2168="No","Missed",IF(F2168="","",IF(F2168&lt;=Settings!$B$7,"On time","Late"))))</f>
        <v/>
      </c>
      <c r="H2168" s="15"/>
      <c r="I2168" s="16"/>
      <c r="J2168" s="16"/>
      <c r="K2168" s="17" t="str">
        <f>IF(J2168="","",ROUND(J2168*Settings!$B$8,2))</f>
        <v/>
      </c>
      <c r="L2168" s="16"/>
      <c r="M2168" s="8" t="str">
        <f t="shared" si="33"/>
        <v/>
      </c>
      <c r="N2168" s="9"/>
    </row>
    <row r="2169" spans="1:14" ht="15.75">
      <c r="A2169" s="11"/>
      <c r="B2169" s="9"/>
      <c r="C2169" s="12" t="str">
        <f>IF(B2169="","",IFERROR(INDEX('Cashier Roster'!$C$5:$C$64,MATCH(B2169,'Cashier Roster'!$B$5:$B$64,0)),"Not on roster"))</f>
        <v/>
      </c>
      <c r="D2169" s="12" t="str">
        <f>IF(B2169="","",IFERROR(INDEX('Cashier Roster'!$D$5:$D$64,MATCH(B2169,'Cashier Roster'!$B$5:$B$64,0)),""))</f>
        <v/>
      </c>
      <c r="E2169" s="13"/>
      <c r="F2169" s="14"/>
      <c r="G2169" s="8" t="str">
        <f>IF(OR(B2169="",E2169=""),"",IF(E2169="No","Missed",IF(F2169="","",IF(F2169&lt;=Settings!$B$7,"On time","Late"))))</f>
        <v/>
      </c>
      <c r="H2169" s="15"/>
      <c r="I2169" s="16"/>
      <c r="J2169" s="16"/>
      <c r="K2169" s="17" t="str">
        <f>IF(J2169="","",ROUND(J2169*Settings!$B$8,2))</f>
        <v/>
      </c>
      <c r="L2169" s="16"/>
      <c r="M2169" s="8" t="str">
        <f t="shared" si="33"/>
        <v/>
      </c>
      <c r="N2169" s="9"/>
    </row>
    <row r="2170" spans="1:14" ht="15.75">
      <c r="A2170" s="11"/>
      <c r="B2170" s="9"/>
      <c r="C2170" s="12" t="str">
        <f>IF(B2170="","",IFERROR(INDEX('Cashier Roster'!$C$5:$C$64,MATCH(B2170,'Cashier Roster'!$B$5:$B$64,0)),"Not on roster"))</f>
        <v/>
      </c>
      <c r="D2170" s="12" t="str">
        <f>IF(B2170="","",IFERROR(INDEX('Cashier Roster'!$D$5:$D$64,MATCH(B2170,'Cashier Roster'!$B$5:$B$64,0)),""))</f>
        <v/>
      </c>
      <c r="E2170" s="13"/>
      <c r="F2170" s="14"/>
      <c r="G2170" s="8" t="str">
        <f>IF(OR(B2170="",E2170=""),"",IF(E2170="No","Missed",IF(F2170="","",IF(F2170&lt;=Settings!$B$7,"On time","Late"))))</f>
        <v/>
      </c>
      <c r="H2170" s="15"/>
      <c r="I2170" s="16"/>
      <c r="J2170" s="16"/>
      <c r="K2170" s="17" t="str">
        <f>IF(J2170="","",ROUND(J2170*Settings!$B$8,2))</f>
        <v/>
      </c>
      <c r="L2170" s="16"/>
      <c r="M2170" s="8" t="str">
        <f t="shared" si="33"/>
        <v/>
      </c>
      <c r="N2170" s="9"/>
    </row>
    <row r="2171" spans="1:14" ht="15.75">
      <c r="A2171" s="11"/>
      <c r="B2171" s="9"/>
      <c r="C2171" s="12" t="str">
        <f>IF(B2171="","",IFERROR(INDEX('Cashier Roster'!$C$5:$C$64,MATCH(B2171,'Cashier Roster'!$B$5:$B$64,0)),"Not on roster"))</f>
        <v/>
      </c>
      <c r="D2171" s="12" t="str">
        <f>IF(B2171="","",IFERROR(INDEX('Cashier Roster'!$D$5:$D$64,MATCH(B2171,'Cashier Roster'!$B$5:$B$64,0)),""))</f>
        <v/>
      </c>
      <c r="E2171" s="13"/>
      <c r="F2171" s="14"/>
      <c r="G2171" s="8" t="str">
        <f>IF(OR(B2171="",E2171=""),"",IF(E2171="No","Missed",IF(F2171="","",IF(F2171&lt;=Settings!$B$7,"On time","Late"))))</f>
        <v/>
      </c>
      <c r="H2171" s="15"/>
      <c r="I2171" s="16"/>
      <c r="J2171" s="16"/>
      <c r="K2171" s="17" t="str">
        <f>IF(J2171="","",ROUND(J2171*Settings!$B$8,2))</f>
        <v/>
      </c>
      <c r="L2171" s="16"/>
      <c r="M2171" s="8" t="str">
        <f t="shared" si="33"/>
        <v/>
      </c>
      <c r="N2171" s="9"/>
    </row>
    <row r="2172" spans="1:14" ht="15.75">
      <c r="A2172" s="11"/>
      <c r="B2172" s="9"/>
      <c r="C2172" s="12" t="str">
        <f>IF(B2172="","",IFERROR(INDEX('Cashier Roster'!$C$5:$C$64,MATCH(B2172,'Cashier Roster'!$B$5:$B$64,0)),"Not on roster"))</f>
        <v/>
      </c>
      <c r="D2172" s="12" t="str">
        <f>IF(B2172="","",IFERROR(INDEX('Cashier Roster'!$D$5:$D$64,MATCH(B2172,'Cashier Roster'!$B$5:$B$64,0)),""))</f>
        <v/>
      </c>
      <c r="E2172" s="13"/>
      <c r="F2172" s="14"/>
      <c r="G2172" s="8" t="str">
        <f>IF(OR(B2172="",E2172=""),"",IF(E2172="No","Missed",IF(F2172="","",IF(F2172&lt;=Settings!$B$7,"On time","Late"))))</f>
        <v/>
      </c>
      <c r="H2172" s="15"/>
      <c r="I2172" s="16"/>
      <c r="J2172" s="16"/>
      <c r="K2172" s="17" t="str">
        <f>IF(J2172="","",ROUND(J2172*Settings!$B$8,2))</f>
        <v/>
      </c>
      <c r="L2172" s="16"/>
      <c r="M2172" s="8" t="str">
        <f t="shared" si="33"/>
        <v/>
      </c>
      <c r="N2172" s="9"/>
    </row>
    <row r="2173" spans="1:14" ht="15.75">
      <c r="A2173" s="11"/>
      <c r="B2173" s="9"/>
      <c r="C2173" s="12" t="str">
        <f>IF(B2173="","",IFERROR(INDEX('Cashier Roster'!$C$5:$C$64,MATCH(B2173,'Cashier Roster'!$B$5:$B$64,0)),"Not on roster"))</f>
        <v/>
      </c>
      <c r="D2173" s="12" t="str">
        <f>IF(B2173="","",IFERROR(INDEX('Cashier Roster'!$D$5:$D$64,MATCH(B2173,'Cashier Roster'!$B$5:$B$64,0)),""))</f>
        <v/>
      </c>
      <c r="E2173" s="13"/>
      <c r="F2173" s="14"/>
      <c r="G2173" s="8" t="str">
        <f>IF(OR(B2173="",E2173=""),"",IF(E2173="No","Missed",IF(F2173="","",IF(F2173&lt;=Settings!$B$7,"On time","Late"))))</f>
        <v/>
      </c>
      <c r="H2173" s="15"/>
      <c r="I2173" s="16"/>
      <c r="J2173" s="16"/>
      <c r="K2173" s="17" t="str">
        <f>IF(J2173="","",ROUND(J2173*Settings!$B$8,2))</f>
        <v/>
      </c>
      <c r="L2173" s="16"/>
      <c r="M2173" s="8" t="str">
        <f t="shared" si="33"/>
        <v/>
      </c>
      <c r="N2173" s="9"/>
    </row>
    <row r="2174" spans="1:14" ht="15.75">
      <c r="A2174" s="11"/>
      <c r="B2174" s="9"/>
      <c r="C2174" s="12" t="str">
        <f>IF(B2174="","",IFERROR(INDEX('Cashier Roster'!$C$5:$C$64,MATCH(B2174,'Cashier Roster'!$B$5:$B$64,0)),"Not on roster"))</f>
        <v/>
      </c>
      <c r="D2174" s="12" t="str">
        <f>IF(B2174="","",IFERROR(INDEX('Cashier Roster'!$D$5:$D$64,MATCH(B2174,'Cashier Roster'!$B$5:$B$64,0)),""))</f>
        <v/>
      </c>
      <c r="E2174" s="13"/>
      <c r="F2174" s="14"/>
      <c r="G2174" s="8" t="str">
        <f>IF(OR(B2174="",E2174=""),"",IF(E2174="No","Missed",IF(F2174="","",IF(F2174&lt;=Settings!$B$7,"On time","Late"))))</f>
        <v/>
      </c>
      <c r="H2174" s="15"/>
      <c r="I2174" s="16"/>
      <c r="J2174" s="16"/>
      <c r="K2174" s="17" t="str">
        <f>IF(J2174="","",ROUND(J2174*Settings!$B$8,2))</f>
        <v/>
      </c>
      <c r="L2174" s="16"/>
      <c r="M2174" s="8" t="str">
        <f t="shared" si="33"/>
        <v/>
      </c>
      <c r="N2174" s="9"/>
    </row>
    <row r="2175" spans="1:14" ht="15.75">
      <c r="A2175" s="11"/>
      <c r="B2175" s="9"/>
      <c r="C2175" s="12" t="str">
        <f>IF(B2175="","",IFERROR(INDEX('Cashier Roster'!$C$5:$C$64,MATCH(B2175,'Cashier Roster'!$B$5:$B$64,0)),"Not on roster"))</f>
        <v/>
      </c>
      <c r="D2175" s="12" t="str">
        <f>IF(B2175="","",IFERROR(INDEX('Cashier Roster'!$D$5:$D$64,MATCH(B2175,'Cashier Roster'!$B$5:$B$64,0)),""))</f>
        <v/>
      </c>
      <c r="E2175" s="13"/>
      <c r="F2175" s="14"/>
      <c r="G2175" s="8" t="str">
        <f>IF(OR(B2175="",E2175=""),"",IF(E2175="No","Missed",IF(F2175="","",IF(F2175&lt;=Settings!$B$7,"On time","Late"))))</f>
        <v/>
      </c>
      <c r="H2175" s="15"/>
      <c r="I2175" s="16"/>
      <c r="J2175" s="16"/>
      <c r="K2175" s="17" t="str">
        <f>IF(J2175="","",ROUND(J2175*Settings!$B$8,2))</f>
        <v/>
      </c>
      <c r="L2175" s="16"/>
      <c r="M2175" s="8" t="str">
        <f t="shared" si="33"/>
        <v/>
      </c>
      <c r="N2175" s="9"/>
    </row>
    <row r="2176" spans="1:14" ht="15.75">
      <c r="A2176" s="11"/>
      <c r="B2176" s="9"/>
      <c r="C2176" s="12" t="str">
        <f>IF(B2176="","",IFERROR(INDEX('Cashier Roster'!$C$5:$C$64,MATCH(B2176,'Cashier Roster'!$B$5:$B$64,0)),"Not on roster"))</f>
        <v/>
      </c>
      <c r="D2176" s="12" t="str">
        <f>IF(B2176="","",IFERROR(INDEX('Cashier Roster'!$D$5:$D$64,MATCH(B2176,'Cashier Roster'!$B$5:$B$64,0)),""))</f>
        <v/>
      </c>
      <c r="E2176" s="13"/>
      <c r="F2176" s="14"/>
      <c r="G2176" s="8" t="str">
        <f>IF(OR(B2176="",E2176=""),"",IF(E2176="No","Missed",IF(F2176="","",IF(F2176&lt;=Settings!$B$7,"On time","Late"))))</f>
        <v/>
      </c>
      <c r="H2176" s="15"/>
      <c r="I2176" s="16"/>
      <c r="J2176" s="16"/>
      <c r="K2176" s="17" t="str">
        <f>IF(J2176="","",ROUND(J2176*Settings!$B$8,2))</f>
        <v/>
      </c>
      <c r="L2176" s="16"/>
      <c r="M2176" s="8" t="str">
        <f t="shared" si="33"/>
        <v/>
      </c>
      <c r="N2176" s="9"/>
    </row>
    <row r="2177" spans="1:14" ht="15.75">
      <c r="A2177" s="11"/>
      <c r="B2177" s="9"/>
      <c r="C2177" s="12" t="str">
        <f>IF(B2177="","",IFERROR(INDEX('Cashier Roster'!$C$5:$C$64,MATCH(B2177,'Cashier Roster'!$B$5:$B$64,0)),"Not on roster"))</f>
        <v/>
      </c>
      <c r="D2177" s="12" t="str">
        <f>IF(B2177="","",IFERROR(INDEX('Cashier Roster'!$D$5:$D$64,MATCH(B2177,'Cashier Roster'!$B$5:$B$64,0)),""))</f>
        <v/>
      </c>
      <c r="E2177" s="13"/>
      <c r="F2177" s="14"/>
      <c r="G2177" s="8" t="str">
        <f>IF(OR(B2177="",E2177=""),"",IF(E2177="No","Missed",IF(F2177="","",IF(F2177&lt;=Settings!$B$7,"On time","Late"))))</f>
        <v/>
      </c>
      <c r="H2177" s="15"/>
      <c r="I2177" s="16"/>
      <c r="J2177" s="16"/>
      <c r="K2177" s="17" t="str">
        <f>IF(J2177="","",ROUND(J2177*Settings!$B$8,2))</f>
        <v/>
      </c>
      <c r="L2177" s="16"/>
      <c r="M2177" s="8" t="str">
        <f t="shared" si="33"/>
        <v/>
      </c>
      <c r="N2177" s="9"/>
    </row>
    <row r="2178" spans="1:14" ht="15.75">
      <c r="A2178" s="11"/>
      <c r="B2178" s="9"/>
      <c r="C2178" s="12" t="str">
        <f>IF(B2178="","",IFERROR(INDEX('Cashier Roster'!$C$5:$C$64,MATCH(B2178,'Cashier Roster'!$B$5:$B$64,0)),"Not on roster"))</f>
        <v/>
      </c>
      <c r="D2178" s="12" t="str">
        <f>IF(B2178="","",IFERROR(INDEX('Cashier Roster'!$D$5:$D$64,MATCH(B2178,'Cashier Roster'!$B$5:$B$64,0)),""))</f>
        <v/>
      </c>
      <c r="E2178" s="13"/>
      <c r="F2178" s="14"/>
      <c r="G2178" s="8" t="str">
        <f>IF(OR(B2178="",E2178=""),"",IF(E2178="No","Missed",IF(F2178="","",IF(F2178&lt;=Settings!$B$7,"On time","Late"))))</f>
        <v/>
      </c>
      <c r="H2178" s="15"/>
      <c r="I2178" s="16"/>
      <c r="J2178" s="16"/>
      <c r="K2178" s="17" t="str">
        <f>IF(J2178="","",ROUND(J2178*Settings!$B$8,2))</f>
        <v/>
      </c>
      <c r="L2178" s="16"/>
      <c r="M2178" s="8" t="str">
        <f t="shared" si="33"/>
        <v/>
      </c>
      <c r="N2178" s="9"/>
    </row>
    <row r="2179" spans="1:14" ht="15.75">
      <c r="A2179" s="11"/>
      <c r="B2179" s="9"/>
      <c r="C2179" s="12" t="str">
        <f>IF(B2179="","",IFERROR(INDEX('Cashier Roster'!$C$5:$C$64,MATCH(B2179,'Cashier Roster'!$B$5:$B$64,0)),"Not on roster"))</f>
        <v/>
      </c>
      <c r="D2179" s="12" t="str">
        <f>IF(B2179="","",IFERROR(INDEX('Cashier Roster'!$D$5:$D$64,MATCH(B2179,'Cashier Roster'!$B$5:$B$64,0)),""))</f>
        <v/>
      </c>
      <c r="E2179" s="13"/>
      <c r="F2179" s="14"/>
      <c r="G2179" s="8" t="str">
        <f>IF(OR(B2179="",E2179=""),"",IF(E2179="No","Missed",IF(F2179="","",IF(F2179&lt;=Settings!$B$7,"On time","Late"))))</f>
        <v/>
      </c>
      <c r="H2179" s="15"/>
      <c r="I2179" s="16"/>
      <c r="J2179" s="16"/>
      <c r="K2179" s="17" t="str">
        <f>IF(J2179="","",ROUND(J2179*Settings!$B$8,2))</f>
        <v/>
      </c>
      <c r="L2179" s="16"/>
      <c r="M2179" s="8" t="str">
        <f t="shared" si="33"/>
        <v/>
      </c>
      <c r="N2179" s="9"/>
    </row>
    <row r="2180" spans="1:14" ht="15.75">
      <c r="A2180" s="11"/>
      <c r="B2180" s="9"/>
      <c r="C2180" s="12" t="str">
        <f>IF(B2180="","",IFERROR(INDEX('Cashier Roster'!$C$5:$C$64,MATCH(B2180,'Cashier Roster'!$B$5:$B$64,0)),"Not on roster"))</f>
        <v/>
      </c>
      <c r="D2180" s="12" t="str">
        <f>IF(B2180="","",IFERROR(INDEX('Cashier Roster'!$D$5:$D$64,MATCH(B2180,'Cashier Roster'!$B$5:$B$64,0)),""))</f>
        <v/>
      </c>
      <c r="E2180" s="13"/>
      <c r="F2180" s="14"/>
      <c r="G2180" s="8" t="str">
        <f>IF(OR(B2180="",E2180=""),"",IF(E2180="No","Missed",IF(F2180="","",IF(F2180&lt;=Settings!$B$7,"On time","Late"))))</f>
        <v/>
      </c>
      <c r="H2180" s="15"/>
      <c r="I2180" s="16"/>
      <c r="J2180" s="16"/>
      <c r="K2180" s="17" t="str">
        <f>IF(J2180="","",ROUND(J2180*Settings!$B$8,2))</f>
        <v/>
      </c>
      <c r="L2180" s="16"/>
      <c r="M2180" s="8" t="str">
        <f t="shared" si="33"/>
        <v/>
      </c>
      <c r="N2180" s="9"/>
    </row>
    <row r="2181" spans="1:14" ht="15.75">
      <c r="A2181" s="11"/>
      <c r="B2181" s="9"/>
      <c r="C2181" s="12" t="str">
        <f>IF(B2181="","",IFERROR(INDEX('Cashier Roster'!$C$5:$C$64,MATCH(B2181,'Cashier Roster'!$B$5:$B$64,0)),"Not on roster"))</f>
        <v/>
      </c>
      <c r="D2181" s="12" t="str">
        <f>IF(B2181="","",IFERROR(INDEX('Cashier Roster'!$D$5:$D$64,MATCH(B2181,'Cashier Roster'!$B$5:$B$64,0)),""))</f>
        <v/>
      </c>
      <c r="E2181" s="13"/>
      <c r="F2181" s="14"/>
      <c r="G2181" s="8" t="str">
        <f>IF(OR(B2181="",E2181=""),"",IF(E2181="No","Missed",IF(F2181="","",IF(F2181&lt;=Settings!$B$7,"On time","Late"))))</f>
        <v/>
      </c>
      <c r="H2181" s="15"/>
      <c r="I2181" s="16"/>
      <c r="J2181" s="16"/>
      <c r="K2181" s="17" t="str">
        <f>IF(J2181="","",ROUND(J2181*Settings!$B$8,2))</f>
        <v/>
      </c>
      <c r="L2181" s="16"/>
      <c r="M2181" s="8" t="str">
        <f t="shared" ref="M2181:M2244" si="34">IF(L2181="","",IF(L2181&lt;=0,"Yes","No"))</f>
        <v/>
      </c>
      <c r="N2181" s="9"/>
    </row>
    <row r="2182" spans="1:14" ht="15.75">
      <c r="A2182" s="11"/>
      <c r="B2182" s="9"/>
      <c r="C2182" s="12" t="str">
        <f>IF(B2182="","",IFERROR(INDEX('Cashier Roster'!$C$5:$C$64,MATCH(B2182,'Cashier Roster'!$B$5:$B$64,0)),"Not on roster"))</f>
        <v/>
      </c>
      <c r="D2182" s="12" t="str">
        <f>IF(B2182="","",IFERROR(INDEX('Cashier Roster'!$D$5:$D$64,MATCH(B2182,'Cashier Roster'!$B$5:$B$64,0)),""))</f>
        <v/>
      </c>
      <c r="E2182" s="13"/>
      <c r="F2182" s="14"/>
      <c r="G2182" s="8" t="str">
        <f>IF(OR(B2182="",E2182=""),"",IF(E2182="No","Missed",IF(F2182="","",IF(F2182&lt;=Settings!$B$7,"On time","Late"))))</f>
        <v/>
      </c>
      <c r="H2182" s="15"/>
      <c r="I2182" s="16"/>
      <c r="J2182" s="16"/>
      <c r="K2182" s="17" t="str">
        <f>IF(J2182="","",ROUND(J2182*Settings!$B$8,2))</f>
        <v/>
      </c>
      <c r="L2182" s="16"/>
      <c r="M2182" s="8" t="str">
        <f t="shared" si="34"/>
        <v/>
      </c>
      <c r="N2182" s="9"/>
    </row>
    <row r="2183" spans="1:14" ht="15.75">
      <c r="A2183" s="11"/>
      <c r="B2183" s="9"/>
      <c r="C2183" s="12" t="str">
        <f>IF(B2183="","",IFERROR(INDEX('Cashier Roster'!$C$5:$C$64,MATCH(B2183,'Cashier Roster'!$B$5:$B$64,0)),"Not on roster"))</f>
        <v/>
      </c>
      <c r="D2183" s="12" t="str">
        <f>IF(B2183="","",IFERROR(INDEX('Cashier Roster'!$D$5:$D$64,MATCH(B2183,'Cashier Roster'!$B$5:$B$64,0)),""))</f>
        <v/>
      </c>
      <c r="E2183" s="13"/>
      <c r="F2183" s="14"/>
      <c r="G2183" s="8" t="str">
        <f>IF(OR(B2183="",E2183=""),"",IF(E2183="No","Missed",IF(F2183="","",IF(F2183&lt;=Settings!$B$7,"On time","Late"))))</f>
        <v/>
      </c>
      <c r="H2183" s="15"/>
      <c r="I2183" s="16"/>
      <c r="J2183" s="16"/>
      <c r="K2183" s="17" t="str">
        <f>IF(J2183="","",ROUND(J2183*Settings!$B$8,2))</f>
        <v/>
      </c>
      <c r="L2183" s="16"/>
      <c r="M2183" s="8" t="str">
        <f t="shared" si="34"/>
        <v/>
      </c>
      <c r="N2183" s="9"/>
    </row>
    <row r="2184" spans="1:14" ht="15.75">
      <c r="A2184" s="11"/>
      <c r="B2184" s="9"/>
      <c r="C2184" s="12" t="str">
        <f>IF(B2184="","",IFERROR(INDEX('Cashier Roster'!$C$5:$C$64,MATCH(B2184,'Cashier Roster'!$B$5:$B$64,0)),"Not on roster"))</f>
        <v/>
      </c>
      <c r="D2184" s="12" t="str">
        <f>IF(B2184="","",IFERROR(INDEX('Cashier Roster'!$D$5:$D$64,MATCH(B2184,'Cashier Roster'!$B$5:$B$64,0)),""))</f>
        <v/>
      </c>
      <c r="E2184" s="13"/>
      <c r="F2184" s="14"/>
      <c r="G2184" s="8" t="str">
        <f>IF(OR(B2184="",E2184=""),"",IF(E2184="No","Missed",IF(F2184="","",IF(F2184&lt;=Settings!$B$7,"On time","Late"))))</f>
        <v/>
      </c>
      <c r="H2184" s="15"/>
      <c r="I2184" s="16"/>
      <c r="J2184" s="16"/>
      <c r="K2184" s="17" t="str">
        <f>IF(J2184="","",ROUND(J2184*Settings!$B$8,2))</f>
        <v/>
      </c>
      <c r="L2184" s="16"/>
      <c r="M2184" s="8" t="str">
        <f t="shared" si="34"/>
        <v/>
      </c>
      <c r="N2184" s="9"/>
    </row>
    <row r="2185" spans="1:14" ht="15.75">
      <c r="A2185" s="11"/>
      <c r="B2185" s="9"/>
      <c r="C2185" s="12" t="str">
        <f>IF(B2185="","",IFERROR(INDEX('Cashier Roster'!$C$5:$C$64,MATCH(B2185,'Cashier Roster'!$B$5:$B$64,0)),"Not on roster"))</f>
        <v/>
      </c>
      <c r="D2185" s="12" t="str">
        <f>IF(B2185="","",IFERROR(INDEX('Cashier Roster'!$D$5:$D$64,MATCH(B2185,'Cashier Roster'!$B$5:$B$64,0)),""))</f>
        <v/>
      </c>
      <c r="E2185" s="13"/>
      <c r="F2185" s="14"/>
      <c r="G2185" s="8" t="str">
        <f>IF(OR(B2185="",E2185=""),"",IF(E2185="No","Missed",IF(F2185="","",IF(F2185&lt;=Settings!$B$7,"On time","Late"))))</f>
        <v/>
      </c>
      <c r="H2185" s="15"/>
      <c r="I2185" s="16"/>
      <c r="J2185" s="16"/>
      <c r="K2185" s="17" t="str">
        <f>IF(J2185="","",ROUND(J2185*Settings!$B$8,2))</f>
        <v/>
      </c>
      <c r="L2185" s="16"/>
      <c r="M2185" s="8" t="str">
        <f t="shared" si="34"/>
        <v/>
      </c>
      <c r="N2185" s="9"/>
    </row>
    <row r="2186" spans="1:14" ht="15.75">
      <c r="A2186" s="11"/>
      <c r="B2186" s="9"/>
      <c r="C2186" s="12" t="str">
        <f>IF(B2186="","",IFERROR(INDEX('Cashier Roster'!$C$5:$C$64,MATCH(B2186,'Cashier Roster'!$B$5:$B$64,0)),"Not on roster"))</f>
        <v/>
      </c>
      <c r="D2186" s="12" t="str">
        <f>IF(B2186="","",IFERROR(INDEX('Cashier Roster'!$D$5:$D$64,MATCH(B2186,'Cashier Roster'!$B$5:$B$64,0)),""))</f>
        <v/>
      </c>
      <c r="E2186" s="13"/>
      <c r="F2186" s="14"/>
      <c r="G2186" s="8" t="str">
        <f>IF(OR(B2186="",E2186=""),"",IF(E2186="No","Missed",IF(F2186="","",IF(F2186&lt;=Settings!$B$7,"On time","Late"))))</f>
        <v/>
      </c>
      <c r="H2186" s="15"/>
      <c r="I2186" s="16"/>
      <c r="J2186" s="16"/>
      <c r="K2186" s="17" t="str">
        <f>IF(J2186="","",ROUND(J2186*Settings!$B$8,2))</f>
        <v/>
      </c>
      <c r="L2186" s="16"/>
      <c r="M2186" s="8" t="str">
        <f t="shared" si="34"/>
        <v/>
      </c>
      <c r="N2186" s="9"/>
    </row>
    <row r="2187" spans="1:14" ht="15.75">
      <c r="A2187" s="11"/>
      <c r="B2187" s="9"/>
      <c r="C2187" s="12" t="str">
        <f>IF(B2187="","",IFERROR(INDEX('Cashier Roster'!$C$5:$C$64,MATCH(B2187,'Cashier Roster'!$B$5:$B$64,0)),"Not on roster"))</f>
        <v/>
      </c>
      <c r="D2187" s="12" t="str">
        <f>IF(B2187="","",IFERROR(INDEX('Cashier Roster'!$D$5:$D$64,MATCH(B2187,'Cashier Roster'!$B$5:$B$64,0)),""))</f>
        <v/>
      </c>
      <c r="E2187" s="13"/>
      <c r="F2187" s="14"/>
      <c r="G2187" s="8" t="str">
        <f>IF(OR(B2187="",E2187=""),"",IF(E2187="No","Missed",IF(F2187="","",IF(F2187&lt;=Settings!$B$7,"On time","Late"))))</f>
        <v/>
      </c>
      <c r="H2187" s="15"/>
      <c r="I2187" s="16"/>
      <c r="J2187" s="16"/>
      <c r="K2187" s="17" t="str">
        <f>IF(J2187="","",ROUND(J2187*Settings!$B$8,2))</f>
        <v/>
      </c>
      <c r="L2187" s="16"/>
      <c r="M2187" s="8" t="str">
        <f t="shared" si="34"/>
        <v/>
      </c>
      <c r="N2187" s="9"/>
    </row>
    <row r="2188" spans="1:14" ht="15.75">
      <c r="A2188" s="11"/>
      <c r="B2188" s="9"/>
      <c r="C2188" s="12" t="str">
        <f>IF(B2188="","",IFERROR(INDEX('Cashier Roster'!$C$5:$C$64,MATCH(B2188,'Cashier Roster'!$B$5:$B$64,0)),"Not on roster"))</f>
        <v/>
      </c>
      <c r="D2188" s="12" t="str">
        <f>IF(B2188="","",IFERROR(INDEX('Cashier Roster'!$D$5:$D$64,MATCH(B2188,'Cashier Roster'!$B$5:$B$64,0)),""))</f>
        <v/>
      </c>
      <c r="E2188" s="13"/>
      <c r="F2188" s="14"/>
      <c r="G2188" s="8" t="str">
        <f>IF(OR(B2188="",E2188=""),"",IF(E2188="No","Missed",IF(F2188="","",IF(F2188&lt;=Settings!$B$7,"On time","Late"))))</f>
        <v/>
      </c>
      <c r="H2188" s="15"/>
      <c r="I2188" s="16"/>
      <c r="J2188" s="16"/>
      <c r="K2188" s="17" t="str">
        <f>IF(J2188="","",ROUND(J2188*Settings!$B$8,2))</f>
        <v/>
      </c>
      <c r="L2188" s="16"/>
      <c r="M2188" s="8" t="str">
        <f t="shared" si="34"/>
        <v/>
      </c>
      <c r="N2188" s="9"/>
    </row>
    <row r="2189" spans="1:14" ht="15.75">
      <c r="A2189" s="11"/>
      <c r="B2189" s="9"/>
      <c r="C2189" s="12" t="str">
        <f>IF(B2189="","",IFERROR(INDEX('Cashier Roster'!$C$5:$C$64,MATCH(B2189,'Cashier Roster'!$B$5:$B$64,0)),"Not on roster"))</f>
        <v/>
      </c>
      <c r="D2189" s="12" t="str">
        <f>IF(B2189="","",IFERROR(INDEX('Cashier Roster'!$D$5:$D$64,MATCH(B2189,'Cashier Roster'!$B$5:$B$64,0)),""))</f>
        <v/>
      </c>
      <c r="E2189" s="13"/>
      <c r="F2189" s="14"/>
      <c r="G2189" s="8" t="str">
        <f>IF(OR(B2189="",E2189=""),"",IF(E2189="No","Missed",IF(F2189="","",IF(F2189&lt;=Settings!$B$7,"On time","Late"))))</f>
        <v/>
      </c>
      <c r="H2189" s="15"/>
      <c r="I2189" s="16"/>
      <c r="J2189" s="16"/>
      <c r="K2189" s="17" t="str">
        <f>IF(J2189="","",ROUND(J2189*Settings!$B$8,2))</f>
        <v/>
      </c>
      <c r="L2189" s="16"/>
      <c r="M2189" s="8" t="str">
        <f t="shared" si="34"/>
        <v/>
      </c>
      <c r="N2189" s="9"/>
    </row>
    <row r="2190" spans="1:14" ht="15.75">
      <c r="A2190" s="11"/>
      <c r="B2190" s="9"/>
      <c r="C2190" s="12" t="str">
        <f>IF(B2190="","",IFERROR(INDEX('Cashier Roster'!$C$5:$C$64,MATCH(B2190,'Cashier Roster'!$B$5:$B$64,0)),"Not on roster"))</f>
        <v/>
      </c>
      <c r="D2190" s="12" t="str">
        <f>IF(B2190="","",IFERROR(INDEX('Cashier Roster'!$D$5:$D$64,MATCH(B2190,'Cashier Roster'!$B$5:$B$64,0)),""))</f>
        <v/>
      </c>
      <c r="E2190" s="13"/>
      <c r="F2190" s="14"/>
      <c r="G2190" s="8" t="str">
        <f>IF(OR(B2190="",E2190=""),"",IF(E2190="No","Missed",IF(F2190="","",IF(F2190&lt;=Settings!$B$7,"On time","Late"))))</f>
        <v/>
      </c>
      <c r="H2190" s="15"/>
      <c r="I2190" s="16"/>
      <c r="J2190" s="16"/>
      <c r="K2190" s="17" t="str">
        <f>IF(J2190="","",ROUND(J2190*Settings!$B$8,2))</f>
        <v/>
      </c>
      <c r="L2190" s="16"/>
      <c r="M2190" s="8" t="str">
        <f t="shared" si="34"/>
        <v/>
      </c>
      <c r="N2190" s="9"/>
    </row>
    <row r="2191" spans="1:14" ht="15.75">
      <c r="A2191" s="11"/>
      <c r="B2191" s="9"/>
      <c r="C2191" s="12" t="str">
        <f>IF(B2191="","",IFERROR(INDEX('Cashier Roster'!$C$5:$C$64,MATCH(B2191,'Cashier Roster'!$B$5:$B$64,0)),"Not on roster"))</f>
        <v/>
      </c>
      <c r="D2191" s="12" t="str">
        <f>IF(B2191="","",IFERROR(INDEX('Cashier Roster'!$D$5:$D$64,MATCH(B2191,'Cashier Roster'!$B$5:$B$64,0)),""))</f>
        <v/>
      </c>
      <c r="E2191" s="13"/>
      <c r="F2191" s="14"/>
      <c r="G2191" s="8" t="str">
        <f>IF(OR(B2191="",E2191=""),"",IF(E2191="No","Missed",IF(F2191="","",IF(F2191&lt;=Settings!$B$7,"On time","Late"))))</f>
        <v/>
      </c>
      <c r="H2191" s="15"/>
      <c r="I2191" s="16"/>
      <c r="J2191" s="16"/>
      <c r="K2191" s="17" t="str">
        <f>IF(J2191="","",ROUND(J2191*Settings!$B$8,2))</f>
        <v/>
      </c>
      <c r="L2191" s="16"/>
      <c r="M2191" s="8" t="str">
        <f t="shared" si="34"/>
        <v/>
      </c>
      <c r="N2191" s="9"/>
    </row>
    <row r="2192" spans="1:14" ht="15.75">
      <c r="A2192" s="11"/>
      <c r="B2192" s="9"/>
      <c r="C2192" s="12" t="str">
        <f>IF(B2192="","",IFERROR(INDEX('Cashier Roster'!$C$5:$C$64,MATCH(B2192,'Cashier Roster'!$B$5:$B$64,0)),"Not on roster"))</f>
        <v/>
      </c>
      <c r="D2192" s="12" t="str">
        <f>IF(B2192="","",IFERROR(INDEX('Cashier Roster'!$D$5:$D$64,MATCH(B2192,'Cashier Roster'!$B$5:$B$64,0)),""))</f>
        <v/>
      </c>
      <c r="E2192" s="13"/>
      <c r="F2192" s="14"/>
      <c r="G2192" s="8" t="str">
        <f>IF(OR(B2192="",E2192=""),"",IF(E2192="No","Missed",IF(F2192="","",IF(F2192&lt;=Settings!$B$7,"On time","Late"))))</f>
        <v/>
      </c>
      <c r="H2192" s="15"/>
      <c r="I2192" s="16"/>
      <c r="J2192" s="16"/>
      <c r="K2192" s="17" t="str">
        <f>IF(J2192="","",ROUND(J2192*Settings!$B$8,2))</f>
        <v/>
      </c>
      <c r="L2192" s="16"/>
      <c r="M2192" s="8" t="str">
        <f t="shared" si="34"/>
        <v/>
      </c>
      <c r="N2192" s="9"/>
    </row>
    <row r="2193" spans="1:14" ht="15.75">
      <c r="A2193" s="11"/>
      <c r="B2193" s="9"/>
      <c r="C2193" s="12" t="str">
        <f>IF(B2193="","",IFERROR(INDEX('Cashier Roster'!$C$5:$C$64,MATCH(B2193,'Cashier Roster'!$B$5:$B$64,0)),"Not on roster"))</f>
        <v/>
      </c>
      <c r="D2193" s="12" t="str">
        <f>IF(B2193="","",IFERROR(INDEX('Cashier Roster'!$D$5:$D$64,MATCH(B2193,'Cashier Roster'!$B$5:$B$64,0)),""))</f>
        <v/>
      </c>
      <c r="E2193" s="13"/>
      <c r="F2193" s="14"/>
      <c r="G2193" s="8" t="str">
        <f>IF(OR(B2193="",E2193=""),"",IF(E2193="No","Missed",IF(F2193="","",IF(F2193&lt;=Settings!$B$7,"On time","Late"))))</f>
        <v/>
      </c>
      <c r="H2193" s="15"/>
      <c r="I2193" s="16"/>
      <c r="J2193" s="16"/>
      <c r="K2193" s="17" t="str">
        <f>IF(J2193="","",ROUND(J2193*Settings!$B$8,2))</f>
        <v/>
      </c>
      <c r="L2193" s="16"/>
      <c r="M2193" s="8" t="str">
        <f t="shared" si="34"/>
        <v/>
      </c>
      <c r="N2193" s="9"/>
    </row>
    <row r="2194" spans="1:14" ht="15.75">
      <c r="A2194" s="11"/>
      <c r="B2194" s="9"/>
      <c r="C2194" s="12" t="str">
        <f>IF(B2194="","",IFERROR(INDEX('Cashier Roster'!$C$5:$C$64,MATCH(B2194,'Cashier Roster'!$B$5:$B$64,0)),"Not on roster"))</f>
        <v/>
      </c>
      <c r="D2194" s="12" t="str">
        <f>IF(B2194="","",IFERROR(INDEX('Cashier Roster'!$D$5:$D$64,MATCH(B2194,'Cashier Roster'!$B$5:$B$64,0)),""))</f>
        <v/>
      </c>
      <c r="E2194" s="13"/>
      <c r="F2194" s="14"/>
      <c r="G2194" s="8" t="str">
        <f>IF(OR(B2194="",E2194=""),"",IF(E2194="No","Missed",IF(F2194="","",IF(F2194&lt;=Settings!$B$7,"On time","Late"))))</f>
        <v/>
      </c>
      <c r="H2194" s="15"/>
      <c r="I2194" s="16"/>
      <c r="J2194" s="16"/>
      <c r="K2194" s="17" t="str">
        <f>IF(J2194="","",ROUND(J2194*Settings!$B$8,2))</f>
        <v/>
      </c>
      <c r="L2194" s="16"/>
      <c r="M2194" s="8" t="str">
        <f t="shared" si="34"/>
        <v/>
      </c>
      <c r="N2194" s="9"/>
    </row>
    <row r="2195" spans="1:14" ht="15.75">
      <c r="A2195" s="11"/>
      <c r="B2195" s="9"/>
      <c r="C2195" s="12" t="str">
        <f>IF(B2195="","",IFERROR(INDEX('Cashier Roster'!$C$5:$C$64,MATCH(B2195,'Cashier Roster'!$B$5:$B$64,0)),"Not on roster"))</f>
        <v/>
      </c>
      <c r="D2195" s="12" t="str">
        <f>IF(B2195="","",IFERROR(INDEX('Cashier Roster'!$D$5:$D$64,MATCH(B2195,'Cashier Roster'!$B$5:$B$64,0)),""))</f>
        <v/>
      </c>
      <c r="E2195" s="13"/>
      <c r="F2195" s="14"/>
      <c r="G2195" s="8" t="str">
        <f>IF(OR(B2195="",E2195=""),"",IF(E2195="No","Missed",IF(F2195="","",IF(F2195&lt;=Settings!$B$7,"On time","Late"))))</f>
        <v/>
      </c>
      <c r="H2195" s="15"/>
      <c r="I2195" s="16"/>
      <c r="J2195" s="16"/>
      <c r="K2195" s="17" t="str">
        <f>IF(J2195="","",ROUND(J2195*Settings!$B$8,2))</f>
        <v/>
      </c>
      <c r="L2195" s="16"/>
      <c r="M2195" s="8" t="str">
        <f t="shared" si="34"/>
        <v/>
      </c>
      <c r="N2195" s="9"/>
    </row>
    <row r="2196" spans="1:14" ht="15.75">
      <c r="A2196" s="11"/>
      <c r="B2196" s="9"/>
      <c r="C2196" s="12" t="str">
        <f>IF(B2196="","",IFERROR(INDEX('Cashier Roster'!$C$5:$C$64,MATCH(B2196,'Cashier Roster'!$B$5:$B$64,0)),"Not on roster"))</f>
        <v/>
      </c>
      <c r="D2196" s="12" t="str">
        <f>IF(B2196="","",IFERROR(INDEX('Cashier Roster'!$D$5:$D$64,MATCH(B2196,'Cashier Roster'!$B$5:$B$64,0)),""))</f>
        <v/>
      </c>
      <c r="E2196" s="13"/>
      <c r="F2196" s="14"/>
      <c r="G2196" s="8" t="str">
        <f>IF(OR(B2196="",E2196=""),"",IF(E2196="No","Missed",IF(F2196="","",IF(F2196&lt;=Settings!$B$7,"On time","Late"))))</f>
        <v/>
      </c>
      <c r="H2196" s="15"/>
      <c r="I2196" s="16"/>
      <c r="J2196" s="16"/>
      <c r="K2196" s="17" t="str">
        <f>IF(J2196="","",ROUND(J2196*Settings!$B$8,2))</f>
        <v/>
      </c>
      <c r="L2196" s="16"/>
      <c r="M2196" s="8" t="str">
        <f t="shared" si="34"/>
        <v/>
      </c>
      <c r="N2196" s="9"/>
    </row>
    <row r="2197" spans="1:14" ht="15.75">
      <c r="A2197" s="11"/>
      <c r="B2197" s="9"/>
      <c r="C2197" s="12" t="str">
        <f>IF(B2197="","",IFERROR(INDEX('Cashier Roster'!$C$5:$C$64,MATCH(B2197,'Cashier Roster'!$B$5:$B$64,0)),"Not on roster"))</f>
        <v/>
      </c>
      <c r="D2197" s="12" t="str">
        <f>IF(B2197="","",IFERROR(INDEX('Cashier Roster'!$D$5:$D$64,MATCH(B2197,'Cashier Roster'!$B$5:$B$64,0)),""))</f>
        <v/>
      </c>
      <c r="E2197" s="13"/>
      <c r="F2197" s="14"/>
      <c r="G2197" s="8" t="str">
        <f>IF(OR(B2197="",E2197=""),"",IF(E2197="No","Missed",IF(F2197="","",IF(F2197&lt;=Settings!$B$7,"On time","Late"))))</f>
        <v/>
      </c>
      <c r="H2197" s="15"/>
      <c r="I2197" s="16"/>
      <c r="J2197" s="16"/>
      <c r="K2197" s="17" t="str">
        <f>IF(J2197="","",ROUND(J2197*Settings!$B$8,2))</f>
        <v/>
      </c>
      <c r="L2197" s="16"/>
      <c r="M2197" s="8" t="str">
        <f t="shared" si="34"/>
        <v/>
      </c>
      <c r="N2197" s="9"/>
    </row>
    <row r="2198" spans="1:14" ht="15.75">
      <c r="A2198" s="11"/>
      <c r="B2198" s="9"/>
      <c r="C2198" s="12" t="str">
        <f>IF(B2198="","",IFERROR(INDEX('Cashier Roster'!$C$5:$C$64,MATCH(B2198,'Cashier Roster'!$B$5:$B$64,0)),"Not on roster"))</f>
        <v/>
      </c>
      <c r="D2198" s="12" t="str">
        <f>IF(B2198="","",IFERROR(INDEX('Cashier Roster'!$D$5:$D$64,MATCH(B2198,'Cashier Roster'!$B$5:$B$64,0)),""))</f>
        <v/>
      </c>
      <c r="E2198" s="13"/>
      <c r="F2198" s="14"/>
      <c r="G2198" s="8" t="str">
        <f>IF(OR(B2198="",E2198=""),"",IF(E2198="No","Missed",IF(F2198="","",IF(F2198&lt;=Settings!$B$7,"On time","Late"))))</f>
        <v/>
      </c>
      <c r="H2198" s="15"/>
      <c r="I2198" s="16"/>
      <c r="J2198" s="16"/>
      <c r="K2198" s="17" t="str">
        <f>IF(J2198="","",ROUND(J2198*Settings!$B$8,2))</f>
        <v/>
      </c>
      <c r="L2198" s="16"/>
      <c r="M2198" s="8" t="str">
        <f t="shared" si="34"/>
        <v/>
      </c>
      <c r="N2198" s="9"/>
    </row>
    <row r="2199" spans="1:14" ht="15.75">
      <c r="A2199" s="11"/>
      <c r="B2199" s="9"/>
      <c r="C2199" s="12" t="str">
        <f>IF(B2199="","",IFERROR(INDEX('Cashier Roster'!$C$5:$C$64,MATCH(B2199,'Cashier Roster'!$B$5:$B$64,0)),"Not on roster"))</f>
        <v/>
      </c>
      <c r="D2199" s="12" t="str">
        <f>IF(B2199="","",IFERROR(INDEX('Cashier Roster'!$D$5:$D$64,MATCH(B2199,'Cashier Roster'!$B$5:$B$64,0)),""))</f>
        <v/>
      </c>
      <c r="E2199" s="13"/>
      <c r="F2199" s="14"/>
      <c r="G2199" s="8" t="str">
        <f>IF(OR(B2199="",E2199=""),"",IF(E2199="No","Missed",IF(F2199="","",IF(F2199&lt;=Settings!$B$7,"On time","Late"))))</f>
        <v/>
      </c>
      <c r="H2199" s="15"/>
      <c r="I2199" s="16"/>
      <c r="J2199" s="16"/>
      <c r="K2199" s="17" t="str">
        <f>IF(J2199="","",ROUND(J2199*Settings!$B$8,2))</f>
        <v/>
      </c>
      <c r="L2199" s="16"/>
      <c r="M2199" s="8" t="str">
        <f t="shared" si="34"/>
        <v/>
      </c>
      <c r="N2199" s="9"/>
    </row>
    <row r="2200" spans="1:14" ht="15.75">
      <c r="A2200" s="11"/>
      <c r="B2200" s="9"/>
      <c r="C2200" s="12" t="str">
        <f>IF(B2200="","",IFERROR(INDEX('Cashier Roster'!$C$5:$C$64,MATCH(B2200,'Cashier Roster'!$B$5:$B$64,0)),"Not on roster"))</f>
        <v/>
      </c>
      <c r="D2200" s="12" t="str">
        <f>IF(B2200="","",IFERROR(INDEX('Cashier Roster'!$D$5:$D$64,MATCH(B2200,'Cashier Roster'!$B$5:$B$64,0)),""))</f>
        <v/>
      </c>
      <c r="E2200" s="13"/>
      <c r="F2200" s="14"/>
      <c r="G2200" s="8" t="str">
        <f>IF(OR(B2200="",E2200=""),"",IF(E2200="No","Missed",IF(F2200="","",IF(F2200&lt;=Settings!$B$7,"On time","Late"))))</f>
        <v/>
      </c>
      <c r="H2200" s="15"/>
      <c r="I2200" s="16"/>
      <c r="J2200" s="16"/>
      <c r="K2200" s="17" t="str">
        <f>IF(J2200="","",ROUND(J2200*Settings!$B$8,2))</f>
        <v/>
      </c>
      <c r="L2200" s="16"/>
      <c r="M2200" s="8" t="str">
        <f t="shared" si="34"/>
        <v/>
      </c>
      <c r="N2200" s="9"/>
    </row>
    <row r="2201" spans="1:14" ht="15.75">
      <c r="A2201" s="11"/>
      <c r="B2201" s="9"/>
      <c r="C2201" s="12" t="str">
        <f>IF(B2201="","",IFERROR(INDEX('Cashier Roster'!$C$5:$C$64,MATCH(B2201,'Cashier Roster'!$B$5:$B$64,0)),"Not on roster"))</f>
        <v/>
      </c>
      <c r="D2201" s="12" t="str">
        <f>IF(B2201="","",IFERROR(INDEX('Cashier Roster'!$D$5:$D$64,MATCH(B2201,'Cashier Roster'!$B$5:$B$64,0)),""))</f>
        <v/>
      </c>
      <c r="E2201" s="13"/>
      <c r="F2201" s="14"/>
      <c r="G2201" s="8" t="str">
        <f>IF(OR(B2201="",E2201=""),"",IF(E2201="No","Missed",IF(F2201="","",IF(F2201&lt;=Settings!$B$7,"On time","Late"))))</f>
        <v/>
      </c>
      <c r="H2201" s="15"/>
      <c r="I2201" s="16"/>
      <c r="J2201" s="16"/>
      <c r="K2201" s="17" t="str">
        <f>IF(J2201="","",ROUND(J2201*Settings!$B$8,2))</f>
        <v/>
      </c>
      <c r="L2201" s="16"/>
      <c r="M2201" s="8" t="str">
        <f t="shared" si="34"/>
        <v/>
      </c>
      <c r="N2201" s="9"/>
    </row>
    <row r="2202" spans="1:14" ht="15.75">
      <c r="A2202" s="11"/>
      <c r="B2202" s="9"/>
      <c r="C2202" s="12" t="str">
        <f>IF(B2202="","",IFERROR(INDEX('Cashier Roster'!$C$5:$C$64,MATCH(B2202,'Cashier Roster'!$B$5:$B$64,0)),"Not on roster"))</f>
        <v/>
      </c>
      <c r="D2202" s="12" t="str">
        <f>IF(B2202="","",IFERROR(INDEX('Cashier Roster'!$D$5:$D$64,MATCH(B2202,'Cashier Roster'!$B$5:$B$64,0)),""))</f>
        <v/>
      </c>
      <c r="E2202" s="13"/>
      <c r="F2202" s="14"/>
      <c r="G2202" s="8" t="str">
        <f>IF(OR(B2202="",E2202=""),"",IF(E2202="No","Missed",IF(F2202="","",IF(F2202&lt;=Settings!$B$7,"On time","Late"))))</f>
        <v/>
      </c>
      <c r="H2202" s="15"/>
      <c r="I2202" s="16"/>
      <c r="J2202" s="16"/>
      <c r="K2202" s="17" t="str">
        <f>IF(J2202="","",ROUND(J2202*Settings!$B$8,2))</f>
        <v/>
      </c>
      <c r="L2202" s="16"/>
      <c r="M2202" s="8" t="str">
        <f t="shared" si="34"/>
        <v/>
      </c>
      <c r="N2202" s="9"/>
    </row>
    <row r="2203" spans="1:14" ht="15.75">
      <c r="A2203" s="11"/>
      <c r="B2203" s="9"/>
      <c r="C2203" s="12" t="str">
        <f>IF(B2203="","",IFERROR(INDEX('Cashier Roster'!$C$5:$C$64,MATCH(B2203,'Cashier Roster'!$B$5:$B$64,0)),"Not on roster"))</f>
        <v/>
      </c>
      <c r="D2203" s="12" t="str">
        <f>IF(B2203="","",IFERROR(INDEX('Cashier Roster'!$D$5:$D$64,MATCH(B2203,'Cashier Roster'!$B$5:$B$64,0)),""))</f>
        <v/>
      </c>
      <c r="E2203" s="13"/>
      <c r="F2203" s="14"/>
      <c r="G2203" s="8" t="str">
        <f>IF(OR(B2203="",E2203=""),"",IF(E2203="No","Missed",IF(F2203="","",IF(F2203&lt;=Settings!$B$7,"On time","Late"))))</f>
        <v/>
      </c>
      <c r="H2203" s="15"/>
      <c r="I2203" s="16"/>
      <c r="J2203" s="16"/>
      <c r="K2203" s="17" t="str">
        <f>IF(J2203="","",ROUND(J2203*Settings!$B$8,2))</f>
        <v/>
      </c>
      <c r="L2203" s="16"/>
      <c r="M2203" s="8" t="str">
        <f t="shared" si="34"/>
        <v/>
      </c>
      <c r="N2203" s="9"/>
    </row>
    <row r="2204" spans="1:14" ht="15.75">
      <c r="A2204" s="11"/>
      <c r="B2204" s="9"/>
      <c r="C2204" s="12" t="str">
        <f>IF(B2204="","",IFERROR(INDEX('Cashier Roster'!$C$5:$C$64,MATCH(B2204,'Cashier Roster'!$B$5:$B$64,0)),"Not on roster"))</f>
        <v/>
      </c>
      <c r="D2204" s="12" t="str">
        <f>IF(B2204="","",IFERROR(INDEX('Cashier Roster'!$D$5:$D$64,MATCH(B2204,'Cashier Roster'!$B$5:$B$64,0)),""))</f>
        <v/>
      </c>
      <c r="E2204" s="13"/>
      <c r="F2204" s="14"/>
      <c r="G2204" s="8" t="str">
        <f>IF(OR(B2204="",E2204=""),"",IF(E2204="No","Missed",IF(F2204="","",IF(F2204&lt;=Settings!$B$7,"On time","Late"))))</f>
        <v/>
      </c>
      <c r="H2204" s="15"/>
      <c r="I2204" s="16"/>
      <c r="J2204" s="16"/>
      <c r="K2204" s="17" t="str">
        <f>IF(J2204="","",ROUND(J2204*Settings!$B$8,2))</f>
        <v/>
      </c>
      <c r="L2204" s="16"/>
      <c r="M2204" s="8" t="str">
        <f t="shared" si="34"/>
        <v/>
      </c>
      <c r="N2204" s="9"/>
    </row>
    <row r="2205" spans="1:14" ht="15.75">
      <c r="A2205" s="11"/>
      <c r="B2205" s="9"/>
      <c r="C2205" s="12" t="str">
        <f>IF(B2205="","",IFERROR(INDEX('Cashier Roster'!$C$5:$C$64,MATCH(B2205,'Cashier Roster'!$B$5:$B$64,0)),"Not on roster"))</f>
        <v/>
      </c>
      <c r="D2205" s="12" t="str">
        <f>IF(B2205="","",IFERROR(INDEX('Cashier Roster'!$D$5:$D$64,MATCH(B2205,'Cashier Roster'!$B$5:$B$64,0)),""))</f>
        <v/>
      </c>
      <c r="E2205" s="13"/>
      <c r="F2205" s="14"/>
      <c r="G2205" s="8" t="str">
        <f>IF(OR(B2205="",E2205=""),"",IF(E2205="No","Missed",IF(F2205="","",IF(F2205&lt;=Settings!$B$7,"On time","Late"))))</f>
        <v/>
      </c>
      <c r="H2205" s="15"/>
      <c r="I2205" s="16"/>
      <c r="J2205" s="16"/>
      <c r="K2205" s="17" t="str">
        <f>IF(J2205="","",ROUND(J2205*Settings!$B$8,2))</f>
        <v/>
      </c>
      <c r="L2205" s="16"/>
      <c r="M2205" s="8" t="str">
        <f t="shared" si="34"/>
        <v/>
      </c>
      <c r="N2205" s="9"/>
    </row>
    <row r="2206" spans="1:14" ht="15.75">
      <c r="A2206" s="11"/>
      <c r="B2206" s="9"/>
      <c r="C2206" s="12" t="str">
        <f>IF(B2206="","",IFERROR(INDEX('Cashier Roster'!$C$5:$C$64,MATCH(B2206,'Cashier Roster'!$B$5:$B$64,0)),"Not on roster"))</f>
        <v/>
      </c>
      <c r="D2206" s="12" t="str">
        <f>IF(B2206="","",IFERROR(INDEX('Cashier Roster'!$D$5:$D$64,MATCH(B2206,'Cashier Roster'!$B$5:$B$64,0)),""))</f>
        <v/>
      </c>
      <c r="E2206" s="13"/>
      <c r="F2206" s="14"/>
      <c r="G2206" s="8" t="str">
        <f>IF(OR(B2206="",E2206=""),"",IF(E2206="No","Missed",IF(F2206="","",IF(F2206&lt;=Settings!$B$7,"On time","Late"))))</f>
        <v/>
      </c>
      <c r="H2206" s="15"/>
      <c r="I2206" s="16"/>
      <c r="J2206" s="16"/>
      <c r="K2206" s="17" t="str">
        <f>IF(J2206="","",ROUND(J2206*Settings!$B$8,2))</f>
        <v/>
      </c>
      <c r="L2206" s="16"/>
      <c r="M2206" s="8" t="str">
        <f t="shared" si="34"/>
        <v/>
      </c>
      <c r="N2206" s="9"/>
    </row>
    <row r="2207" spans="1:14" ht="15.75">
      <c r="A2207" s="11"/>
      <c r="B2207" s="9"/>
      <c r="C2207" s="12" t="str">
        <f>IF(B2207="","",IFERROR(INDEX('Cashier Roster'!$C$5:$C$64,MATCH(B2207,'Cashier Roster'!$B$5:$B$64,0)),"Not on roster"))</f>
        <v/>
      </c>
      <c r="D2207" s="12" t="str">
        <f>IF(B2207="","",IFERROR(INDEX('Cashier Roster'!$D$5:$D$64,MATCH(B2207,'Cashier Roster'!$B$5:$B$64,0)),""))</f>
        <v/>
      </c>
      <c r="E2207" s="13"/>
      <c r="F2207" s="14"/>
      <c r="G2207" s="8" t="str">
        <f>IF(OR(B2207="",E2207=""),"",IF(E2207="No","Missed",IF(F2207="","",IF(F2207&lt;=Settings!$B$7,"On time","Late"))))</f>
        <v/>
      </c>
      <c r="H2207" s="15"/>
      <c r="I2207" s="16"/>
      <c r="J2207" s="16"/>
      <c r="K2207" s="17" t="str">
        <f>IF(J2207="","",ROUND(J2207*Settings!$B$8,2))</f>
        <v/>
      </c>
      <c r="L2207" s="16"/>
      <c r="M2207" s="8" t="str">
        <f t="shared" si="34"/>
        <v/>
      </c>
      <c r="N2207" s="9"/>
    </row>
    <row r="2208" spans="1:14" ht="15.75">
      <c r="A2208" s="11"/>
      <c r="B2208" s="9"/>
      <c r="C2208" s="12" t="str">
        <f>IF(B2208="","",IFERROR(INDEX('Cashier Roster'!$C$5:$C$64,MATCH(B2208,'Cashier Roster'!$B$5:$B$64,0)),"Not on roster"))</f>
        <v/>
      </c>
      <c r="D2208" s="12" t="str">
        <f>IF(B2208="","",IFERROR(INDEX('Cashier Roster'!$D$5:$D$64,MATCH(B2208,'Cashier Roster'!$B$5:$B$64,0)),""))</f>
        <v/>
      </c>
      <c r="E2208" s="13"/>
      <c r="F2208" s="14"/>
      <c r="G2208" s="8" t="str">
        <f>IF(OR(B2208="",E2208=""),"",IF(E2208="No","Missed",IF(F2208="","",IF(F2208&lt;=Settings!$B$7,"On time","Late"))))</f>
        <v/>
      </c>
      <c r="H2208" s="15"/>
      <c r="I2208" s="16"/>
      <c r="J2208" s="16"/>
      <c r="K2208" s="17" t="str">
        <f>IF(J2208="","",ROUND(J2208*Settings!$B$8,2))</f>
        <v/>
      </c>
      <c r="L2208" s="16"/>
      <c r="M2208" s="8" t="str">
        <f t="shared" si="34"/>
        <v/>
      </c>
      <c r="N2208" s="9"/>
    </row>
    <row r="2209" spans="1:14" ht="15.75">
      <c r="A2209" s="11"/>
      <c r="B2209" s="9"/>
      <c r="C2209" s="12" t="str">
        <f>IF(B2209="","",IFERROR(INDEX('Cashier Roster'!$C$5:$C$64,MATCH(B2209,'Cashier Roster'!$B$5:$B$64,0)),"Not on roster"))</f>
        <v/>
      </c>
      <c r="D2209" s="12" t="str">
        <f>IF(B2209="","",IFERROR(INDEX('Cashier Roster'!$D$5:$D$64,MATCH(B2209,'Cashier Roster'!$B$5:$B$64,0)),""))</f>
        <v/>
      </c>
      <c r="E2209" s="13"/>
      <c r="F2209" s="14"/>
      <c r="G2209" s="8" t="str">
        <f>IF(OR(B2209="",E2209=""),"",IF(E2209="No","Missed",IF(F2209="","",IF(F2209&lt;=Settings!$B$7,"On time","Late"))))</f>
        <v/>
      </c>
      <c r="H2209" s="15"/>
      <c r="I2209" s="16"/>
      <c r="J2209" s="16"/>
      <c r="K2209" s="17" t="str">
        <f>IF(J2209="","",ROUND(J2209*Settings!$B$8,2))</f>
        <v/>
      </c>
      <c r="L2209" s="16"/>
      <c r="M2209" s="8" t="str">
        <f t="shared" si="34"/>
        <v/>
      </c>
      <c r="N2209" s="9"/>
    </row>
    <row r="2210" spans="1:14" ht="15.75">
      <c r="A2210" s="11"/>
      <c r="B2210" s="9"/>
      <c r="C2210" s="12" t="str">
        <f>IF(B2210="","",IFERROR(INDEX('Cashier Roster'!$C$5:$C$64,MATCH(B2210,'Cashier Roster'!$B$5:$B$64,0)),"Not on roster"))</f>
        <v/>
      </c>
      <c r="D2210" s="12" t="str">
        <f>IF(B2210="","",IFERROR(INDEX('Cashier Roster'!$D$5:$D$64,MATCH(B2210,'Cashier Roster'!$B$5:$B$64,0)),""))</f>
        <v/>
      </c>
      <c r="E2210" s="13"/>
      <c r="F2210" s="14"/>
      <c r="G2210" s="8" t="str">
        <f>IF(OR(B2210="",E2210=""),"",IF(E2210="No","Missed",IF(F2210="","",IF(F2210&lt;=Settings!$B$7,"On time","Late"))))</f>
        <v/>
      </c>
      <c r="H2210" s="15"/>
      <c r="I2210" s="16"/>
      <c r="J2210" s="16"/>
      <c r="K2210" s="17" t="str">
        <f>IF(J2210="","",ROUND(J2210*Settings!$B$8,2))</f>
        <v/>
      </c>
      <c r="L2210" s="16"/>
      <c r="M2210" s="8" t="str">
        <f t="shared" si="34"/>
        <v/>
      </c>
      <c r="N2210" s="9"/>
    </row>
    <row r="2211" spans="1:14" ht="15.75">
      <c r="A2211" s="11"/>
      <c r="B2211" s="9"/>
      <c r="C2211" s="12" t="str">
        <f>IF(B2211="","",IFERROR(INDEX('Cashier Roster'!$C$5:$C$64,MATCH(B2211,'Cashier Roster'!$B$5:$B$64,0)),"Not on roster"))</f>
        <v/>
      </c>
      <c r="D2211" s="12" t="str">
        <f>IF(B2211="","",IFERROR(INDEX('Cashier Roster'!$D$5:$D$64,MATCH(B2211,'Cashier Roster'!$B$5:$B$64,0)),""))</f>
        <v/>
      </c>
      <c r="E2211" s="13"/>
      <c r="F2211" s="14"/>
      <c r="G2211" s="8" t="str">
        <f>IF(OR(B2211="",E2211=""),"",IF(E2211="No","Missed",IF(F2211="","",IF(F2211&lt;=Settings!$B$7,"On time","Late"))))</f>
        <v/>
      </c>
      <c r="H2211" s="15"/>
      <c r="I2211" s="16"/>
      <c r="J2211" s="16"/>
      <c r="K2211" s="17" t="str">
        <f>IF(J2211="","",ROUND(J2211*Settings!$B$8,2))</f>
        <v/>
      </c>
      <c r="L2211" s="16"/>
      <c r="M2211" s="8" t="str">
        <f t="shared" si="34"/>
        <v/>
      </c>
      <c r="N2211" s="9"/>
    </row>
    <row r="2212" spans="1:14" ht="15.75">
      <c r="A2212" s="11"/>
      <c r="B2212" s="9"/>
      <c r="C2212" s="12" t="str">
        <f>IF(B2212="","",IFERROR(INDEX('Cashier Roster'!$C$5:$C$64,MATCH(B2212,'Cashier Roster'!$B$5:$B$64,0)),"Not on roster"))</f>
        <v/>
      </c>
      <c r="D2212" s="12" t="str">
        <f>IF(B2212="","",IFERROR(INDEX('Cashier Roster'!$D$5:$D$64,MATCH(B2212,'Cashier Roster'!$B$5:$B$64,0)),""))</f>
        <v/>
      </c>
      <c r="E2212" s="13"/>
      <c r="F2212" s="14"/>
      <c r="G2212" s="8" t="str">
        <f>IF(OR(B2212="",E2212=""),"",IF(E2212="No","Missed",IF(F2212="","",IF(F2212&lt;=Settings!$B$7,"On time","Late"))))</f>
        <v/>
      </c>
      <c r="H2212" s="15"/>
      <c r="I2212" s="16"/>
      <c r="J2212" s="16"/>
      <c r="K2212" s="17" t="str">
        <f>IF(J2212="","",ROUND(J2212*Settings!$B$8,2))</f>
        <v/>
      </c>
      <c r="L2212" s="16"/>
      <c r="M2212" s="8" t="str">
        <f t="shared" si="34"/>
        <v/>
      </c>
      <c r="N2212" s="9"/>
    </row>
    <row r="2213" spans="1:14" ht="15.75">
      <c r="A2213" s="11"/>
      <c r="B2213" s="9"/>
      <c r="C2213" s="12" t="str">
        <f>IF(B2213="","",IFERROR(INDEX('Cashier Roster'!$C$5:$C$64,MATCH(B2213,'Cashier Roster'!$B$5:$B$64,0)),"Not on roster"))</f>
        <v/>
      </c>
      <c r="D2213" s="12" t="str">
        <f>IF(B2213="","",IFERROR(INDEX('Cashier Roster'!$D$5:$D$64,MATCH(B2213,'Cashier Roster'!$B$5:$B$64,0)),""))</f>
        <v/>
      </c>
      <c r="E2213" s="13"/>
      <c r="F2213" s="14"/>
      <c r="G2213" s="8" t="str">
        <f>IF(OR(B2213="",E2213=""),"",IF(E2213="No","Missed",IF(F2213="","",IF(F2213&lt;=Settings!$B$7,"On time","Late"))))</f>
        <v/>
      </c>
      <c r="H2213" s="15"/>
      <c r="I2213" s="16"/>
      <c r="J2213" s="16"/>
      <c r="K2213" s="17" t="str">
        <f>IF(J2213="","",ROUND(J2213*Settings!$B$8,2))</f>
        <v/>
      </c>
      <c r="L2213" s="16"/>
      <c r="M2213" s="8" t="str">
        <f t="shared" si="34"/>
        <v/>
      </c>
      <c r="N2213" s="9"/>
    </row>
    <row r="2214" spans="1:14" ht="15.75">
      <c r="A2214" s="11"/>
      <c r="B2214" s="9"/>
      <c r="C2214" s="12" t="str">
        <f>IF(B2214="","",IFERROR(INDEX('Cashier Roster'!$C$5:$C$64,MATCH(B2214,'Cashier Roster'!$B$5:$B$64,0)),"Not on roster"))</f>
        <v/>
      </c>
      <c r="D2214" s="12" t="str">
        <f>IF(B2214="","",IFERROR(INDEX('Cashier Roster'!$D$5:$D$64,MATCH(B2214,'Cashier Roster'!$B$5:$B$64,0)),""))</f>
        <v/>
      </c>
      <c r="E2214" s="13"/>
      <c r="F2214" s="14"/>
      <c r="G2214" s="8" t="str">
        <f>IF(OR(B2214="",E2214=""),"",IF(E2214="No","Missed",IF(F2214="","",IF(F2214&lt;=Settings!$B$7,"On time","Late"))))</f>
        <v/>
      </c>
      <c r="H2214" s="15"/>
      <c r="I2214" s="16"/>
      <c r="J2214" s="16"/>
      <c r="K2214" s="17" t="str">
        <f>IF(J2214="","",ROUND(J2214*Settings!$B$8,2))</f>
        <v/>
      </c>
      <c r="L2214" s="16"/>
      <c r="M2214" s="8" t="str">
        <f t="shared" si="34"/>
        <v/>
      </c>
      <c r="N2214" s="9"/>
    </row>
    <row r="2215" spans="1:14" ht="15.75">
      <c r="A2215" s="11"/>
      <c r="B2215" s="9"/>
      <c r="C2215" s="12" t="str">
        <f>IF(B2215="","",IFERROR(INDEX('Cashier Roster'!$C$5:$C$64,MATCH(B2215,'Cashier Roster'!$B$5:$B$64,0)),"Not on roster"))</f>
        <v/>
      </c>
      <c r="D2215" s="12" t="str">
        <f>IF(B2215="","",IFERROR(INDEX('Cashier Roster'!$D$5:$D$64,MATCH(B2215,'Cashier Roster'!$B$5:$B$64,0)),""))</f>
        <v/>
      </c>
      <c r="E2215" s="13"/>
      <c r="F2215" s="14"/>
      <c r="G2215" s="8" t="str">
        <f>IF(OR(B2215="",E2215=""),"",IF(E2215="No","Missed",IF(F2215="","",IF(F2215&lt;=Settings!$B$7,"On time","Late"))))</f>
        <v/>
      </c>
      <c r="H2215" s="15"/>
      <c r="I2215" s="16"/>
      <c r="J2215" s="16"/>
      <c r="K2215" s="17" t="str">
        <f>IF(J2215="","",ROUND(J2215*Settings!$B$8,2))</f>
        <v/>
      </c>
      <c r="L2215" s="16"/>
      <c r="M2215" s="8" t="str">
        <f t="shared" si="34"/>
        <v/>
      </c>
      <c r="N2215" s="9"/>
    </row>
    <row r="2216" spans="1:14" ht="15.75">
      <c r="A2216" s="11"/>
      <c r="B2216" s="9"/>
      <c r="C2216" s="12" t="str">
        <f>IF(B2216="","",IFERROR(INDEX('Cashier Roster'!$C$5:$C$64,MATCH(B2216,'Cashier Roster'!$B$5:$B$64,0)),"Not on roster"))</f>
        <v/>
      </c>
      <c r="D2216" s="12" t="str">
        <f>IF(B2216="","",IFERROR(INDEX('Cashier Roster'!$D$5:$D$64,MATCH(B2216,'Cashier Roster'!$B$5:$B$64,0)),""))</f>
        <v/>
      </c>
      <c r="E2216" s="13"/>
      <c r="F2216" s="14"/>
      <c r="G2216" s="8" t="str">
        <f>IF(OR(B2216="",E2216=""),"",IF(E2216="No","Missed",IF(F2216="","",IF(F2216&lt;=Settings!$B$7,"On time","Late"))))</f>
        <v/>
      </c>
      <c r="H2216" s="15"/>
      <c r="I2216" s="16"/>
      <c r="J2216" s="16"/>
      <c r="K2216" s="17" t="str">
        <f>IF(J2216="","",ROUND(J2216*Settings!$B$8,2))</f>
        <v/>
      </c>
      <c r="L2216" s="16"/>
      <c r="M2216" s="8" t="str">
        <f t="shared" si="34"/>
        <v/>
      </c>
      <c r="N2216" s="9"/>
    </row>
    <row r="2217" spans="1:14" ht="15.75">
      <c r="A2217" s="11"/>
      <c r="B2217" s="9"/>
      <c r="C2217" s="12" t="str">
        <f>IF(B2217="","",IFERROR(INDEX('Cashier Roster'!$C$5:$C$64,MATCH(B2217,'Cashier Roster'!$B$5:$B$64,0)),"Not on roster"))</f>
        <v/>
      </c>
      <c r="D2217" s="12" t="str">
        <f>IF(B2217="","",IFERROR(INDEX('Cashier Roster'!$D$5:$D$64,MATCH(B2217,'Cashier Roster'!$B$5:$B$64,0)),""))</f>
        <v/>
      </c>
      <c r="E2217" s="13"/>
      <c r="F2217" s="14"/>
      <c r="G2217" s="8" t="str">
        <f>IF(OR(B2217="",E2217=""),"",IF(E2217="No","Missed",IF(F2217="","",IF(F2217&lt;=Settings!$B$7,"On time","Late"))))</f>
        <v/>
      </c>
      <c r="H2217" s="15"/>
      <c r="I2217" s="16"/>
      <c r="J2217" s="16"/>
      <c r="K2217" s="17" t="str">
        <f>IF(J2217="","",ROUND(J2217*Settings!$B$8,2))</f>
        <v/>
      </c>
      <c r="L2217" s="16"/>
      <c r="M2217" s="8" t="str">
        <f t="shared" si="34"/>
        <v/>
      </c>
      <c r="N2217" s="9"/>
    </row>
    <row r="2218" spans="1:14" ht="15.75">
      <c r="A2218" s="11"/>
      <c r="B2218" s="9"/>
      <c r="C2218" s="12" t="str">
        <f>IF(B2218="","",IFERROR(INDEX('Cashier Roster'!$C$5:$C$64,MATCH(B2218,'Cashier Roster'!$B$5:$B$64,0)),"Not on roster"))</f>
        <v/>
      </c>
      <c r="D2218" s="12" t="str">
        <f>IF(B2218="","",IFERROR(INDEX('Cashier Roster'!$D$5:$D$64,MATCH(B2218,'Cashier Roster'!$B$5:$B$64,0)),""))</f>
        <v/>
      </c>
      <c r="E2218" s="13"/>
      <c r="F2218" s="14"/>
      <c r="G2218" s="8" t="str">
        <f>IF(OR(B2218="",E2218=""),"",IF(E2218="No","Missed",IF(F2218="","",IF(F2218&lt;=Settings!$B$7,"On time","Late"))))</f>
        <v/>
      </c>
      <c r="H2218" s="15"/>
      <c r="I2218" s="16"/>
      <c r="J2218" s="16"/>
      <c r="K2218" s="17" t="str">
        <f>IF(J2218="","",ROUND(J2218*Settings!$B$8,2))</f>
        <v/>
      </c>
      <c r="L2218" s="16"/>
      <c r="M2218" s="8" t="str">
        <f t="shared" si="34"/>
        <v/>
      </c>
      <c r="N2218" s="9"/>
    </row>
    <row r="2219" spans="1:14" ht="15.75">
      <c r="A2219" s="11"/>
      <c r="B2219" s="9"/>
      <c r="C2219" s="12" t="str">
        <f>IF(B2219="","",IFERROR(INDEX('Cashier Roster'!$C$5:$C$64,MATCH(B2219,'Cashier Roster'!$B$5:$B$64,0)),"Not on roster"))</f>
        <v/>
      </c>
      <c r="D2219" s="12" t="str">
        <f>IF(B2219="","",IFERROR(INDEX('Cashier Roster'!$D$5:$D$64,MATCH(B2219,'Cashier Roster'!$B$5:$B$64,0)),""))</f>
        <v/>
      </c>
      <c r="E2219" s="13"/>
      <c r="F2219" s="14"/>
      <c r="G2219" s="8" t="str">
        <f>IF(OR(B2219="",E2219=""),"",IF(E2219="No","Missed",IF(F2219="","",IF(F2219&lt;=Settings!$B$7,"On time","Late"))))</f>
        <v/>
      </c>
      <c r="H2219" s="15"/>
      <c r="I2219" s="16"/>
      <c r="J2219" s="16"/>
      <c r="K2219" s="17" t="str">
        <f>IF(J2219="","",ROUND(J2219*Settings!$B$8,2))</f>
        <v/>
      </c>
      <c r="L2219" s="16"/>
      <c r="M2219" s="8" t="str">
        <f t="shared" si="34"/>
        <v/>
      </c>
      <c r="N2219" s="9"/>
    </row>
    <row r="2220" spans="1:14" ht="15.75">
      <c r="A2220" s="11"/>
      <c r="B2220" s="9"/>
      <c r="C2220" s="12" t="str">
        <f>IF(B2220="","",IFERROR(INDEX('Cashier Roster'!$C$5:$C$64,MATCH(B2220,'Cashier Roster'!$B$5:$B$64,0)),"Not on roster"))</f>
        <v/>
      </c>
      <c r="D2220" s="12" t="str">
        <f>IF(B2220="","",IFERROR(INDEX('Cashier Roster'!$D$5:$D$64,MATCH(B2220,'Cashier Roster'!$B$5:$B$64,0)),""))</f>
        <v/>
      </c>
      <c r="E2220" s="13"/>
      <c r="F2220" s="14"/>
      <c r="G2220" s="8" t="str">
        <f>IF(OR(B2220="",E2220=""),"",IF(E2220="No","Missed",IF(F2220="","",IF(F2220&lt;=Settings!$B$7,"On time","Late"))))</f>
        <v/>
      </c>
      <c r="H2220" s="15"/>
      <c r="I2220" s="16"/>
      <c r="J2220" s="16"/>
      <c r="K2220" s="17" t="str">
        <f>IF(J2220="","",ROUND(J2220*Settings!$B$8,2))</f>
        <v/>
      </c>
      <c r="L2220" s="16"/>
      <c r="M2220" s="8" t="str">
        <f t="shared" si="34"/>
        <v/>
      </c>
      <c r="N2220" s="9"/>
    </row>
    <row r="2221" spans="1:14" ht="15.75">
      <c r="A2221" s="11"/>
      <c r="B2221" s="9"/>
      <c r="C2221" s="12" t="str">
        <f>IF(B2221="","",IFERROR(INDEX('Cashier Roster'!$C$5:$C$64,MATCH(B2221,'Cashier Roster'!$B$5:$B$64,0)),"Not on roster"))</f>
        <v/>
      </c>
      <c r="D2221" s="12" t="str">
        <f>IF(B2221="","",IFERROR(INDEX('Cashier Roster'!$D$5:$D$64,MATCH(B2221,'Cashier Roster'!$B$5:$B$64,0)),""))</f>
        <v/>
      </c>
      <c r="E2221" s="13"/>
      <c r="F2221" s="14"/>
      <c r="G2221" s="8" t="str">
        <f>IF(OR(B2221="",E2221=""),"",IF(E2221="No","Missed",IF(F2221="","",IF(F2221&lt;=Settings!$B$7,"On time","Late"))))</f>
        <v/>
      </c>
      <c r="H2221" s="15"/>
      <c r="I2221" s="16"/>
      <c r="J2221" s="16"/>
      <c r="K2221" s="17" t="str">
        <f>IF(J2221="","",ROUND(J2221*Settings!$B$8,2))</f>
        <v/>
      </c>
      <c r="L2221" s="16"/>
      <c r="M2221" s="8" t="str">
        <f t="shared" si="34"/>
        <v/>
      </c>
      <c r="N2221" s="9"/>
    </row>
    <row r="2222" spans="1:14" ht="15.75">
      <c r="A2222" s="11"/>
      <c r="B2222" s="9"/>
      <c r="C2222" s="12" t="str">
        <f>IF(B2222="","",IFERROR(INDEX('Cashier Roster'!$C$5:$C$64,MATCH(B2222,'Cashier Roster'!$B$5:$B$64,0)),"Not on roster"))</f>
        <v/>
      </c>
      <c r="D2222" s="12" t="str">
        <f>IF(B2222="","",IFERROR(INDEX('Cashier Roster'!$D$5:$D$64,MATCH(B2222,'Cashier Roster'!$B$5:$B$64,0)),""))</f>
        <v/>
      </c>
      <c r="E2222" s="13"/>
      <c r="F2222" s="14"/>
      <c r="G2222" s="8" t="str">
        <f>IF(OR(B2222="",E2222=""),"",IF(E2222="No","Missed",IF(F2222="","",IF(F2222&lt;=Settings!$B$7,"On time","Late"))))</f>
        <v/>
      </c>
      <c r="H2222" s="15"/>
      <c r="I2222" s="16"/>
      <c r="J2222" s="16"/>
      <c r="K2222" s="17" t="str">
        <f>IF(J2222="","",ROUND(J2222*Settings!$B$8,2))</f>
        <v/>
      </c>
      <c r="L2222" s="16"/>
      <c r="M2222" s="8" t="str">
        <f t="shared" si="34"/>
        <v/>
      </c>
      <c r="N2222" s="9"/>
    </row>
    <row r="2223" spans="1:14" ht="15.75">
      <c r="A2223" s="11"/>
      <c r="B2223" s="9"/>
      <c r="C2223" s="12" t="str">
        <f>IF(B2223="","",IFERROR(INDEX('Cashier Roster'!$C$5:$C$64,MATCH(B2223,'Cashier Roster'!$B$5:$B$64,0)),"Not on roster"))</f>
        <v/>
      </c>
      <c r="D2223" s="12" t="str">
        <f>IF(B2223="","",IFERROR(INDEX('Cashier Roster'!$D$5:$D$64,MATCH(B2223,'Cashier Roster'!$B$5:$B$64,0)),""))</f>
        <v/>
      </c>
      <c r="E2223" s="13"/>
      <c r="F2223" s="14"/>
      <c r="G2223" s="8" t="str">
        <f>IF(OR(B2223="",E2223=""),"",IF(E2223="No","Missed",IF(F2223="","",IF(F2223&lt;=Settings!$B$7,"On time","Late"))))</f>
        <v/>
      </c>
      <c r="H2223" s="15"/>
      <c r="I2223" s="16"/>
      <c r="J2223" s="16"/>
      <c r="K2223" s="17" t="str">
        <f>IF(J2223="","",ROUND(J2223*Settings!$B$8,2))</f>
        <v/>
      </c>
      <c r="L2223" s="16"/>
      <c r="M2223" s="8" t="str">
        <f t="shared" si="34"/>
        <v/>
      </c>
      <c r="N2223" s="9"/>
    </row>
    <row r="2224" spans="1:14" ht="15.75">
      <c r="A2224" s="11"/>
      <c r="B2224" s="9"/>
      <c r="C2224" s="12" t="str">
        <f>IF(B2224="","",IFERROR(INDEX('Cashier Roster'!$C$5:$C$64,MATCH(B2224,'Cashier Roster'!$B$5:$B$64,0)),"Not on roster"))</f>
        <v/>
      </c>
      <c r="D2224" s="12" t="str">
        <f>IF(B2224="","",IFERROR(INDEX('Cashier Roster'!$D$5:$D$64,MATCH(B2224,'Cashier Roster'!$B$5:$B$64,0)),""))</f>
        <v/>
      </c>
      <c r="E2224" s="13"/>
      <c r="F2224" s="14"/>
      <c r="G2224" s="8" t="str">
        <f>IF(OR(B2224="",E2224=""),"",IF(E2224="No","Missed",IF(F2224="","",IF(F2224&lt;=Settings!$B$7,"On time","Late"))))</f>
        <v/>
      </c>
      <c r="H2224" s="15"/>
      <c r="I2224" s="16"/>
      <c r="J2224" s="16"/>
      <c r="K2224" s="17" t="str">
        <f>IF(J2224="","",ROUND(J2224*Settings!$B$8,2))</f>
        <v/>
      </c>
      <c r="L2224" s="16"/>
      <c r="M2224" s="8" t="str">
        <f t="shared" si="34"/>
        <v/>
      </c>
      <c r="N2224" s="9"/>
    </row>
    <row r="2225" spans="1:14" ht="15.75">
      <c r="A2225" s="11"/>
      <c r="B2225" s="9"/>
      <c r="C2225" s="12" t="str">
        <f>IF(B2225="","",IFERROR(INDEX('Cashier Roster'!$C$5:$C$64,MATCH(B2225,'Cashier Roster'!$B$5:$B$64,0)),"Not on roster"))</f>
        <v/>
      </c>
      <c r="D2225" s="12" t="str">
        <f>IF(B2225="","",IFERROR(INDEX('Cashier Roster'!$D$5:$D$64,MATCH(B2225,'Cashier Roster'!$B$5:$B$64,0)),""))</f>
        <v/>
      </c>
      <c r="E2225" s="13"/>
      <c r="F2225" s="14"/>
      <c r="G2225" s="8" t="str">
        <f>IF(OR(B2225="",E2225=""),"",IF(E2225="No","Missed",IF(F2225="","",IF(F2225&lt;=Settings!$B$7,"On time","Late"))))</f>
        <v/>
      </c>
      <c r="H2225" s="15"/>
      <c r="I2225" s="16"/>
      <c r="J2225" s="16"/>
      <c r="K2225" s="17" t="str">
        <f>IF(J2225="","",ROUND(J2225*Settings!$B$8,2))</f>
        <v/>
      </c>
      <c r="L2225" s="16"/>
      <c r="M2225" s="8" t="str">
        <f t="shared" si="34"/>
        <v/>
      </c>
      <c r="N2225" s="9"/>
    </row>
    <row r="2226" spans="1:14" ht="15.75">
      <c r="A2226" s="11"/>
      <c r="B2226" s="9"/>
      <c r="C2226" s="12" t="str">
        <f>IF(B2226="","",IFERROR(INDEX('Cashier Roster'!$C$5:$C$64,MATCH(B2226,'Cashier Roster'!$B$5:$B$64,0)),"Not on roster"))</f>
        <v/>
      </c>
      <c r="D2226" s="12" t="str">
        <f>IF(B2226="","",IFERROR(INDEX('Cashier Roster'!$D$5:$D$64,MATCH(B2226,'Cashier Roster'!$B$5:$B$64,0)),""))</f>
        <v/>
      </c>
      <c r="E2226" s="13"/>
      <c r="F2226" s="14"/>
      <c r="G2226" s="8" t="str">
        <f>IF(OR(B2226="",E2226=""),"",IF(E2226="No","Missed",IF(F2226="","",IF(F2226&lt;=Settings!$B$7,"On time","Late"))))</f>
        <v/>
      </c>
      <c r="H2226" s="15"/>
      <c r="I2226" s="16"/>
      <c r="J2226" s="16"/>
      <c r="K2226" s="17" t="str">
        <f>IF(J2226="","",ROUND(J2226*Settings!$B$8,2))</f>
        <v/>
      </c>
      <c r="L2226" s="16"/>
      <c r="M2226" s="8" t="str">
        <f t="shared" si="34"/>
        <v/>
      </c>
      <c r="N2226" s="9"/>
    </row>
    <row r="2227" spans="1:14" ht="15.75">
      <c r="A2227" s="11"/>
      <c r="B2227" s="9"/>
      <c r="C2227" s="12" t="str">
        <f>IF(B2227="","",IFERROR(INDEX('Cashier Roster'!$C$5:$C$64,MATCH(B2227,'Cashier Roster'!$B$5:$B$64,0)),"Not on roster"))</f>
        <v/>
      </c>
      <c r="D2227" s="12" t="str">
        <f>IF(B2227="","",IFERROR(INDEX('Cashier Roster'!$D$5:$D$64,MATCH(B2227,'Cashier Roster'!$B$5:$B$64,0)),""))</f>
        <v/>
      </c>
      <c r="E2227" s="13"/>
      <c r="F2227" s="14"/>
      <c r="G2227" s="8" t="str">
        <f>IF(OR(B2227="",E2227=""),"",IF(E2227="No","Missed",IF(F2227="","",IF(F2227&lt;=Settings!$B$7,"On time","Late"))))</f>
        <v/>
      </c>
      <c r="H2227" s="15"/>
      <c r="I2227" s="16"/>
      <c r="J2227" s="16"/>
      <c r="K2227" s="17" t="str">
        <f>IF(J2227="","",ROUND(J2227*Settings!$B$8,2))</f>
        <v/>
      </c>
      <c r="L2227" s="16"/>
      <c r="M2227" s="8" t="str">
        <f t="shared" si="34"/>
        <v/>
      </c>
      <c r="N2227" s="9"/>
    </row>
    <row r="2228" spans="1:14" ht="15.75">
      <c r="A2228" s="11"/>
      <c r="B2228" s="9"/>
      <c r="C2228" s="12" t="str">
        <f>IF(B2228="","",IFERROR(INDEX('Cashier Roster'!$C$5:$C$64,MATCH(B2228,'Cashier Roster'!$B$5:$B$64,0)),"Not on roster"))</f>
        <v/>
      </c>
      <c r="D2228" s="12" t="str">
        <f>IF(B2228="","",IFERROR(INDEX('Cashier Roster'!$D$5:$D$64,MATCH(B2228,'Cashier Roster'!$B$5:$B$64,0)),""))</f>
        <v/>
      </c>
      <c r="E2228" s="13"/>
      <c r="F2228" s="14"/>
      <c r="G2228" s="8" t="str">
        <f>IF(OR(B2228="",E2228=""),"",IF(E2228="No","Missed",IF(F2228="","",IF(F2228&lt;=Settings!$B$7,"On time","Late"))))</f>
        <v/>
      </c>
      <c r="H2228" s="15"/>
      <c r="I2228" s="16"/>
      <c r="J2228" s="16"/>
      <c r="K2228" s="17" t="str">
        <f>IF(J2228="","",ROUND(J2228*Settings!$B$8,2))</f>
        <v/>
      </c>
      <c r="L2228" s="16"/>
      <c r="M2228" s="8" t="str">
        <f t="shared" si="34"/>
        <v/>
      </c>
      <c r="N2228" s="9"/>
    </row>
    <row r="2229" spans="1:14" ht="15.75">
      <c r="A2229" s="11"/>
      <c r="B2229" s="9"/>
      <c r="C2229" s="12" t="str">
        <f>IF(B2229="","",IFERROR(INDEX('Cashier Roster'!$C$5:$C$64,MATCH(B2229,'Cashier Roster'!$B$5:$B$64,0)),"Not on roster"))</f>
        <v/>
      </c>
      <c r="D2229" s="12" t="str">
        <f>IF(B2229="","",IFERROR(INDEX('Cashier Roster'!$D$5:$D$64,MATCH(B2229,'Cashier Roster'!$B$5:$B$64,0)),""))</f>
        <v/>
      </c>
      <c r="E2229" s="13"/>
      <c r="F2229" s="14"/>
      <c r="G2229" s="8" t="str">
        <f>IF(OR(B2229="",E2229=""),"",IF(E2229="No","Missed",IF(F2229="","",IF(F2229&lt;=Settings!$B$7,"On time","Late"))))</f>
        <v/>
      </c>
      <c r="H2229" s="15"/>
      <c r="I2229" s="16"/>
      <c r="J2229" s="16"/>
      <c r="K2229" s="17" t="str">
        <f>IF(J2229="","",ROUND(J2229*Settings!$B$8,2))</f>
        <v/>
      </c>
      <c r="L2229" s="16"/>
      <c r="M2229" s="8" t="str">
        <f t="shared" si="34"/>
        <v/>
      </c>
      <c r="N2229" s="9"/>
    </row>
    <row r="2230" spans="1:14" ht="15.75">
      <c r="A2230" s="11"/>
      <c r="B2230" s="9"/>
      <c r="C2230" s="12" t="str">
        <f>IF(B2230="","",IFERROR(INDEX('Cashier Roster'!$C$5:$C$64,MATCH(B2230,'Cashier Roster'!$B$5:$B$64,0)),"Not on roster"))</f>
        <v/>
      </c>
      <c r="D2230" s="12" t="str">
        <f>IF(B2230="","",IFERROR(INDEX('Cashier Roster'!$D$5:$D$64,MATCH(B2230,'Cashier Roster'!$B$5:$B$64,0)),""))</f>
        <v/>
      </c>
      <c r="E2230" s="13"/>
      <c r="F2230" s="14"/>
      <c r="G2230" s="8" t="str">
        <f>IF(OR(B2230="",E2230=""),"",IF(E2230="No","Missed",IF(F2230="","",IF(F2230&lt;=Settings!$B$7,"On time","Late"))))</f>
        <v/>
      </c>
      <c r="H2230" s="15"/>
      <c r="I2230" s="16"/>
      <c r="J2230" s="16"/>
      <c r="K2230" s="17" t="str">
        <f>IF(J2230="","",ROUND(J2230*Settings!$B$8,2))</f>
        <v/>
      </c>
      <c r="L2230" s="16"/>
      <c r="M2230" s="8" t="str">
        <f t="shared" si="34"/>
        <v/>
      </c>
      <c r="N2230" s="9"/>
    </row>
    <row r="2231" spans="1:14" ht="15.75">
      <c r="A2231" s="11"/>
      <c r="B2231" s="9"/>
      <c r="C2231" s="12" t="str">
        <f>IF(B2231="","",IFERROR(INDEX('Cashier Roster'!$C$5:$C$64,MATCH(B2231,'Cashier Roster'!$B$5:$B$64,0)),"Not on roster"))</f>
        <v/>
      </c>
      <c r="D2231" s="12" t="str">
        <f>IF(B2231="","",IFERROR(INDEX('Cashier Roster'!$D$5:$D$64,MATCH(B2231,'Cashier Roster'!$B$5:$B$64,0)),""))</f>
        <v/>
      </c>
      <c r="E2231" s="13"/>
      <c r="F2231" s="14"/>
      <c r="G2231" s="8" t="str">
        <f>IF(OR(B2231="",E2231=""),"",IF(E2231="No","Missed",IF(F2231="","",IF(F2231&lt;=Settings!$B$7,"On time","Late"))))</f>
        <v/>
      </c>
      <c r="H2231" s="15"/>
      <c r="I2231" s="16"/>
      <c r="J2231" s="16"/>
      <c r="K2231" s="17" t="str">
        <f>IF(J2231="","",ROUND(J2231*Settings!$B$8,2))</f>
        <v/>
      </c>
      <c r="L2231" s="16"/>
      <c r="M2231" s="8" t="str">
        <f t="shared" si="34"/>
        <v/>
      </c>
      <c r="N2231" s="9"/>
    </row>
    <row r="2232" spans="1:14" ht="15.75">
      <c r="A2232" s="11"/>
      <c r="B2232" s="9"/>
      <c r="C2232" s="12" t="str">
        <f>IF(B2232="","",IFERROR(INDEX('Cashier Roster'!$C$5:$C$64,MATCH(B2232,'Cashier Roster'!$B$5:$B$64,0)),"Not on roster"))</f>
        <v/>
      </c>
      <c r="D2232" s="12" t="str">
        <f>IF(B2232="","",IFERROR(INDEX('Cashier Roster'!$D$5:$D$64,MATCH(B2232,'Cashier Roster'!$B$5:$B$64,0)),""))</f>
        <v/>
      </c>
      <c r="E2232" s="13"/>
      <c r="F2232" s="14"/>
      <c r="G2232" s="8" t="str">
        <f>IF(OR(B2232="",E2232=""),"",IF(E2232="No","Missed",IF(F2232="","",IF(F2232&lt;=Settings!$B$7,"On time","Late"))))</f>
        <v/>
      </c>
      <c r="H2232" s="15"/>
      <c r="I2232" s="16"/>
      <c r="J2232" s="16"/>
      <c r="K2232" s="17" t="str">
        <f>IF(J2232="","",ROUND(J2232*Settings!$B$8,2))</f>
        <v/>
      </c>
      <c r="L2232" s="16"/>
      <c r="M2232" s="8" t="str">
        <f t="shared" si="34"/>
        <v/>
      </c>
      <c r="N2232" s="9"/>
    </row>
    <row r="2233" spans="1:14" ht="15.75">
      <c r="A2233" s="11"/>
      <c r="B2233" s="9"/>
      <c r="C2233" s="12" t="str">
        <f>IF(B2233="","",IFERROR(INDEX('Cashier Roster'!$C$5:$C$64,MATCH(B2233,'Cashier Roster'!$B$5:$B$64,0)),"Not on roster"))</f>
        <v/>
      </c>
      <c r="D2233" s="12" t="str">
        <f>IF(B2233="","",IFERROR(INDEX('Cashier Roster'!$D$5:$D$64,MATCH(B2233,'Cashier Roster'!$B$5:$B$64,0)),""))</f>
        <v/>
      </c>
      <c r="E2233" s="13"/>
      <c r="F2233" s="14"/>
      <c r="G2233" s="8" t="str">
        <f>IF(OR(B2233="",E2233=""),"",IF(E2233="No","Missed",IF(F2233="","",IF(F2233&lt;=Settings!$B$7,"On time","Late"))))</f>
        <v/>
      </c>
      <c r="H2233" s="15"/>
      <c r="I2233" s="16"/>
      <c r="J2233" s="16"/>
      <c r="K2233" s="17" t="str">
        <f>IF(J2233="","",ROUND(J2233*Settings!$B$8,2))</f>
        <v/>
      </c>
      <c r="L2233" s="16"/>
      <c r="M2233" s="8" t="str">
        <f t="shared" si="34"/>
        <v/>
      </c>
      <c r="N2233" s="9"/>
    </row>
    <row r="2234" spans="1:14" ht="15.75">
      <c r="A2234" s="11"/>
      <c r="B2234" s="9"/>
      <c r="C2234" s="12" t="str">
        <f>IF(B2234="","",IFERROR(INDEX('Cashier Roster'!$C$5:$C$64,MATCH(B2234,'Cashier Roster'!$B$5:$B$64,0)),"Not on roster"))</f>
        <v/>
      </c>
      <c r="D2234" s="12" t="str">
        <f>IF(B2234="","",IFERROR(INDEX('Cashier Roster'!$D$5:$D$64,MATCH(B2234,'Cashier Roster'!$B$5:$B$64,0)),""))</f>
        <v/>
      </c>
      <c r="E2234" s="13"/>
      <c r="F2234" s="14"/>
      <c r="G2234" s="8" t="str">
        <f>IF(OR(B2234="",E2234=""),"",IF(E2234="No","Missed",IF(F2234="","",IF(F2234&lt;=Settings!$B$7,"On time","Late"))))</f>
        <v/>
      </c>
      <c r="H2234" s="15"/>
      <c r="I2234" s="16"/>
      <c r="J2234" s="16"/>
      <c r="K2234" s="17" t="str">
        <f>IF(J2234="","",ROUND(J2234*Settings!$B$8,2))</f>
        <v/>
      </c>
      <c r="L2234" s="16"/>
      <c r="M2234" s="8" t="str">
        <f t="shared" si="34"/>
        <v/>
      </c>
      <c r="N2234" s="9"/>
    </row>
    <row r="2235" spans="1:14" ht="15.75">
      <c r="A2235" s="11"/>
      <c r="B2235" s="9"/>
      <c r="C2235" s="12" t="str">
        <f>IF(B2235="","",IFERROR(INDEX('Cashier Roster'!$C$5:$C$64,MATCH(B2235,'Cashier Roster'!$B$5:$B$64,0)),"Not on roster"))</f>
        <v/>
      </c>
      <c r="D2235" s="12" t="str">
        <f>IF(B2235="","",IFERROR(INDEX('Cashier Roster'!$D$5:$D$64,MATCH(B2235,'Cashier Roster'!$B$5:$B$64,0)),""))</f>
        <v/>
      </c>
      <c r="E2235" s="13"/>
      <c r="F2235" s="14"/>
      <c r="G2235" s="8" t="str">
        <f>IF(OR(B2235="",E2235=""),"",IF(E2235="No","Missed",IF(F2235="","",IF(F2235&lt;=Settings!$B$7,"On time","Late"))))</f>
        <v/>
      </c>
      <c r="H2235" s="15"/>
      <c r="I2235" s="16"/>
      <c r="J2235" s="16"/>
      <c r="K2235" s="17" t="str">
        <f>IF(J2235="","",ROUND(J2235*Settings!$B$8,2))</f>
        <v/>
      </c>
      <c r="L2235" s="16"/>
      <c r="M2235" s="8" t="str">
        <f t="shared" si="34"/>
        <v/>
      </c>
      <c r="N2235" s="9"/>
    </row>
    <row r="2236" spans="1:14" ht="15.75">
      <c r="A2236" s="11"/>
      <c r="B2236" s="9"/>
      <c r="C2236" s="12" t="str">
        <f>IF(B2236="","",IFERROR(INDEX('Cashier Roster'!$C$5:$C$64,MATCH(B2236,'Cashier Roster'!$B$5:$B$64,0)),"Not on roster"))</f>
        <v/>
      </c>
      <c r="D2236" s="12" t="str">
        <f>IF(B2236="","",IFERROR(INDEX('Cashier Roster'!$D$5:$D$64,MATCH(B2236,'Cashier Roster'!$B$5:$B$64,0)),""))</f>
        <v/>
      </c>
      <c r="E2236" s="13"/>
      <c r="F2236" s="14"/>
      <c r="G2236" s="8" t="str">
        <f>IF(OR(B2236="",E2236=""),"",IF(E2236="No","Missed",IF(F2236="","",IF(F2236&lt;=Settings!$B$7,"On time","Late"))))</f>
        <v/>
      </c>
      <c r="H2236" s="15"/>
      <c r="I2236" s="16"/>
      <c r="J2236" s="16"/>
      <c r="K2236" s="17" t="str">
        <f>IF(J2236="","",ROUND(J2236*Settings!$B$8,2))</f>
        <v/>
      </c>
      <c r="L2236" s="16"/>
      <c r="M2236" s="8" t="str">
        <f t="shared" si="34"/>
        <v/>
      </c>
      <c r="N2236" s="9"/>
    </row>
    <row r="2237" spans="1:14" ht="15.75">
      <c r="A2237" s="11"/>
      <c r="B2237" s="9"/>
      <c r="C2237" s="12" t="str">
        <f>IF(B2237="","",IFERROR(INDEX('Cashier Roster'!$C$5:$C$64,MATCH(B2237,'Cashier Roster'!$B$5:$B$64,0)),"Not on roster"))</f>
        <v/>
      </c>
      <c r="D2237" s="12" t="str">
        <f>IF(B2237="","",IFERROR(INDEX('Cashier Roster'!$D$5:$D$64,MATCH(B2237,'Cashier Roster'!$B$5:$B$64,0)),""))</f>
        <v/>
      </c>
      <c r="E2237" s="13"/>
      <c r="F2237" s="14"/>
      <c r="G2237" s="8" t="str">
        <f>IF(OR(B2237="",E2237=""),"",IF(E2237="No","Missed",IF(F2237="","",IF(F2237&lt;=Settings!$B$7,"On time","Late"))))</f>
        <v/>
      </c>
      <c r="H2237" s="15"/>
      <c r="I2237" s="16"/>
      <c r="J2237" s="16"/>
      <c r="K2237" s="17" t="str">
        <f>IF(J2237="","",ROUND(J2237*Settings!$B$8,2))</f>
        <v/>
      </c>
      <c r="L2237" s="16"/>
      <c r="M2237" s="8" t="str">
        <f t="shared" si="34"/>
        <v/>
      </c>
      <c r="N2237" s="9"/>
    </row>
    <row r="2238" spans="1:14" ht="15.75">
      <c r="A2238" s="11"/>
      <c r="B2238" s="9"/>
      <c r="C2238" s="12" t="str">
        <f>IF(B2238="","",IFERROR(INDEX('Cashier Roster'!$C$5:$C$64,MATCH(B2238,'Cashier Roster'!$B$5:$B$64,0)),"Not on roster"))</f>
        <v/>
      </c>
      <c r="D2238" s="12" t="str">
        <f>IF(B2238="","",IFERROR(INDEX('Cashier Roster'!$D$5:$D$64,MATCH(B2238,'Cashier Roster'!$B$5:$B$64,0)),""))</f>
        <v/>
      </c>
      <c r="E2238" s="13"/>
      <c r="F2238" s="14"/>
      <c r="G2238" s="8" t="str">
        <f>IF(OR(B2238="",E2238=""),"",IF(E2238="No","Missed",IF(F2238="","",IF(F2238&lt;=Settings!$B$7,"On time","Late"))))</f>
        <v/>
      </c>
      <c r="H2238" s="15"/>
      <c r="I2238" s="16"/>
      <c r="J2238" s="16"/>
      <c r="K2238" s="17" t="str">
        <f>IF(J2238="","",ROUND(J2238*Settings!$B$8,2))</f>
        <v/>
      </c>
      <c r="L2238" s="16"/>
      <c r="M2238" s="8" t="str">
        <f t="shared" si="34"/>
        <v/>
      </c>
      <c r="N2238" s="9"/>
    </row>
    <row r="2239" spans="1:14" ht="15.75">
      <c r="A2239" s="11"/>
      <c r="B2239" s="9"/>
      <c r="C2239" s="12" t="str">
        <f>IF(B2239="","",IFERROR(INDEX('Cashier Roster'!$C$5:$C$64,MATCH(B2239,'Cashier Roster'!$B$5:$B$64,0)),"Not on roster"))</f>
        <v/>
      </c>
      <c r="D2239" s="12" t="str">
        <f>IF(B2239="","",IFERROR(INDEX('Cashier Roster'!$D$5:$D$64,MATCH(B2239,'Cashier Roster'!$B$5:$B$64,0)),""))</f>
        <v/>
      </c>
      <c r="E2239" s="13"/>
      <c r="F2239" s="14"/>
      <c r="G2239" s="8" t="str">
        <f>IF(OR(B2239="",E2239=""),"",IF(E2239="No","Missed",IF(F2239="","",IF(F2239&lt;=Settings!$B$7,"On time","Late"))))</f>
        <v/>
      </c>
      <c r="H2239" s="15"/>
      <c r="I2239" s="16"/>
      <c r="J2239" s="16"/>
      <c r="K2239" s="17" t="str">
        <f>IF(J2239="","",ROUND(J2239*Settings!$B$8,2))</f>
        <v/>
      </c>
      <c r="L2239" s="16"/>
      <c r="M2239" s="8" t="str">
        <f t="shared" si="34"/>
        <v/>
      </c>
      <c r="N2239" s="9"/>
    </row>
    <row r="2240" spans="1:14" ht="15.75">
      <c r="A2240" s="11"/>
      <c r="B2240" s="9"/>
      <c r="C2240" s="12" t="str">
        <f>IF(B2240="","",IFERROR(INDEX('Cashier Roster'!$C$5:$C$64,MATCH(B2240,'Cashier Roster'!$B$5:$B$64,0)),"Not on roster"))</f>
        <v/>
      </c>
      <c r="D2240" s="12" t="str">
        <f>IF(B2240="","",IFERROR(INDEX('Cashier Roster'!$D$5:$D$64,MATCH(B2240,'Cashier Roster'!$B$5:$B$64,0)),""))</f>
        <v/>
      </c>
      <c r="E2240" s="13"/>
      <c r="F2240" s="14"/>
      <c r="G2240" s="8" t="str">
        <f>IF(OR(B2240="",E2240=""),"",IF(E2240="No","Missed",IF(F2240="","",IF(F2240&lt;=Settings!$B$7,"On time","Late"))))</f>
        <v/>
      </c>
      <c r="H2240" s="15"/>
      <c r="I2240" s="16"/>
      <c r="J2240" s="16"/>
      <c r="K2240" s="17" t="str">
        <f>IF(J2240="","",ROUND(J2240*Settings!$B$8,2))</f>
        <v/>
      </c>
      <c r="L2240" s="16"/>
      <c r="M2240" s="8" t="str">
        <f t="shared" si="34"/>
        <v/>
      </c>
      <c r="N2240" s="9"/>
    </row>
    <row r="2241" spans="1:14" ht="15.75">
      <c r="A2241" s="11"/>
      <c r="B2241" s="9"/>
      <c r="C2241" s="12" t="str">
        <f>IF(B2241="","",IFERROR(INDEX('Cashier Roster'!$C$5:$C$64,MATCH(B2241,'Cashier Roster'!$B$5:$B$64,0)),"Not on roster"))</f>
        <v/>
      </c>
      <c r="D2241" s="12" t="str">
        <f>IF(B2241="","",IFERROR(INDEX('Cashier Roster'!$D$5:$D$64,MATCH(B2241,'Cashier Roster'!$B$5:$B$64,0)),""))</f>
        <v/>
      </c>
      <c r="E2241" s="13"/>
      <c r="F2241" s="14"/>
      <c r="G2241" s="8" t="str">
        <f>IF(OR(B2241="",E2241=""),"",IF(E2241="No","Missed",IF(F2241="","",IF(F2241&lt;=Settings!$B$7,"On time","Late"))))</f>
        <v/>
      </c>
      <c r="H2241" s="15"/>
      <c r="I2241" s="16"/>
      <c r="J2241" s="16"/>
      <c r="K2241" s="17" t="str">
        <f>IF(J2241="","",ROUND(J2241*Settings!$B$8,2))</f>
        <v/>
      </c>
      <c r="L2241" s="16"/>
      <c r="M2241" s="8" t="str">
        <f t="shared" si="34"/>
        <v/>
      </c>
      <c r="N2241" s="9"/>
    </row>
    <row r="2242" spans="1:14" ht="15.75">
      <c r="A2242" s="11"/>
      <c r="B2242" s="9"/>
      <c r="C2242" s="12" t="str">
        <f>IF(B2242="","",IFERROR(INDEX('Cashier Roster'!$C$5:$C$64,MATCH(B2242,'Cashier Roster'!$B$5:$B$64,0)),"Not on roster"))</f>
        <v/>
      </c>
      <c r="D2242" s="12" t="str">
        <f>IF(B2242="","",IFERROR(INDEX('Cashier Roster'!$D$5:$D$64,MATCH(B2242,'Cashier Roster'!$B$5:$B$64,0)),""))</f>
        <v/>
      </c>
      <c r="E2242" s="13"/>
      <c r="F2242" s="14"/>
      <c r="G2242" s="8" t="str">
        <f>IF(OR(B2242="",E2242=""),"",IF(E2242="No","Missed",IF(F2242="","",IF(F2242&lt;=Settings!$B$7,"On time","Late"))))</f>
        <v/>
      </c>
      <c r="H2242" s="15"/>
      <c r="I2242" s="16"/>
      <c r="J2242" s="16"/>
      <c r="K2242" s="17" t="str">
        <f>IF(J2242="","",ROUND(J2242*Settings!$B$8,2))</f>
        <v/>
      </c>
      <c r="L2242" s="16"/>
      <c r="M2242" s="8" t="str">
        <f t="shared" si="34"/>
        <v/>
      </c>
      <c r="N2242" s="9"/>
    </row>
    <row r="2243" spans="1:14" ht="15.75">
      <c r="A2243" s="11"/>
      <c r="B2243" s="9"/>
      <c r="C2243" s="12" t="str">
        <f>IF(B2243="","",IFERROR(INDEX('Cashier Roster'!$C$5:$C$64,MATCH(B2243,'Cashier Roster'!$B$5:$B$64,0)),"Not on roster"))</f>
        <v/>
      </c>
      <c r="D2243" s="12" t="str">
        <f>IF(B2243="","",IFERROR(INDEX('Cashier Roster'!$D$5:$D$64,MATCH(B2243,'Cashier Roster'!$B$5:$B$64,0)),""))</f>
        <v/>
      </c>
      <c r="E2243" s="13"/>
      <c r="F2243" s="14"/>
      <c r="G2243" s="8" t="str">
        <f>IF(OR(B2243="",E2243=""),"",IF(E2243="No","Missed",IF(F2243="","",IF(F2243&lt;=Settings!$B$7,"On time","Late"))))</f>
        <v/>
      </c>
      <c r="H2243" s="15"/>
      <c r="I2243" s="16"/>
      <c r="J2243" s="16"/>
      <c r="K2243" s="17" t="str">
        <f>IF(J2243="","",ROUND(J2243*Settings!$B$8,2))</f>
        <v/>
      </c>
      <c r="L2243" s="16"/>
      <c r="M2243" s="8" t="str">
        <f t="shared" si="34"/>
        <v/>
      </c>
      <c r="N2243" s="9"/>
    </row>
    <row r="2244" spans="1:14" ht="15.75">
      <c r="A2244" s="11"/>
      <c r="B2244" s="9"/>
      <c r="C2244" s="12" t="str">
        <f>IF(B2244="","",IFERROR(INDEX('Cashier Roster'!$C$5:$C$64,MATCH(B2244,'Cashier Roster'!$B$5:$B$64,0)),"Not on roster"))</f>
        <v/>
      </c>
      <c r="D2244" s="12" t="str">
        <f>IF(B2244="","",IFERROR(INDEX('Cashier Roster'!$D$5:$D$64,MATCH(B2244,'Cashier Roster'!$B$5:$B$64,0)),""))</f>
        <v/>
      </c>
      <c r="E2244" s="13"/>
      <c r="F2244" s="14"/>
      <c r="G2244" s="8" t="str">
        <f>IF(OR(B2244="",E2244=""),"",IF(E2244="No","Missed",IF(F2244="","",IF(F2244&lt;=Settings!$B$7,"On time","Late"))))</f>
        <v/>
      </c>
      <c r="H2244" s="15"/>
      <c r="I2244" s="16"/>
      <c r="J2244" s="16"/>
      <c r="K2244" s="17" t="str">
        <f>IF(J2244="","",ROUND(J2244*Settings!$B$8,2))</f>
        <v/>
      </c>
      <c r="L2244" s="16"/>
      <c r="M2244" s="8" t="str">
        <f t="shared" si="34"/>
        <v/>
      </c>
      <c r="N2244" s="9"/>
    </row>
    <row r="2245" spans="1:14" ht="15.75">
      <c r="A2245" s="11"/>
      <c r="B2245" s="9"/>
      <c r="C2245" s="12" t="str">
        <f>IF(B2245="","",IFERROR(INDEX('Cashier Roster'!$C$5:$C$64,MATCH(B2245,'Cashier Roster'!$B$5:$B$64,0)),"Not on roster"))</f>
        <v/>
      </c>
      <c r="D2245" s="12" t="str">
        <f>IF(B2245="","",IFERROR(INDEX('Cashier Roster'!$D$5:$D$64,MATCH(B2245,'Cashier Roster'!$B$5:$B$64,0)),""))</f>
        <v/>
      </c>
      <c r="E2245" s="13"/>
      <c r="F2245" s="14"/>
      <c r="G2245" s="8" t="str">
        <f>IF(OR(B2245="",E2245=""),"",IF(E2245="No","Missed",IF(F2245="","",IF(F2245&lt;=Settings!$B$7,"On time","Late"))))</f>
        <v/>
      </c>
      <c r="H2245" s="15"/>
      <c r="I2245" s="16"/>
      <c r="J2245" s="16"/>
      <c r="K2245" s="17" t="str">
        <f>IF(J2245="","",ROUND(J2245*Settings!$B$8,2))</f>
        <v/>
      </c>
      <c r="L2245" s="16"/>
      <c r="M2245" s="8" t="str">
        <f t="shared" ref="M2245:M2308" si="35">IF(L2245="","",IF(L2245&lt;=0,"Yes","No"))</f>
        <v/>
      </c>
      <c r="N2245" s="9"/>
    </row>
    <row r="2246" spans="1:14" ht="15.75">
      <c r="A2246" s="11"/>
      <c r="B2246" s="9"/>
      <c r="C2246" s="12" t="str">
        <f>IF(B2246="","",IFERROR(INDEX('Cashier Roster'!$C$5:$C$64,MATCH(B2246,'Cashier Roster'!$B$5:$B$64,0)),"Not on roster"))</f>
        <v/>
      </c>
      <c r="D2246" s="12" t="str">
        <f>IF(B2246="","",IFERROR(INDEX('Cashier Roster'!$D$5:$D$64,MATCH(B2246,'Cashier Roster'!$B$5:$B$64,0)),""))</f>
        <v/>
      </c>
      <c r="E2246" s="13"/>
      <c r="F2246" s="14"/>
      <c r="G2246" s="8" t="str">
        <f>IF(OR(B2246="",E2246=""),"",IF(E2246="No","Missed",IF(F2246="","",IF(F2246&lt;=Settings!$B$7,"On time","Late"))))</f>
        <v/>
      </c>
      <c r="H2246" s="15"/>
      <c r="I2246" s="16"/>
      <c r="J2246" s="16"/>
      <c r="K2246" s="17" t="str">
        <f>IF(J2246="","",ROUND(J2246*Settings!$B$8,2))</f>
        <v/>
      </c>
      <c r="L2246" s="16"/>
      <c r="M2246" s="8" t="str">
        <f t="shared" si="35"/>
        <v/>
      </c>
      <c r="N2246" s="9"/>
    </row>
    <row r="2247" spans="1:14" ht="15.75">
      <c r="A2247" s="11"/>
      <c r="B2247" s="9"/>
      <c r="C2247" s="12" t="str">
        <f>IF(B2247="","",IFERROR(INDEX('Cashier Roster'!$C$5:$C$64,MATCH(B2247,'Cashier Roster'!$B$5:$B$64,0)),"Not on roster"))</f>
        <v/>
      </c>
      <c r="D2247" s="12" t="str">
        <f>IF(B2247="","",IFERROR(INDEX('Cashier Roster'!$D$5:$D$64,MATCH(B2247,'Cashier Roster'!$B$5:$B$64,0)),""))</f>
        <v/>
      </c>
      <c r="E2247" s="13"/>
      <c r="F2247" s="14"/>
      <c r="G2247" s="8" t="str">
        <f>IF(OR(B2247="",E2247=""),"",IF(E2247="No","Missed",IF(F2247="","",IF(F2247&lt;=Settings!$B$7,"On time","Late"))))</f>
        <v/>
      </c>
      <c r="H2247" s="15"/>
      <c r="I2247" s="16"/>
      <c r="J2247" s="16"/>
      <c r="K2247" s="17" t="str">
        <f>IF(J2247="","",ROUND(J2247*Settings!$B$8,2))</f>
        <v/>
      </c>
      <c r="L2247" s="16"/>
      <c r="M2247" s="8" t="str">
        <f t="shared" si="35"/>
        <v/>
      </c>
      <c r="N2247" s="9"/>
    </row>
    <row r="2248" spans="1:14" ht="15.75">
      <c r="A2248" s="11"/>
      <c r="B2248" s="9"/>
      <c r="C2248" s="12" t="str">
        <f>IF(B2248="","",IFERROR(INDEX('Cashier Roster'!$C$5:$C$64,MATCH(B2248,'Cashier Roster'!$B$5:$B$64,0)),"Not on roster"))</f>
        <v/>
      </c>
      <c r="D2248" s="12" t="str">
        <f>IF(B2248="","",IFERROR(INDEX('Cashier Roster'!$D$5:$D$64,MATCH(B2248,'Cashier Roster'!$B$5:$B$64,0)),""))</f>
        <v/>
      </c>
      <c r="E2248" s="13"/>
      <c r="F2248" s="14"/>
      <c r="G2248" s="8" t="str">
        <f>IF(OR(B2248="",E2248=""),"",IF(E2248="No","Missed",IF(F2248="","",IF(F2248&lt;=Settings!$B$7,"On time","Late"))))</f>
        <v/>
      </c>
      <c r="H2248" s="15"/>
      <c r="I2248" s="16"/>
      <c r="J2248" s="16"/>
      <c r="K2248" s="17" t="str">
        <f>IF(J2248="","",ROUND(J2248*Settings!$B$8,2))</f>
        <v/>
      </c>
      <c r="L2248" s="16"/>
      <c r="M2248" s="8" t="str">
        <f t="shared" si="35"/>
        <v/>
      </c>
      <c r="N2248" s="9"/>
    </row>
    <row r="2249" spans="1:14" ht="15.75">
      <c r="A2249" s="11"/>
      <c r="B2249" s="9"/>
      <c r="C2249" s="12" t="str">
        <f>IF(B2249="","",IFERROR(INDEX('Cashier Roster'!$C$5:$C$64,MATCH(B2249,'Cashier Roster'!$B$5:$B$64,0)),"Not on roster"))</f>
        <v/>
      </c>
      <c r="D2249" s="12" t="str">
        <f>IF(B2249="","",IFERROR(INDEX('Cashier Roster'!$D$5:$D$64,MATCH(B2249,'Cashier Roster'!$B$5:$B$64,0)),""))</f>
        <v/>
      </c>
      <c r="E2249" s="13"/>
      <c r="F2249" s="14"/>
      <c r="G2249" s="8" t="str">
        <f>IF(OR(B2249="",E2249=""),"",IF(E2249="No","Missed",IF(F2249="","",IF(F2249&lt;=Settings!$B$7,"On time","Late"))))</f>
        <v/>
      </c>
      <c r="H2249" s="15"/>
      <c r="I2249" s="16"/>
      <c r="J2249" s="16"/>
      <c r="K2249" s="17" t="str">
        <f>IF(J2249="","",ROUND(J2249*Settings!$B$8,2))</f>
        <v/>
      </c>
      <c r="L2249" s="16"/>
      <c r="M2249" s="8" t="str">
        <f t="shared" si="35"/>
        <v/>
      </c>
      <c r="N2249" s="9"/>
    </row>
    <row r="2250" spans="1:14" ht="15.75">
      <c r="A2250" s="11"/>
      <c r="B2250" s="9"/>
      <c r="C2250" s="12" t="str">
        <f>IF(B2250="","",IFERROR(INDEX('Cashier Roster'!$C$5:$C$64,MATCH(B2250,'Cashier Roster'!$B$5:$B$64,0)),"Not on roster"))</f>
        <v/>
      </c>
      <c r="D2250" s="12" t="str">
        <f>IF(B2250="","",IFERROR(INDEX('Cashier Roster'!$D$5:$D$64,MATCH(B2250,'Cashier Roster'!$B$5:$B$64,0)),""))</f>
        <v/>
      </c>
      <c r="E2250" s="13"/>
      <c r="F2250" s="14"/>
      <c r="G2250" s="8" t="str">
        <f>IF(OR(B2250="",E2250=""),"",IF(E2250="No","Missed",IF(F2250="","",IF(F2250&lt;=Settings!$B$7,"On time","Late"))))</f>
        <v/>
      </c>
      <c r="H2250" s="15"/>
      <c r="I2250" s="16"/>
      <c r="J2250" s="16"/>
      <c r="K2250" s="17" t="str">
        <f>IF(J2250="","",ROUND(J2250*Settings!$B$8,2))</f>
        <v/>
      </c>
      <c r="L2250" s="16"/>
      <c r="M2250" s="8" t="str">
        <f t="shared" si="35"/>
        <v/>
      </c>
      <c r="N2250" s="9"/>
    </row>
    <row r="2251" spans="1:14" ht="15.75">
      <c r="A2251" s="11"/>
      <c r="B2251" s="9"/>
      <c r="C2251" s="12" t="str">
        <f>IF(B2251="","",IFERROR(INDEX('Cashier Roster'!$C$5:$C$64,MATCH(B2251,'Cashier Roster'!$B$5:$B$64,0)),"Not on roster"))</f>
        <v/>
      </c>
      <c r="D2251" s="12" t="str">
        <f>IF(B2251="","",IFERROR(INDEX('Cashier Roster'!$D$5:$D$64,MATCH(B2251,'Cashier Roster'!$B$5:$B$64,0)),""))</f>
        <v/>
      </c>
      <c r="E2251" s="13"/>
      <c r="F2251" s="14"/>
      <c r="G2251" s="8" t="str">
        <f>IF(OR(B2251="",E2251=""),"",IF(E2251="No","Missed",IF(F2251="","",IF(F2251&lt;=Settings!$B$7,"On time","Late"))))</f>
        <v/>
      </c>
      <c r="H2251" s="15"/>
      <c r="I2251" s="16"/>
      <c r="J2251" s="16"/>
      <c r="K2251" s="17" t="str">
        <f>IF(J2251="","",ROUND(J2251*Settings!$B$8,2))</f>
        <v/>
      </c>
      <c r="L2251" s="16"/>
      <c r="M2251" s="8" t="str">
        <f t="shared" si="35"/>
        <v/>
      </c>
      <c r="N2251" s="9"/>
    </row>
    <row r="2252" spans="1:14" ht="15.75">
      <c r="A2252" s="11"/>
      <c r="B2252" s="9"/>
      <c r="C2252" s="12" t="str">
        <f>IF(B2252="","",IFERROR(INDEX('Cashier Roster'!$C$5:$C$64,MATCH(B2252,'Cashier Roster'!$B$5:$B$64,0)),"Not on roster"))</f>
        <v/>
      </c>
      <c r="D2252" s="12" t="str">
        <f>IF(B2252="","",IFERROR(INDEX('Cashier Roster'!$D$5:$D$64,MATCH(B2252,'Cashier Roster'!$B$5:$B$64,0)),""))</f>
        <v/>
      </c>
      <c r="E2252" s="13"/>
      <c r="F2252" s="14"/>
      <c r="G2252" s="8" t="str">
        <f>IF(OR(B2252="",E2252=""),"",IF(E2252="No","Missed",IF(F2252="","",IF(F2252&lt;=Settings!$B$7,"On time","Late"))))</f>
        <v/>
      </c>
      <c r="H2252" s="15"/>
      <c r="I2252" s="16"/>
      <c r="J2252" s="16"/>
      <c r="K2252" s="17" t="str">
        <f>IF(J2252="","",ROUND(J2252*Settings!$B$8,2))</f>
        <v/>
      </c>
      <c r="L2252" s="16"/>
      <c r="M2252" s="8" t="str">
        <f t="shared" si="35"/>
        <v/>
      </c>
      <c r="N2252" s="9"/>
    </row>
    <row r="2253" spans="1:14" ht="15.75">
      <c r="A2253" s="11"/>
      <c r="B2253" s="9"/>
      <c r="C2253" s="12" t="str">
        <f>IF(B2253="","",IFERROR(INDEX('Cashier Roster'!$C$5:$C$64,MATCH(B2253,'Cashier Roster'!$B$5:$B$64,0)),"Not on roster"))</f>
        <v/>
      </c>
      <c r="D2253" s="12" t="str">
        <f>IF(B2253="","",IFERROR(INDEX('Cashier Roster'!$D$5:$D$64,MATCH(B2253,'Cashier Roster'!$B$5:$B$64,0)),""))</f>
        <v/>
      </c>
      <c r="E2253" s="13"/>
      <c r="F2253" s="14"/>
      <c r="G2253" s="8" t="str">
        <f>IF(OR(B2253="",E2253=""),"",IF(E2253="No","Missed",IF(F2253="","",IF(F2253&lt;=Settings!$B$7,"On time","Late"))))</f>
        <v/>
      </c>
      <c r="H2253" s="15"/>
      <c r="I2253" s="16"/>
      <c r="J2253" s="16"/>
      <c r="K2253" s="17" t="str">
        <f>IF(J2253="","",ROUND(J2253*Settings!$B$8,2))</f>
        <v/>
      </c>
      <c r="L2253" s="16"/>
      <c r="M2253" s="8" t="str">
        <f t="shared" si="35"/>
        <v/>
      </c>
      <c r="N2253" s="9"/>
    </row>
    <row r="2254" spans="1:14" ht="15.75">
      <c r="A2254" s="11"/>
      <c r="B2254" s="9"/>
      <c r="C2254" s="12" t="str">
        <f>IF(B2254="","",IFERROR(INDEX('Cashier Roster'!$C$5:$C$64,MATCH(B2254,'Cashier Roster'!$B$5:$B$64,0)),"Not on roster"))</f>
        <v/>
      </c>
      <c r="D2254" s="12" t="str">
        <f>IF(B2254="","",IFERROR(INDEX('Cashier Roster'!$D$5:$D$64,MATCH(B2254,'Cashier Roster'!$B$5:$B$64,0)),""))</f>
        <v/>
      </c>
      <c r="E2254" s="13"/>
      <c r="F2254" s="14"/>
      <c r="G2254" s="8" t="str">
        <f>IF(OR(B2254="",E2254=""),"",IF(E2254="No","Missed",IF(F2254="","",IF(F2254&lt;=Settings!$B$7,"On time","Late"))))</f>
        <v/>
      </c>
      <c r="H2254" s="15"/>
      <c r="I2254" s="16"/>
      <c r="J2254" s="16"/>
      <c r="K2254" s="17" t="str">
        <f>IF(J2254="","",ROUND(J2254*Settings!$B$8,2))</f>
        <v/>
      </c>
      <c r="L2254" s="16"/>
      <c r="M2254" s="8" t="str">
        <f t="shared" si="35"/>
        <v/>
      </c>
      <c r="N2254" s="9"/>
    </row>
    <row r="2255" spans="1:14" ht="15.75">
      <c r="A2255" s="11"/>
      <c r="B2255" s="9"/>
      <c r="C2255" s="12" t="str">
        <f>IF(B2255="","",IFERROR(INDEX('Cashier Roster'!$C$5:$C$64,MATCH(B2255,'Cashier Roster'!$B$5:$B$64,0)),"Not on roster"))</f>
        <v/>
      </c>
      <c r="D2255" s="12" t="str">
        <f>IF(B2255="","",IFERROR(INDEX('Cashier Roster'!$D$5:$D$64,MATCH(B2255,'Cashier Roster'!$B$5:$B$64,0)),""))</f>
        <v/>
      </c>
      <c r="E2255" s="13"/>
      <c r="F2255" s="14"/>
      <c r="G2255" s="8" t="str">
        <f>IF(OR(B2255="",E2255=""),"",IF(E2255="No","Missed",IF(F2255="","",IF(F2255&lt;=Settings!$B$7,"On time","Late"))))</f>
        <v/>
      </c>
      <c r="H2255" s="15"/>
      <c r="I2255" s="16"/>
      <c r="J2255" s="16"/>
      <c r="K2255" s="17" t="str">
        <f>IF(J2255="","",ROUND(J2255*Settings!$B$8,2))</f>
        <v/>
      </c>
      <c r="L2255" s="16"/>
      <c r="M2255" s="8" t="str">
        <f t="shared" si="35"/>
        <v/>
      </c>
      <c r="N2255" s="9"/>
    </row>
    <row r="2256" spans="1:14" ht="15.75">
      <c r="A2256" s="11"/>
      <c r="B2256" s="9"/>
      <c r="C2256" s="12" t="str">
        <f>IF(B2256="","",IFERROR(INDEX('Cashier Roster'!$C$5:$C$64,MATCH(B2256,'Cashier Roster'!$B$5:$B$64,0)),"Not on roster"))</f>
        <v/>
      </c>
      <c r="D2256" s="12" t="str">
        <f>IF(B2256="","",IFERROR(INDEX('Cashier Roster'!$D$5:$D$64,MATCH(B2256,'Cashier Roster'!$B$5:$B$64,0)),""))</f>
        <v/>
      </c>
      <c r="E2256" s="13"/>
      <c r="F2256" s="14"/>
      <c r="G2256" s="8" t="str">
        <f>IF(OR(B2256="",E2256=""),"",IF(E2256="No","Missed",IF(F2256="","",IF(F2256&lt;=Settings!$B$7,"On time","Late"))))</f>
        <v/>
      </c>
      <c r="H2256" s="15"/>
      <c r="I2256" s="16"/>
      <c r="J2256" s="16"/>
      <c r="K2256" s="17" t="str">
        <f>IF(J2256="","",ROUND(J2256*Settings!$B$8,2))</f>
        <v/>
      </c>
      <c r="L2256" s="16"/>
      <c r="M2256" s="8" t="str">
        <f t="shared" si="35"/>
        <v/>
      </c>
      <c r="N2256" s="9"/>
    </row>
    <row r="2257" spans="1:14" ht="15.75">
      <c r="A2257" s="11"/>
      <c r="B2257" s="9"/>
      <c r="C2257" s="12" t="str">
        <f>IF(B2257="","",IFERROR(INDEX('Cashier Roster'!$C$5:$C$64,MATCH(B2257,'Cashier Roster'!$B$5:$B$64,0)),"Not on roster"))</f>
        <v/>
      </c>
      <c r="D2257" s="12" t="str">
        <f>IF(B2257="","",IFERROR(INDEX('Cashier Roster'!$D$5:$D$64,MATCH(B2257,'Cashier Roster'!$B$5:$B$64,0)),""))</f>
        <v/>
      </c>
      <c r="E2257" s="13"/>
      <c r="F2257" s="14"/>
      <c r="G2257" s="8" t="str">
        <f>IF(OR(B2257="",E2257=""),"",IF(E2257="No","Missed",IF(F2257="","",IF(F2257&lt;=Settings!$B$7,"On time","Late"))))</f>
        <v/>
      </c>
      <c r="H2257" s="15"/>
      <c r="I2257" s="16"/>
      <c r="J2257" s="16"/>
      <c r="K2257" s="17" t="str">
        <f>IF(J2257="","",ROUND(J2257*Settings!$B$8,2))</f>
        <v/>
      </c>
      <c r="L2257" s="16"/>
      <c r="M2257" s="8" t="str">
        <f t="shared" si="35"/>
        <v/>
      </c>
      <c r="N2257" s="9"/>
    </row>
    <row r="2258" spans="1:14" ht="15.75">
      <c r="A2258" s="11"/>
      <c r="B2258" s="9"/>
      <c r="C2258" s="12" t="str">
        <f>IF(B2258="","",IFERROR(INDEX('Cashier Roster'!$C$5:$C$64,MATCH(B2258,'Cashier Roster'!$B$5:$B$64,0)),"Not on roster"))</f>
        <v/>
      </c>
      <c r="D2258" s="12" t="str">
        <f>IF(B2258="","",IFERROR(INDEX('Cashier Roster'!$D$5:$D$64,MATCH(B2258,'Cashier Roster'!$B$5:$B$64,0)),""))</f>
        <v/>
      </c>
      <c r="E2258" s="13"/>
      <c r="F2258" s="14"/>
      <c r="G2258" s="8" t="str">
        <f>IF(OR(B2258="",E2258=""),"",IF(E2258="No","Missed",IF(F2258="","",IF(F2258&lt;=Settings!$B$7,"On time","Late"))))</f>
        <v/>
      </c>
      <c r="H2258" s="15"/>
      <c r="I2258" s="16"/>
      <c r="J2258" s="16"/>
      <c r="K2258" s="17" t="str">
        <f>IF(J2258="","",ROUND(J2258*Settings!$B$8,2))</f>
        <v/>
      </c>
      <c r="L2258" s="16"/>
      <c r="M2258" s="8" t="str">
        <f t="shared" si="35"/>
        <v/>
      </c>
      <c r="N2258" s="9"/>
    </row>
    <row r="2259" spans="1:14" ht="15.75">
      <c r="A2259" s="11"/>
      <c r="B2259" s="9"/>
      <c r="C2259" s="12" t="str">
        <f>IF(B2259="","",IFERROR(INDEX('Cashier Roster'!$C$5:$C$64,MATCH(B2259,'Cashier Roster'!$B$5:$B$64,0)),"Not on roster"))</f>
        <v/>
      </c>
      <c r="D2259" s="12" t="str">
        <f>IF(B2259="","",IFERROR(INDEX('Cashier Roster'!$D$5:$D$64,MATCH(B2259,'Cashier Roster'!$B$5:$B$64,0)),""))</f>
        <v/>
      </c>
      <c r="E2259" s="13"/>
      <c r="F2259" s="14"/>
      <c r="G2259" s="8" t="str">
        <f>IF(OR(B2259="",E2259=""),"",IF(E2259="No","Missed",IF(F2259="","",IF(F2259&lt;=Settings!$B$7,"On time","Late"))))</f>
        <v/>
      </c>
      <c r="H2259" s="15"/>
      <c r="I2259" s="16"/>
      <c r="J2259" s="16"/>
      <c r="K2259" s="17" t="str">
        <f>IF(J2259="","",ROUND(J2259*Settings!$B$8,2))</f>
        <v/>
      </c>
      <c r="L2259" s="16"/>
      <c r="M2259" s="8" t="str">
        <f t="shared" si="35"/>
        <v/>
      </c>
      <c r="N2259" s="9"/>
    </row>
    <row r="2260" spans="1:14" ht="15.75">
      <c r="A2260" s="11"/>
      <c r="B2260" s="9"/>
      <c r="C2260" s="12" t="str">
        <f>IF(B2260="","",IFERROR(INDEX('Cashier Roster'!$C$5:$C$64,MATCH(B2260,'Cashier Roster'!$B$5:$B$64,0)),"Not on roster"))</f>
        <v/>
      </c>
      <c r="D2260" s="12" t="str">
        <f>IF(B2260="","",IFERROR(INDEX('Cashier Roster'!$D$5:$D$64,MATCH(B2260,'Cashier Roster'!$B$5:$B$64,0)),""))</f>
        <v/>
      </c>
      <c r="E2260" s="13"/>
      <c r="F2260" s="14"/>
      <c r="G2260" s="8" t="str">
        <f>IF(OR(B2260="",E2260=""),"",IF(E2260="No","Missed",IF(F2260="","",IF(F2260&lt;=Settings!$B$7,"On time","Late"))))</f>
        <v/>
      </c>
      <c r="H2260" s="15"/>
      <c r="I2260" s="16"/>
      <c r="J2260" s="16"/>
      <c r="K2260" s="17" t="str">
        <f>IF(J2260="","",ROUND(J2260*Settings!$B$8,2))</f>
        <v/>
      </c>
      <c r="L2260" s="16"/>
      <c r="M2260" s="8" t="str">
        <f t="shared" si="35"/>
        <v/>
      </c>
      <c r="N2260" s="9"/>
    </row>
    <row r="2261" spans="1:14" ht="15.75">
      <c r="A2261" s="11"/>
      <c r="B2261" s="9"/>
      <c r="C2261" s="12" t="str">
        <f>IF(B2261="","",IFERROR(INDEX('Cashier Roster'!$C$5:$C$64,MATCH(B2261,'Cashier Roster'!$B$5:$B$64,0)),"Not on roster"))</f>
        <v/>
      </c>
      <c r="D2261" s="12" t="str">
        <f>IF(B2261="","",IFERROR(INDEX('Cashier Roster'!$D$5:$D$64,MATCH(B2261,'Cashier Roster'!$B$5:$B$64,0)),""))</f>
        <v/>
      </c>
      <c r="E2261" s="13"/>
      <c r="F2261" s="14"/>
      <c r="G2261" s="8" t="str">
        <f>IF(OR(B2261="",E2261=""),"",IF(E2261="No","Missed",IF(F2261="","",IF(F2261&lt;=Settings!$B$7,"On time","Late"))))</f>
        <v/>
      </c>
      <c r="H2261" s="15"/>
      <c r="I2261" s="16"/>
      <c r="J2261" s="16"/>
      <c r="K2261" s="17" t="str">
        <f>IF(J2261="","",ROUND(J2261*Settings!$B$8,2))</f>
        <v/>
      </c>
      <c r="L2261" s="16"/>
      <c r="M2261" s="8" t="str">
        <f t="shared" si="35"/>
        <v/>
      </c>
      <c r="N2261" s="9"/>
    </row>
    <row r="2262" spans="1:14" ht="15.75">
      <c r="A2262" s="11"/>
      <c r="B2262" s="9"/>
      <c r="C2262" s="12" t="str">
        <f>IF(B2262="","",IFERROR(INDEX('Cashier Roster'!$C$5:$C$64,MATCH(B2262,'Cashier Roster'!$B$5:$B$64,0)),"Not on roster"))</f>
        <v/>
      </c>
      <c r="D2262" s="12" t="str">
        <f>IF(B2262="","",IFERROR(INDEX('Cashier Roster'!$D$5:$D$64,MATCH(B2262,'Cashier Roster'!$B$5:$B$64,0)),""))</f>
        <v/>
      </c>
      <c r="E2262" s="13"/>
      <c r="F2262" s="14"/>
      <c r="G2262" s="8" t="str">
        <f>IF(OR(B2262="",E2262=""),"",IF(E2262="No","Missed",IF(F2262="","",IF(F2262&lt;=Settings!$B$7,"On time","Late"))))</f>
        <v/>
      </c>
      <c r="H2262" s="15"/>
      <c r="I2262" s="16"/>
      <c r="J2262" s="16"/>
      <c r="K2262" s="17" t="str">
        <f>IF(J2262="","",ROUND(J2262*Settings!$B$8,2))</f>
        <v/>
      </c>
      <c r="L2262" s="16"/>
      <c r="M2262" s="8" t="str">
        <f t="shared" si="35"/>
        <v/>
      </c>
      <c r="N2262" s="9"/>
    </row>
    <row r="2263" spans="1:14" ht="15.75">
      <c r="A2263" s="11"/>
      <c r="B2263" s="9"/>
      <c r="C2263" s="12" t="str">
        <f>IF(B2263="","",IFERROR(INDEX('Cashier Roster'!$C$5:$C$64,MATCH(B2263,'Cashier Roster'!$B$5:$B$64,0)),"Not on roster"))</f>
        <v/>
      </c>
      <c r="D2263" s="12" t="str">
        <f>IF(B2263="","",IFERROR(INDEX('Cashier Roster'!$D$5:$D$64,MATCH(B2263,'Cashier Roster'!$B$5:$B$64,0)),""))</f>
        <v/>
      </c>
      <c r="E2263" s="13"/>
      <c r="F2263" s="14"/>
      <c r="G2263" s="8" t="str">
        <f>IF(OR(B2263="",E2263=""),"",IF(E2263="No","Missed",IF(F2263="","",IF(F2263&lt;=Settings!$B$7,"On time","Late"))))</f>
        <v/>
      </c>
      <c r="H2263" s="15"/>
      <c r="I2263" s="16"/>
      <c r="J2263" s="16"/>
      <c r="K2263" s="17" t="str">
        <f>IF(J2263="","",ROUND(J2263*Settings!$B$8,2))</f>
        <v/>
      </c>
      <c r="L2263" s="16"/>
      <c r="M2263" s="8" t="str">
        <f t="shared" si="35"/>
        <v/>
      </c>
      <c r="N2263" s="9"/>
    </row>
    <row r="2264" spans="1:14" ht="15.75">
      <c r="A2264" s="11"/>
      <c r="B2264" s="9"/>
      <c r="C2264" s="12" t="str">
        <f>IF(B2264="","",IFERROR(INDEX('Cashier Roster'!$C$5:$C$64,MATCH(B2264,'Cashier Roster'!$B$5:$B$64,0)),"Not on roster"))</f>
        <v/>
      </c>
      <c r="D2264" s="12" t="str">
        <f>IF(B2264="","",IFERROR(INDEX('Cashier Roster'!$D$5:$D$64,MATCH(B2264,'Cashier Roster'!$B$5:$B$64,0)),""))</f>
        <v/>
      </c>
      <c r="E2264" s="13"/>
      <c r="F2264" s="14"/>
      <c r="G2264" s="8" t="str">
        <f>IF(OR(B2264="",E2264=""),"",IF(E2264="No","Missed",IF(F2264="","",IF(F2264&lt;=Settings!$B$7,"On time","Late"))))</f>
        <v/>
      </c>
      <c r="H2264" s="15"/>
      <c r="I2264" s="16"/>
      <c r="J2264" s="16"/>
      <c r="K2264" s="17" t="str">
        <f>IF(J2264="","",ROUND(J2264*Settings!$B$8,2))</f>
        <v/>
      </c>
      <c r="L2264" s="16"/>
      <c r="M2264" s="8" t="str">
        <f t="shared" si="35"/>
        <v/>
      </c>
      <c r="N2264" s="9"/>
    </row>
    <row r="2265" spans="1:14" ht="15.75">
      <c r="A2265" s="11"/>
      <c r="B2265" s="9"/>
      <c r="C2265" s="12" t="str">
        <f>IF(B2265="","",IFERROR(INDEX('Cashier Roster'!$C$5:$C$64,MATCH(B2265,'Cashier Roster'!$B$5:$B$64,0)),"Not on roster"))</f>
        <v/>
      </c>
      <c r="D2265" s="12" t="str">
        <f>IF(B2265="","",IFERROR(INDEX('Cashier Roster'!$D$5:$D$64,MATCH(B2265,'Cashier Roster'!$B$5:$B$64,0)),""))</f>
        <v/>
      </c>
      <c r="E2265" s="13"/>
      <c r="F2265" s="14"/>
      <c r="G2265" s="8" t="str">
        <f>IF(OR(B2265="",E2265=""),"",IF(E2265="No","Missed",IF(F2265="","",IF(F2265&lt;=Settings!$B$7,"On time","Late"))))</f>
        <v/>
      </c>
      <c r="H2265" s="15"/>
      <c r="I2265" s="16"/>
      <c r="J2265" s="16"/>
      <c r="K2265" s="17" t="str">
        <f>IF(J2265="","",ROUND(J2265*Settings!$B$8,2))</f>
        <v/>
      </c>
      <c r="L2265" s="16"/>
      <c r="M2265" s="8" t="str">
        <f t="shared" si="35"/>
        <v/>
      </c>
      <c r="N2265" s="9"/>
    </row>
    <row r="2266" spans="1:14" ht="15.75">
      <c r="A2266" s="11"/>
      <c r="B2266" s="9"/>
      <c r="C2266" s="12" t="str">
        <f>IF(B2266="","",IFERROR(INDEX('Cashier Roster'!$C$5:$C$64,MATCH(B2266,'Cashier Roster'!$B$5:$B$64,0)),"Not on roster"))</f>
        <v/>
      </c>
      <c r="D2266" s="12" t="str">
        <f>IF(B2266="","",IFERROR(INDEX('Cashier Roster'!$D$5:$D$64,MATCH(B2266,'Cashier Roster'!$B$5:$B$64,0)),""))</f>
        <v/>
      </c>
      <c r="E2266" s="13"/>
      <c r="F2266" s="14"/>
      <c r="G2266" s="8" t="str">
        <f>IF(OR(B2266="",E2266=""),"",IF(E2266="No","Missed",IF(F2266="","",IF(F2266&lt;=Settings!$B$7,"On time","Late"))))</f>
        <v/>
      </c>
      <c r="H2266" s="15"/>
      <c r="I2266" s="16"/>
      <c r="J2266" s="16"/>
      <c r="K2266" s="17" t="str">
        <f>IF(J2266="","",ROUND(J2266*Settings!$B$8,2))</f>
        <v/>
      </c>
      <c r="L2266" s="16"/>
      <c r="M2266" s="8" t="str">
        <f t="shared" si="35"/>
        <v/>
      </c>
      <c r="N2266" s="9"/>
    </row>
    <row r="2267" spans="1:14" ht="15.75">
      <c r="A2267" s="11"/>
      <c r="B2267" s="9"/>
      <c r="C2267" s="12" t="str">
        <f>IF(B2267="","",IFERROR(INDEX('Cashier Roster'!$C$5:$C$64,MATCH(B2267,'Cashier Roster'!$B$5:$B$64,0)),"Not on roster"))</f>
        <v/>
      </c>
      <c r="D2267" s="12" t="str">
        <f>IF(B2267="","",IFERROR(INDEX('Cashier Roster'!$D$5:$D$64,MATCH(B2267,'Cashier Roster'!$B$5:$B$64,0)),""))</f>
        <v/>
      </c>
      <c r="E2267" s="13"/>
      <c r="F2267" s="14"/>
      <c r="G2267" s="8" t="str">
        <f>IF(OR(B2267="",E2267=""),"",IF(E2267="No","Missed",IF(F2267="","",IF(F2267&lt;=Settings!$B$7,"On time","Late"))))</f>
        <v/>
      </c>
      <c r="H2267" s="15"/>
      <c r="I2267" s="16"/>
      <c r="J2267" s="16"/>
      <c r="K2267" s="17" t="str">
        <f>IF(J2267="","",ROUND(J2267*Settings!$B$8,2))</f>
        <v/>
      </c>
      <c r="L2267" s="16"/>
      <c r="M2267" s="8" t="str">
        <f t="shared" si="35"/>
        <v/>
      </c>
      <c r="N2267" s="9"/>
    </row>
    <row r="2268" spans="1:14" ht="15.75">
      <c r="A2268" s="11"/>
      <c r="B2268" s="9"/>
      <c r="C2268" s="12" t="str">
        <f>IF(B2268="","",IFERROR(INDEX('Cashier Roster'!$C$5:$C$64,MATCH(B2268,'Cashier Roster'!$B$5:$B$64,0)),"Not on roster"))</f>
        <v/>
      </c>
      <c r="D2268" s="12" t="str">
        <f>IF(B2268="","",IFERROR(INDEX('Cashier Roster'!$D$5:$D$64,MATCH(B2268,'Cashier Roster'!$B$5:$B$64,0)),""))</f>
        <v/>
      </c>
      <c r="E2268" s="13"/>
      <c r="F2268" s="14"/>
      <c r="G2268" s="8" t="str">
        <f>IF(OR(B2268="",E2268=""),"",IF(E2268="No","Missed",IF(F2268="","",IF(F2268&lt;=Settings!$B$7,"On time","Late"))))</f>
        <v/>
      </c>
      <c r="H2268" s="15"/>
      <c r="I2268" s="16"/>
      <c r="J2268" s="16"/>
      <c r="K2268" s="17" t="str">
        <f>IF(J2268="","",ROUND(J2268*Settings!$B$8,2))</f>
        <v/>
      </c>
      <c r="L2268" s="16"/>
      <c r="M2268" s="8" t="str">
        <f t="shared" si="35"/>
        <v/>
      </c>
      <c r="N2268" s="9"/>
    </row>
    <row r="2269" spans="1:14" ht="15.75">
      <c r="A2269" s="11"/>
      <c r="B2269" s="9"/>
      <c r="C2269" s="12" t="str">
        <f>IF(B2269="","",IFERROR(INDEX('Cashier Roster'!$C$5:$C$64,MATCH(B2269,'Cashier Roster'!$B$5:$B$64,0)),"Not on roster"))</f>
        <v/>
      </c>
      <c r="D2269" s="12" t="str">
        <f>IF(B2269="","",IFERROR(INDEX('Cashier Roster'!$D$5:$D$64,MATCH(B2269,'Cashier Roster'!$B$5:$B$64,0)),""))</f>
        <v/>
      </c>
      <c r="E2269" s="13"/>
      <c r="F2269" s="14"/>
      <c r="G2269" s="8" t="str">
        <f>IF(OR(B2269="",E2269=""),"",IF(E2269="No","Missed",IF(F2269="","",IF(F2269&lt;=Settings!$B$7,"On time","Late"))))</f>
        <v/>
      </c>
      <c r="H2269" s="15"/>
      <c r="I2269" s="16"/>
      <c r="J2269" s="16"/>
      <c r="K2269" s="17" t="str">
        <f>IF(J2269="","",ROUND(J2269*Settings!$B$8,2))</f>
        <v/>
      </c>
      <c r="L2269" s="16"/>
      <c r="M2269" s="8" t="str">
        <f t="shared" si="35"/>
        <v/>
      </c>
      <c r="N2269" s="9"/>
    </row>
    <row r="2270" spans="1:14" ht="15.75">
      <c r="A2270" s="11"/>
      <c r="B2270" s="9"/>
      <c r="C2270" s="12" t="str">
        <f>IF(B2270="","",IFERROR(INDEX('Cashier Roster'!$C$5:$C$64,MATCH(B2270,'Cashier Roster'!$B$5:$B$64,0)),"Not on roster"))</f>
        <v/>
      </c>
      <c r="D2270" s="12" t="str">
        <f>IF(B2270="","",IFERROR(INDEX('Cashier Roster'!$D$5:$D$64,MATCH(B2270,'Cashier Roster'!$B$5:$B$64,0)),""))</f>
        <v/>
      </c>
      <c r="E2270" s="13"/>
      <c r="F2270" s="14"/>
      <c r="G2270" s="8" t="str">
        <f>IF(OR(B2270="",E2270=""),"",IF(E2270="No","Missed",IF(F2270="","",IF(F2270&lt;=Settings!$B$7,"On time","Late"))))</f>
        <v/>
      </c>
      <c r="H2270" s="15"/>
      <c r="I2270" s="16"/>
      <c r="J2270" s="16"/>
      <c r="K2270" s="17" t="str">
        <f>IF(J2270="","",ROUND(J2270*Settings!$B$8,2))</f>
        <v/>
      </c>
      <c r="L2270" s="16"/>
      <c r="M2270" s="8" t="str">
        <f t="shared" si="35"/>
        <v/>
      </c>
      <c r="N2270" s="9"/>
    </row>
    <row r="2271" spans="1:14" ht="15.75">
      <c r="A2271" s="11"/>
      <c r="B2271" s="9"/>
      <c r="C2271" s="12" t="str">
        <f>IF(B2271="","",IFERROR(INDEX('Cashier Roster'!$C$5:$C$64,MATCH(B2271,'Cashier Roster'!$B$5:$B$64,0)),"Not on roster"))</f>
        <v/>
      </c>
      <c r="D2271" s="12" t="str">
        <f>IF(B2271="","",IFERROR(INDEX('Cashier Roster'!$D$5:$D$64,MATCH(B2271,'Cashier Roster'!$B$5:$B$64,0)),""))</f>
        <v/>
      </c>
      <c r="E2271" s="13"/>
      <c r="F2271" s="14"/>
      <c r="G2271" s="8" t="str">
        <f>IF(OR(B2271="",E2271=""),"",IF(E2271="No","Missed",IF(F2271="","",IF(F2271&lt;=Settings!$B$7,"On time","Late"))))</f>
        <v/>
      </c>
      <c r="H2271" s="15"/>
      <c r="I2271" s="16"/>
      <c r="J2271" s="16"/>
      <c r="K2271" s="17" t="str">
        <f>IF(J2271="","",ROUND(J2271*Settings!$B$8,2))</f>
        <v/>
      </c>
      <c r="L2271" s="16"/>
      <c r="M2271" s="8" t="str">
        <f t="shared" si="35"/>
        <v/>
      </c>
      <c r="N2271" s="9"/>
    </row>
    <row r="2272" spans="1:14" ht="15.75">
      <c r="A2272" s="11"/>
      <c r="B2272" s="9"/>
      <c r="C2272" s="12" t="str">
        <f>IF(B2272="","",IFERROR(INDEX('Cashier Roster'!$C$5:$C$64,MATCH(B2272,'Cashier Roster'!$B$5:$B$64,0)),"Not on roster"))</f>
        <v/>
      </c>
      <c r="D2272" s="12" t="str">
        <f>IF(B2272="","",IFERROR(INDEX('Cashier Roster'!$D$5:$D$64,MATCH(B2272,'Cashier Roster'!$B$5:$B$64,0)),""))</f>
        <v/>
      </c>
      <c r="E2272" s="13"/>
      <c r="F2272" s="14"/>
      <c r="G2272" s="8" t="str">
        <f>IF(OR(B2272="",E2272=""),"",IF(E2272="No","Missed",IF(F2272="","",IF(F2272&lt;=Settings!$B$7,"On time","Late"))))</f>
        <v/>
      </c>
      <c r="H2272" s="15"/>
      <c r="I2272" s="16"/>
      <c r="J2272" s="16"/>
      <c r="K2272" s="17" t="str">
        <f>IF(J2272="","",ROUND(J2272*Settings!$B$8,2))</f>
        <v/>
      </c>
      <c r="L2272" s="16"/>
      <c r="M2272" s="8" t="str">
        <f t="shared" si="35"/>
        <v/>
      </c>
      <c r="N2272" s="9"/>
    </row>
    <row r="2273" spans="1:14" ht="15.75">
      <c r="A2273" s="11"/>
      <c r="B2273" s="9"/>
      <c r="C2273" s="12" t="str">
        <f>IF(B2273="","",IFERROR(INDEX('Cashier Roster'!$C$5:$C$64,MATCH(B2273,'Cashier Roster'!$B$5:$B$64,0)),"Not on roster"))</f>
        <v/>
      </c>
      <c r="D2273" s="12" t="str">
        <f>IF(B2273="","",IFERROR(INDEX('Cashier Roster'!$D$5:$D$64,MATCH(B2273,'Cashier Roster'!$B$5:$B$64,0)),""))</f>
        <v/>
      </c>
      <c r="E2273" s="13"/>
      <c r="F2273" s="14"/>
      <c r="G2273" s="8" t="str">
        <f>IF(OR(B2273="",E2273=""),"",IF(E2273="No","Missed",IF(F2273="","",IF(F2273&lt;=Settings!$B$7,"On time","Late"))))</f>
        <v/>
      </c>
      <c r="H2273" s="15"/>
      <c r="I2273" s="16"/>
      <c r="J2273" s="16"/>
      <c r="K2273" s="17" t="str">
        <f>IF(J2273="","",ROUND(J2273*Settings!$B$8,2))</f>
        <v/>
      </c>
      <c r="L2273" s="16"/>
      <c r="M2273" s="8" t="str">
        <f t="shared" si="35"/>
        <v/>
      </c>
      <c r="N2273" s="9"/>
    </row>
    <row r="2274" spans="1:14" ht="15.75">
      <c r="A2274" s="11"/>
      <c r="B2274" s="9"/>
      <c r="C2274" s="12" t="str">
        <f>IF(B2274="","",IFERROR(INDEX('Cashier Roster'!$C$5:$C$64,MATCH(B2274,'Cashier Roster'!$B$5:$B$64,0)),"Not on roster"))</f>
        <v/>
      </c>
      <c r="D2274" s="12" t="str">
        <f>IF(B2274="","",IFERROR(INDEX('Cashier Roster'!$D$5:$D$64,MATCH(B2274,'Cashier Roster'!$B$5:$B$64,0)),""))</f>
        <v/>
      </c>
      <c r="E2274" s="13"/>
      <c r="F2274" s="14"/>
      <c r="G2274" s="8" t="str">
        <f>IF(OR(B2274="",E2274=""),"",IF(E2274="No","Missed",IF(F2274="","",IF(F2274&lt;=Settings!$B$7,"On time","Late"))))</f>
        <v/>
      </c>
      <c r="H2274" s="15"/>
      <c r="I2274" s="16"/>
      <c r="J2274" s="16"/>
      <c r="K2274" s="17" t="str">
        <f>IF(J2274="","",ROUND(J2274*Settings!$B$8,2))</f>
        <v/>
      </c>
      <c r="L2274" s="16"/>
      <c r="M2274" s="8" t="str">
        <f t="shared" si="35"/>
        <v/>
      </c>
      <c r="N2274" s="9"/>
    </row>
    <row r="2275" spans="1:14" ht="15.75">
      <c r="A2275" s="11"/>
      <c r="B2275" s="9"/>
      <c r="C2275" s="12" t="str">
        <f>IF(B2275="","",IFERROR(INDEX('Cashier Roster'!$C$5:$C$64,MATCH(B2275,'Cashier Roster'!$B$5:$B$64,0)),"Not on roster"))</f>
        <v/>
      </c>
      <c r="D2275" s="12" t="str">
        <f>IF(B2275="","",IFERROR(INDEX('Cashier Roster'!$D$5:$D$64,MATCH(B2275,'Cashier Roster'!$B$5:$B$64,0)),""))</f>
        <v/>
      </c>
      <c r="E2275" s="13"/>
      <c r="F2275" s="14"/>
      <c r="G2275" s="8" t="str">
        <f>IF(OR(B2275="",E2275=""),"",IF(E2275="No","Missed",IF(F2275="","",IF(F2275&lt;=Settings!$B$7,"On time","Late"))))</f>
        <v/>
      </c>
      <c r="H2275" s="15"/>
      <c r="I2275" s="16"/>
      <c r="J2275" s="16"/>
      <c r="K2275" s="17" t="str">
        <f>IF(J2275="","",ROUND(J2275*Settings!$B$8,2))</f>
        <v/>
      </c>
      <c r="L2275" s="16"/>
      <c r="M2275" s="8" t="str">
        <f t="shared" si="35"/>
        <v/>
      </c>
      <c r="N2275" s="9"/>
    </row>
    <row r="2276" spans="1:14" ht="15.75">
      <c r="A2276" s="11"/>
      <c r="B2276" s="9"/>
      <c r="C2276" s="12" t="str">
        <f>IF(B2276="","",IFERROR(INDEX('Cashier Roster'!$C$5:$C$64,MATCH(B2276,'Cashier Roster'!$B$5:$B$64,0)),"Not on roster"))</f>
        <v/>
      </c>
      <c r="D2276" s="12" t="str">
        <f>IF(B2276="","",IFERROR(INDEX('Cashier Roster'!$D$5:$D$64,MATCH(B2276,'Cashier Roster'!$B$5:$B$64,0)),""))</f>
        <v/>
      </c>
      <c r="E2276" s="13"/>
      <c r="F2276" s="14"/>
      <c r="G2276" s="8" t="str">
        <f>IF(OR(B2276="",E2276=""),"",IF(E2276="No","Missed",IF(F2276="","",IF(F2276&lt;=Settings!$B$7,"On time","Late"))))</f>
        <v/>
      </c>
      <c r="H2276" s="15"/>
      <c r="I2276" s="16"/>
      <c r="J2276" s="16"/>
      <c r="K2276" s="17" t="str">
        <f>IF(J2276="","",ROUND(J2276*Settings!$B$8,2))</f>
        <v/>
      </c>
      <c r="L2276" s="16"/>
      <c r="M2276" s="8" t="str">
        <f t="shared" si="35"/>
        <v/>
      </c>
      <c r="N2276" s="9"/>
    </row>
    <row r="2277" spans="1:14" ht="15.75">
      <c r="A2277" s="11"/>
      <c r="B2277" s="9"/>
      <c r="C2277" s="12" t="str">
        <f>IF(B2277="","",IFERROR(INDEX('Cashier Roster'!$C$5:$C$64,MATCH(B2277,'Cashier Roster'!$B$5:$B$64,0)),"Not on roster"))</f>
        <v/>
      </c>
      <c r="D2277" s="12" t="str">
        <f>IF(B2277="","",IFERROR(INDEX('Cashier Roster'!$D$5:$D$64,MATCH(B2277,'Cashier Roster'!$B$5:$B$64,0)),""))</f>
        <v/>
      </c>
      <c r="E2277" s="13"/>
      <c r="F2277" s="14"/>
      <c r="G2277" s="8" t="str">
        <f>IF(OR(B2277="",E2277=""),"",IF(E2277="No","Missed",IF(F2277="","",IF(F2277&lt;=Settings!$B$7,"On time","Late"))))</f>
        <v/>
      </c>
      <c r="H2277" s="15"/>
      <c r="I2277" s="16"/>
      <c r="J2277" s="16"/>
      <c r="K2277" s="17" t="str">
        <f>IF(J2277="","",ROUND(J2277*Settings!$B$8,2))</f>
        <v/>
      </c>
      <c r="L2277" s="16"/>
      <c r="M2277" s="8" t="str">
        <f t="shared" si="35"/>
        <v/>
      </c>
      <c r="N2277" s="9"/>
    </row>
    <row r="2278" spans="1:14" ht="15.75">
      <c r="A2278" s="11"/>
      <c r="B2278" s="9"/>
      <c r="C2278" s="12" t="str">
        <f>IF(B2278="","",IFERROR(INDEX('Cashier Roster'!$C$5:$C$64,MATCH(B2278,'Cashier Roster'!$B$5:$B$64,0)),"Not on roster"))</f>
        <v/>
      </c>
      <c r="D2278" s="12" t="str">
        <f>IF(B2278="","",IFERROR(INDEX('Cashier Roster'!$D$5:$D$64,MATCH(B2278,'Cashier Roster'!$B$5:$B$64,0)),""))</f>
        <v/>
      </c>
      <c r="E2278" s="13"/>
      <c r="F2278" s="14"/>
      <c r="G2278" s="8" t="str">
        <f>IF(OR(B2278="",E2278=""),"",IF(E2278="No","Missed",IF(F2278="","",IF(F2278&lt;=Settings!$B$7,"On time","Late"))))</f>
        <v/>
      </c>
      <c r="H2278" s="15"/>
      <c r="I2278" s="16"/>
      <c r="J2278" s="16"/>
      <c r="K2278" s="17" t="str">
        <f>IF(J2278="","",ROUND(J2278*Settings!$B$8,2))</f>
        <v/>
      </c>
      <c r="L2278" s="16"/>
      <c r="M2278" s="8" t="str">
        <f t="shared" si="35"/>
        <v/>
      </c>
      <c r="N2278" s="9"/>
    </row>
    <row r="2279" spans="1:14" ht="15.75">
      <c r="A2279" s="11"/>
      <c r="B2279" s="9"/>
      <c r="C2279" s="12" t="str">
        <f>IF(B2279="","",IFERROR(INDEX('Cashier Roster'!$C$5:$C$64,MATCH(B2279,'Cashier Roster'!$B$5:$B$64,0)),"Not on roster"))</f>
        <v/>
      </c>
      <c r="D2279" s="12" t="str">
        <f>IF(B2279="","",IFERROR(INDEX('Cashier Roster'!$D$5:$D$64,MATCH(B2279,'Cashier Roster'!$B$5:$B$64,0)),""))</f>
        <v/>
      </c>
      <c r="E2279" s="13"/>
      <c r="F2279" s="14"/>
      <c r="G2279" s="8" t="str">
        <f>IF(OR(B2279="",E2279=""),"",IF(E2279="No","Missed",IF(F2279="","",IF(F2279&lt;=Settings!$B$7,"On time","Late"))))</f>
        <v/>
      </c>
      <c r="H2279" s="15"/>
      <c r="I2279" s="16"/>
      <c r="J2279" s="16"/>
      <c r="K2279" s="17" t="str">
        <f>IF(J2279="","",ROUND(J2279*Settings!$B$8,2))</f>
        <v/>
      </c>
      <c r="L2279" s="16"/>
      <c r="M2279" s="8" t="str">
        <f t="shared" si="35"/>
        <v/>
      </c>
      <c r="N2279" s="9"/>
    </row>
    <row r="2280" spans="1:14" ht="15.75">
      <c r="A2280" s="11"/>
      <c r="B2280" s="9"/>
      <c r="C2280" s="12" t="str">
        <f>IF(B2280="","",IFERROR(INDEX('Cashier Roster'!$C$5:$C$64,MATCH(B2280,'Cashier Roster'!$B$5:$B$64,0)),"Not on roster"))</f>
        <v/>
      </c>
      <c r="D2280" s="12" t="str">
        <f>IF(B2280="","",IFERROR(INDEX('Cashier Roster'!$D$5:$D$64,MATCH(B2280,'Cashier Roster'!$B$5:$B$64,0)),""))</f>
        <v/>
      </c>
      <c r="E2280" s="13"/>
      <c r="F2280" s="14"/>
      <c r="G2280" s="8" t="str">
        <f>IF(OR(B2280="",E2280=""),"",IF(E2280="No","Missed",IF(F2280="","",IF(F2280&lt;=Settings!$B$7,"On time","Late"))))</f>
        <v/>
      </c>
      <c r="H2280" s="15"/>
      <c r="I2280" s="16"/>
      <c r="J2280" s="16"/>
      <c r="K2280" s="17" t="str">
        <f>IF(J2280="","",ROUND(J2280*Settings!$B$8,2))</f>
        <v/>
      </c>
      <c r="L2280" s="16"/>
      <c r="M2280" s="8" t="str">
        <f t="shared" si="35"/>
        <v/>
      </c>
      <c r="N2280" s="9"/>
    </row>
    <row r="2281" spans="1:14" ht="15.75">
      <c r="A2281" s="11"/>
      <c r="B2281" s="9"/>
      <c r="C2281" s="12" t="str">
        <f>IF(B2281="","",IFERROR(INDEX('Cashier Roster'!$C$5:$C$64,MATCH(B2281,'Cashier Roster'!$B$5:$B$64,0)),"Not on roster"))</f>
        <v/>
      </c>
      <c r="D2281" s="12" t="str">
        <f>IF(B2281="","",IFERROR(INDEX('Cashier Roster'!$D$5:$D$64,MATCH(B2281,'Cashier Roster'!$B$5:$B$64,0)),""))</f>
        <v/>
      </c>
      <c r="E2281" s="13"/>
      <c r="F2281" s="14"/>
      <c r="G2281" s="8" t="str">
        <f>IF(OR(B2281="",E2281=""),"",IF(E2281="No","Missed",IF(F2281="","",IF(F2281&lt;=Settings!$B$7,"On time","Late"))))</f>
        <v/>
      </c>
      <c r="H2281" s="15"/>
      <c r="I2281" s="16"/>
      <c r="J2281" s="16"/>
      <c r="K2281" s="17" t="str">
        <f>IF(J2281="","",ROUND(J2281*Settings!$B$8,2))</f>
        <v/>
      </c>
      <c r="L2281" s="16"/>
      <c r="M2281" s="8" t="str">
        <f t="shared" si="35"/>
        <v/>
      </c>
      <c r="N2281" s="9"/>
    </row>
    <row r="2282" spans="1:14" ht="15.75">
      <c r="A2282" s="11"/>
      <c r="B2282" s="9"/>
      <c r="C2282" s="12" t="str">
        <f>IF(B2282="","",IFERROR(INDEX('Cashier Roster'!$C$5:$C$64,MATCH(B2282,'Cashier Roster'!$B$5:$B$64,0)),"Not on roster"))</f>
        <v/>
      </c>
      <c r="D2282" s="12" t="str">
        <f>IF(B2282="","",IFERROR(INDEX('Cashier Roster'!$D$5:$D$64,MATCH(B2282,'Cashier Roster'!$B$5:$B$64,0)),""))</f>
        <v/>
      </c>
      <c r="E2282" s="13"/>
      <c r="F2282" s="14"/>
      <c r="G2282" s="8" t="str">
        <f>IF(OR(B2282="",E2282=""),"",IF(E2282="No","Missed",IF(F2282="","",IF(F2282&lt;=Settings!$B$7,"On time","Late"))))</f>
        <v/>
      </c>
      <c r="H2282" s="15"/>
      <c r="I2282" s="16"/>
      <c r="J2282" s="16"/>
      <c r="K2282" s="17" t="str">
        <f>IF(J2282="","",ROUND(J2282*Settings!$B$8,2))</f>
        <v/>
      </c>
      <c r="L2282" s="16"/>
      <c r="M2282" s="8" t="str">
        <f t="shared" si="35"/>
        <v/>
      </c>
      <c r="N2282" s="9"/>
    </row>
    <row r="2283" spans="1:14" ht="15.75">
      <c r="A2283" s="11"/>
      <c r="B2283" s="9"/>
      <c r="C2283" s="12" t="str">
        <f>IF(B2283="","",IFERROR(INDEX('Cashier Roster'!$C$5:$C$64,MATCH(B2283,'Cashier Roster'!$B$5:$B$64,0)),"Not on roster"))</f>
        <v/>
      </c>
      <c r="D2283" s="12" t="str">
        <f>IF(B2283="","",IFERROR(INDEX('Cashier Roster'!$D$5:$D$64,MATCH(B2283,'Cashier Roster'!$B$5:$B$64,0)),""))</f>
        <v/>
      </c>
      <c r="E2283" s="13"/>
      <c r="F2283" s="14"/>
      <c r="G2283" s="8" t="str">
        <f>IF(OR(B2283="",E2283=""),"",IF(E2283="No","Missed",IF(F2283="","",IF(F2283&lt;=Settings!$B$7,"On time","Late"))))</f>
        <v/>
      </c>
      <c r="H2283" s="15"/>
      <c r="I2283" s="16"/>
      <c r="J2283" s="16"/>
      <c r="K2283" s="17" t="str">
        <f>IF(J2283="","",ROUND(J2283*Settings!$B$8,2))</f>
        <v/>
      </c>
      <c r="L2283" s="16"/>
      <c r="M2283" s="8" t="str">
        <f t="shared" si="35"/>
        <v/>
      </c>
      <c r="N2283" s="9"/>
    </row>
    <row r="2284" spans="1:14" ht="15.75">
      <c r="A2284" s="11"/>
      <c r="B2284" s="9"/>
      <c r="C2284" s="12" t="str">
        <f>IF(B2284="","",IFERROR(INDEX('Cashier Roster'!$C$5:$C$64,MATCH(B2284,'Cashier Roster'!$B$5:$B$64,0)),"Not on roster"))</f>
        <v/>
      </c>
      <c r="D2284" s="12" t="str">
        <f>IF(B2284="","",IFERROR(INDEX('Cashier Roster'!$D$5:$D$64,MATCH(B2284,'Cashier Roster'!$B$5:$B$64,0)),""))</f>
        <v/>
      </c>
      <c r="E2284" s="13"/>
      <c r="F2284" s="14"/>
      <c r="G2284" s="8" t="str">
        <f>IF(OR(B2284="",E2284=""),"",IF(E2284="No","Missed",IF(F2284="","",IF(F2284&lt;=Settings!$B$7,"On time","Late"))))</f>
        <v/>
      </c>
      <c r="H2284" s="15"/>
      <c r="I2284" s="16"/>
      <c r="J2284" s="16"/>
      <c r="K2284" s="17" t="str">
        <f>IF(J2284="","",ROUND(J2284*Settings!$B$8,2))</f>
        <v/>
      </c>
      <c r="L2284" s="16"/>
      <c r="M2284" s="8" t="str">
        <f t="shared" si="35"/>
        <v/>
      </c>
      <c r="N2284" s="9"/>
    </row>
    <row r="2285" spans="1:14" ht="15.75">
      <c r="A2285" s="11"/>
      <c r="B2285" s="9"/>
      <c r="C2285" s="12" t="str">
        <f>IF(B2285="","",IFERROR(INDEX('Cashier Roster'!$C$5:$C$64,MATCH(B2285,'Cashier Roster'!$B$5:$B$64,0)),"Not on roster"))</f>
        <v/>
      </c>
      <c r="D2285" s="12" t="str">
        <f>IF(B2285="","",IFERROR(INDEX('Cashier Roster'!$D$5:$D$64,MATCH(B2285,'Cashier Roster'!$B$5:$B$64,0)),""))</f>
        <v/>
      </c>
      <c r="E2285" s="13"/>
      <c r="F2285" s="14"/>
      <c r="G2285" s="8" t="str">
        <f>IF(OR(B2285="",E2285=""),"",IF(E2285="No","Missed",IF(F2285="","",IF(F2285&lt;=Settings!$B$7,"On time","Late"))))</f>
        <v/>
      </c>
      <c r="H2285" s="15"/>
      <c r="I2285" s="16"/>
      <c r="J2285" s="16"/>
      <c r="K2285" s="17" t="str">
        <f>IF(J2285="","",ROUND(J2285*Settings!$B$8,2))</f>
        <v/>
      </c>
      <c r="L2285" s="16"/>
      <c r="M2285" s="8" t="str">
        <f t="shared" si="35"/>
        <v/>
      </c>
      <c r="N2285" s="9"/>
    </row>
    <row r="2286" spans="1:14" ht="15.75">
      <c r="A2286" s="11"/>
      <c r="B2286" s="9"/>
      <c r="C2286" s="12" t="str">
        <f>IF(B2286="","",IFERROR(INDEX('Cashier Roster'!$C$5:$C$64,MATCH(B2286,'Cashier Roster'!$B$5:$B$64,0)),"Not on roster"))</f>
        <v/>
      </c>
      <c r="D2286" s="12" t="str">
        <f>IF(B2286="","",IFERROR(INDEX('Cashier Roster'!$D$5:$D$64,MATCH(B2286,'Cashier Roster'!$B$5:$B$64,0)),""))</f>
        <v/>
      </c>
      <c r="E2286" s="13"/>
      <c r="F2286" s="14"/>
      <c r="G2286" s="8" t="str">
        <f>IF(OR(B2286="",E2286=""),"",IF(E2286="No","Missed",IF(F2286="","",IF(F2286&lt;=Settings!$B$7,"On time","Late"))))</f>
        <v/>
      </c>
      <c r="H2286" s="15"/>
      <c r="I2286" s="16"/>
      <c r="J2286" s="16"/>
      <c r="K2286" s="17" t="str">
        <f>IF(J2286="","",ROUND(J2286*Settings!$B$8,2))</f>
        <v/>
      </c>
      <c r="L2286" s="16"/>
      <c r="M2286" s="8" t="str">
        <f t="shared" si="35"/>
        <v/>
      </c>
      <c r="N2286" s="9"/>
    </row>
    <row r="2287" spans="1:14" ht="15.75">
      <c r="A2287" s="11"/>
      <c r="B2287" s="9"/>
      <c r="C2287" s="12" t="str">
        <f>IF(B2287="","",IFERROR(INDEX('Cashier Roster'!$C$5:$C$64,MATCH(B2287,'Cashier Roster'!$B$5:$B$64,0)),"Not on roster"))</f>
        <v/>
      </c>
      <c r="D2287" s="12" t="str">
        <f>IF(B2287="","",IFERROR(INDEX('Cashier Roster'!$D$5:$D$64,MATCH(B2287,'Cashier Roster'!$B$5:$B$64,0)),""))</f>
        <v/>
      </c>
      <c r="E2287" s="13"/>
      <c r="F2287" s="14"/>
      <c r="G2287" s="8" t="str">
        <f>IF(OR(B2287="",E2287=""),"",IF(E2287="No","Missed",IF(F2287="","",IF(F2287&lt;=Settings!$B$7,"On time","Late"))))</f>
        <v/>
      </c>
      <c r="H2287" s="15"/>
      <c r="I2287" s="16"/>
      <c r="J2287" s="16"/>
      <c r="K2287" s="17" t="str">
        <f>IF(J2287="","",ROUND(J2287*Settings!$B$8,2))</f>
        <v/>
      </c>
      <c r="L2287" s="16"/>
      <c r="M2287" s="8" t="str">
        <f t="shared" si="35"/>
        <v/>
      </c>
      <c r="N2287" s="9"/>
    </row>
    <row r="2288" spans="1:14" ht="15.75">
      <c r="A2288" s="11"/>
      <c r="B2288" s="9"/>
      <c r="C2288" s="12" t="str">
        <f>IF(B2288="","",IFERROR(INDEX('Cashier Roster'!$C$5:$C$64,MATCH(B2288,'Cashier Roster'!$B$5:$B$64,0)),"Not on roster"))</f>
        <v/>
      </c>
      <c r="D2288" s="12" t="str">
        <f>IF(B2288="","",IFERROR(INDEX('Cashier Roster'!$D$5:$D$64,MATCH(B2288,'Cashier Roster'!$B$5:$B$64,0)),""))</f>
        <v/>
      </c>
      <c r="E2288" s="13"/>
      <c r="F2288" s="14"/>
      <c r="G2288" s="8" t="str">
        <f>IF(OR(B2288="",E2288=""),"",IF(E2288="No","Missed",IF(F2288="","",IF(F2288&lt;=Settings!$B$7,"On time","Late"))))</f>
        <v/>
      </c>
      <c r="H2288" s="15"/>
      <c r="I2288" s="16"/>
      <c r="J2288" s="16"/>
      <c r="K2288" s="17" t="str">
        <f>IF(J2288="","",ROUND(J2288*Settings!$B$8,2))</f>
        <v/>
      </c>
      <c r="L2288" s="16"/>
      <c r="M2288" s="8" t="str">
        <f t="shared" si="35"/>
        <v/>
      </c>
      <c r="N2288" s="9"/>
    </row>
    <row r="2289" spans="1:14" ht="15.75">
      <c r="A2289" s="11"/>
      <c r="B2289" s="9"/>
      <c r="C2289" s="12" t="str">
        <f>IF(B2289="","",IFERROR(INDEX('Cashier Roster'!$C$5:$C$64,MATCH(B2289,'Cashier Roster'!$B$5:$B$64,0)),"Not on roster"))</f>
        <v/>
      </c>
      <c r="D2289" s="12" t="str">
        <f>IF(B2289="","",IFERROR(INDEX('Cashier Roster'!$D$5:$D$64,MATCH(B2289,'Cashier Roster'!$B$5:$B$64,0)),""))</f>
        <v/>
      </c>
      <c r="E2289" s="13"/>
      <c r="F2289" s="14"/>
      <c r="G2289" s="8" t="str">
        <f>IF(OR(B2289="",E2289=""),"",IF(E2289="No","Missed",IF(F2289="","",IF(F2289&lt;=Settings!$B$7,"On time","Late"))))</f>
        <v/>
      </c>
      <c r="H2289" s="15"/>
      <c r="I2289" s="16"/>
      <c r="J2289" s="16"/>
      <c r="K2289" s="17" t="str">
        <f>IF(J2289="","",ROUND(J2289*Settings!$B$8,2))</f>
        <v/>
      </c>
      <c r="L2289" s="16"/>
      <c r="M2289" s="8" t="str">
        <f t="shared" si="35"/>
        <v/>
      </c>
      <c r="N2289" s="9"/>
    </row>
    <row r="2290" spans="1:14" ht="15.75">
      <c r="A2290" s="11"/>
      <c r="B2290" s="9"/>
      <c r="C2290" s="12" t="str">
        <f>IF(B2290="","",IFERROR(INDEX('Cashier Roster'!$C$5:$C$64,MATCH(B2290,'Cashier Roster'!$B$5:$B$64,0)),"Not on roster"))</f>
        <v/>
      </c>
      <c r="D2290" s="12" t="str">
        <f>IF(B2290="","",IFERROR(INDEX('Cashier Roster'!$D$5:$D$64,MATCH(B2290,'Cashier Roster'!$B$5:$B$64,0)),""))</f>
        <v/>
      </c>
      <c r="E2290" s="13"/>
      <c r="F2290" s="14"/>
      <c r="G2290" s="8" t="str">
        <f>IF(OR(B2290="",E2290=""),"",IF(E2290="No","Missed",IF(F2290="","",IF(F2290&lt;=Settings!$B$7,"On time","Late"))))</f>
        <v/>
      </c>
      <c r="H2290" s="15"/>
      <c r="I2290" s="16"/>
      <c r="J2290" s="16"/>
      <c r="K2290" s="17" t="str">
        <f>IF(J2290="","",ROUND(J2290*Settings!$B$8,2))</f>
        <v/>
      </c>
      <c r="L2290" s="16"/>
      <c r="M2290" s="8" t="str">
        <f t="shared" si="35"/>
        <v/>
      </c>
      <c r="N2290" s="9"/>
    </row>
    <row r="2291" spans="1:14" ht="15.75">
      <c r="A2291" s="11"/>
      <c r="B2291" s="9"/>
      <c r="C2291" s="12" t="str">
        <f>IF(B2291="","",IFERROR(INDEX('Cashier Roster'!$C$5:$C$64,MATCH(B2291,'Cashier Roster'!$B$5:$B$64,0)),"Not on roster"))</f>
        <v/>
      </c>
      <c r="D2291" s="12" t="str">
        <f>IF(B2291="","",IFERROR(INDEX('Cashier Roster'!$D$5:$D$64,MATCH(B2291,'Cashier Roster'!$B$5:$B$64,0)),""))</f>
        <v/>
      </c>
      <c r="E2291" s="13"/>
      <c r="F2291" s="14"/>
      <c r="G2291" s="8" t="str">
        <f>IF(OR(B2291="",E2291=""),"",IF(E2291="No","Missed",IF(F2291="","",IF(F2291&lt;=Settings!$B$7,"On time","Late"))))</f>
        <v/>
      </c>
      <c r="H2291" s="15"/>
      <c r="I2291" s="16"/>
      <c r="J2291" s="16"/>
      <c r="K2291" s="17" t="str">
        <f>IF(J2291="","",ROUND(J2291*Settings!$B$8,2))</f>
        <v/>
      </c>
      <c r="L2291" s="16"/>
      <c r="M2291" s="8" t="str">
        <f t="shared" si="35"/>
        <v/>
      </c>
      <c r="N2291" s="9"/>
    </row>
    <row r="2292" spans="1:14" ht="15.75">
      <c r="A2292" s="11"/>
      <c r="B2292" s="9"/>
      <c r="C2292" s="12" t="str">
        <f>IF(B2292="","",IFERROR(INDEX('Cashier Roster'!$C$5:$C$64,MATCH(B2292,'Cashier Roster'!$B$5:$B$64,0)),"Not on roster"))</f>
        <v/>
      </c>
      <c r="D2292" s="12" t="str">
        <f>IF(B2292="","",IFERROR(INDEX('Cashier Roster'!$D$5:$D$64,MATCH(B2292,'Cashier Roster'!$B$5:$B$64,0)),""))</f>
        <v/>
      </c>
      <c r="E2292" s="13"/>
      <c r="F2292" s="14"/>
      <c r="G2292" s="8" t="str">
        <f>IF(OR(B2292="",E2292=""),"",IF(E2292="No","Missed",IF(F2292="","",IF(F2292&lt;=Settings!$B$7,"On time","Late"))))</f>
        <v/>
      </c>
      <c r="H2292" s="15"/>
      <c r="I2292" s="16"/>
      <c r="J2292" s="16"/>
      <c r="K2292" s="17" t="str">
        <f>IF(J2292="","",ROUND(J2292*Settings!$B$8,2))</f>
        <v/>
      </c>
      <c r="L2292" s="16"/>
      <c r="M2292" s="8" t="str">
        <f t="shared" si="35"/>
        <v/>
      </c>
      <c r="N2292" s="9"/>
    </row>
    <row r="2293" spans="1:14" ht="15.75">
      <c r="A2293" s="11"/>
      <c r="B2293" s="9"/>
      <c r="C2293" s="12" t="str">
        <f>IF(B2293="","",IFERROR(INDEX('Cashier Roster'!$C$5:$C$64,MATCH(B2293,'Cashier Roster'!$B$5:$B$64,0)),"Not on roster"))</f>
        <v/>
      </c>
      <c r="D2293" s="12" t="str">
        <f>IF(B2293="","",IFERROR(INDEX('Cashier Roster'!$D$5:$D$64,MATCH(B2293,'Cashier Roster'!$B$5:$B$64,0)),""))</f>
        <v/>
      </c>
      <c r="E2293" s="13"/>
      <c r="F2293" s="14"/>
      <c r="G2293" s="8" t="str">
        <f>IF(OR(B2293="",E2293=""),"",IF(E2293="No","Missed",IF(F2293="","",IF(F2293&lt;=Settings!$B$7,"On time","Late"))))</f>
        <v/>
      </c>
      <c r="H2293" s="15"/>
      <c r="I2293" s="16"/>
      <c r="J2293" s="16"/>
      <c r="K2293" s="17" t="str">
        <f>IF(J2293="","",ROUND(J2293*Settings!$B$8,2))</f>
        <v/>
      </c>
      <c r="L2293" s="16"/>
      <c r="M2293" s="8" t="str">
        <f t="shared" si="35"/>
        <v/>
      </c>
      <c r="N2293" s="9"/>
    </row>
    <row r="2294" spans="1:14" ht="15.75">
      <c r="A2294" s="11"/>
      <c r="B2294" s="9"/>
      <c r="C2294" s="12" t="str">
        <f>IF(B2294="","",IFERROR(INDEX('Cashier Roster'!$C$5:$C$64,MATCH(B2294,'Cashier Roster'!$B$5:$B$64,0)),"Not on roster"))</f>
        <v/>
      </c>
      <c r="D2294" s="12" t="str">
        <f>IF(B2294="","",IFERROR(INDEX('Cashier Roster'!$D$5:$D$64,MATCH(B2294,'Cashier Roster'!$B$5:$B$64,0)),""))</f>
        <v/>
      </c>
      <c r="E2294" s="13"/>
      <c r="F2294" s="14"/>
      <c r="G2294" s="8" t="str">
        <f>IF(OR(B2294="",E2294=""),"",IF(E2294="No","Missed",IF(F2294="","",IF(F2294&lt;=Settings!$B$7,"On time","Late"))))</f>
        <v/>
      </c>
      <c r="H2294" s="15"/>
      <c r="I2294" s="16"/>
      <c r="J2294" s="16"/>
      <c r="K2294" s="17" t="str">
        <f>IF(J2294="","",ROUND(J2294*Settings!$B$8,2))</f>
        <v/>
      </c>
      <c r="L2294" s="16"/>
      <c r="M2294" s="8" t="str">
        <f t="shared" si="35"/>
        <v/>
      </c>
      <c r="N2294" s="9"/>
    </row>
    <row r="2295" spans="1:14" ht="15.75">
      <c r="A2295" s="11"/>
      <c r="B2295" s="9"/>
      <c r="C2295" s="12" t="str">
        <f>IF(B2295="","",IFERROR(INDEX('Cashier Roster'!$C$5:$C$64,MATCH(B2295,'Cashier Roster'!$B$5:$B$64,0)),"Not on roster"))</f>
        <v/>
      </c>
      <c r="D2295" s="12" t="str">
        <f>IF(B2295="","",IFERROR(INDEX('Cashier Roster'!$D$5:$D$64,MATCH(B2295,'Cashier Roster'!$B$5:$B$64,0)),""))</f>
        <v/>
      </c>
      <c r="E2295" s="13"/>
      <c r="F2295" s="14"/>
      <c r="G2295" s="8" t="str">
        <f>IF(OR(B2295="",E2295=""),"",IF(E2295="No","Missed",IF(F2295="","",IF(F2295&lt;=Settings!$B$7,"On time","Late"))))</f>
        <v/>
      </c>
      <c r="H2295" s="15"/>
      <c r="I2295" s="16"/>
      <c r="J2295" s="16"/>
      <c r="K2295" s="17" t="str">
        <f>IF(J2295="","",ROUND(J2295*Settings!$B$8,2))</f>
        <v/>
      </c>
      <c r="L2295" s="16"/>
      <c r="M2295" s="8" t="str">
        <f t="shared" si="35"/>
        <v/>
      </c>
      <c r="N2295" s="9"/>
    </row>
    <row r="2296" spans="1:14" ht="15.75">
      <c r="A2296" s="11"/>
      <c r="B2296" s="9"/>
      <c r="C2296" s="12" t="str">
        <f>IF(B2296="","",IFERROR(INDEX('Cashier Roster'!$C$5:$C$64,MATCH(B2296,'Cashier Roster'!$B$5:$B$64,0)),"Not on roster"))</f>
        <v/>
      </c>
      <c r="D2296" s="12" t="str">
        <f>IF(B2296="","",IFERROR(INDEX('Cashier Roster'!$D$5:$D$64,MATCH(B2296,'Cashier Roster'!$B$5:$B$64,0)),""))</f>
        <v/>
      </c>
      <c r="E2296" s="13"/>
      <c r="F2296" s="14"/>
      <c r="G2296" s="8" t="str">
        <f>IF(OR(B2296="",E2296=""),"",IF(E2296="No","Missed",IF(F2296="","",IF(F2296&lt;=Settings!$B$7,"On time","Late"))))</f>
        <v/>
      </c>
      <c r="H2296" s="15"/>
      <c r="I2296" s="16"/>
      <c r="J2296" s="16"/>
      <c r="K2296" s="17" t="str">
        <f>IF(J2296="","",ROUND(J2296*Settings!$B$8,2))</f>
        <v/>
      </c>
      <c r="L2296" s="16"/>
      <c r="M2296" s="8" t="str">
        <f t="shared" si="35"/>
        <v/>
      </c>
      <c r="N2296" s="9"/>
    </row>
    <row r="2297" spans="1:14" ht="15.75">
      <c r="A2297" s="11"/>
      <c r="B2297" s="9"/>
      <c r="C2297" s="12" t="str">
        <f>IF(B2297="","",IFERROR(INDEX('Cashier Roster'!$C$5:$C$64,MATCH(B2297,'Cashier Roster'!$B$5:$B$64,0)),"Not on roster"))</f>
        <v/>
      </c>
      <c r="D2297" s="12" t="str">
        <f>IF(B2297="","",IFERROR(INDEX('Cashier Roster'!$D$5:$D$64,MATCH(B2297,'Cashier Roster'!$B$5:$B$64,0)),""))</f>
        <v/>
      </c>
      <c r="E2297" s="13"/>
      <c r="F2297" s="14"/>
      <c r="G2297" s="8" t="str">
        <f>IF(OR(B2297="",E2297=""),"",IF(E2297="No","Missed",IF(F2297="","",IF(F2297&lt;=Settings!$B$7,"On time","Late"))))</f>
        <v/>
      </c>
      <c r="H2297" s="15"/>
      <c r="I2297" s="16"/>
      <c r="J2297" s="16"/>
      <c r="K2297" s="17" t="str">
        <f>IF(J2297="","",ROUND(J2297*Settings!$B$8,2))</f>
        <v/>
      </c>
      <c r="L2297" s="16"/>
      <c r="M2297" s="8" t="str">
        <f t="shared" si="35"/>
        <v/>
      </c>
      <c r="N2297" s="9"/>
    </row>
    <row r="2298" spans="1:14" ht="15.75">
      <c r="A2298" s="11"/>
      <c r="B2298" s="9"/>
      <c r="C2298" s="12" t="str">
        <f>IF(B2298="","",IFERROR(INDEX('Cashier Roster'!$C$5:$C$64,MATCH(B2298,'Cashier Roster'!$B$5:$B$64,0)),"Not on roster"))</f>
        <v/>
      </c>
      <c r="D2298" s="12" t="str">
        <f>IF(B2298="","",IFERROR(INDEX('Cashier Roster'!$D$5:$D$64,MATCH(B2298,'Cashier Roster'!$B$5:$B$64,0)),""))</f>
        <v/>
      </c>
      <c r="E2298" s="13"/>
      <c r="F2298" s="14"/>
      <c r="G2298" s="8" t="str">
        <f>IF(OR(B2298="",E2298=""),"",IF(E2298="No","Missed",IF(F2298="","",IF(F2298&lt;=Settings!$B$7,"On time","Late"))))</f>
        <v/>
      </c>
      <c r="H2298" s="15"/>
      <c r="I2298" s="16"/>
      <c r="J2298" s="16"/>
      <c r="K2298" s="17" t="str">
        <f>IF(J2298="","",ROUND(J2298*Settings!$B$8,2))</f>
        <v/>
      </c>
      <c r="L2298" s="16"/>
      <c r="M2298" s="8" t="str">
        <f t="shared" si="35"/>
        <v/>
      </c>
      <c r="N2298" s="9"/>
    </row>
    <row r="2299" spans="1:14" ht="15.75">
      <c r="A2299" s="11"/>
      <c r="B2299" s="9"/>
      <c r="C2299" s="12" t="str">
        <f>IF(B2299="","",IFERROR(INDEX('Cashier Roster'!$C$5:$C$64,MATCH(B2299,'Cashier Roster'!$B$5:$B$64,0)),"Not on roster"))</f>
        <v/>
      </c>
      <c r="D2299" s="12" t="str">
        <f>IF(B2299="","",IFERROR(INDEX('Cashier Roster'!$D$5:$D$64,MATCH(B2299,'Cashier Roster'!$B$5:$B$64,0)),""))</f>
        <v/>
      </c>
      <c r="E2299" s="13"/>
      <c r="F2299" s="14"/>
      <c r="G2299" s="8" t="str">
        <f>IF(OR(B2299="",E2299=""),"",IF(E2299="No","Missed",IF(F2299="","",IF(F2299&lt;=Settings!$B$7,"On time","Late"))))</f>
        <v/>
      </c>
      <c r="H2299" s="15"/>
      <c r="I2299" s="16"/>
      <c r="J2299" s="16"/>
      <c r="K2299" s="17" t="str">
        <f>IF(J2299="","",ROUND(J2299*Settings!$B$8,2))</f>
        <v/>
      </c>
      <c r="L2299" s="16"/>
      <c r="M2299" s="8" t="str">
        <f t="shared" si="35"/>
        <v/>
      </c>
      <c r="N2299" s="9"/>
    </row>
    <row r="2300" spans="1:14" ht="15.75">
      <c r="A2300" s="11"/>
      <c r="B2300" s="9"/>
      <c r="C2300" s="12" t="str">
        <f>IF(B2300="","",IFERROR(INDEX('Cashier Roster'!$C$5:$C$64,MATCH(B2300,'Cashier Roster'!$B$5:$B$64,0)),"Not on roster"))</f>
        <v/>
      </c>
      <c r="D2300" s="12" t="str">
        <f>IF(B2300="","",IFERROR(INDEX('Cashier Roster'!$D$5:$D$64,MATCH(B2300,'Cashier Roster'!$B$5:$B$64,0)),""))</f>
        <v/>
      </c>
      <c r="E2300" s="13"/>
      <c r="F2300" s="14"/>
      <c r="G2300" s="8" t="str">
        <f>IF(OR(B2300="",E2300=""),"",IF(E2300="No","Missed",IF(F2300="","",IF(F2300&lt;=Settings!$B$7,"On time","Late"))))</f>
        <v/>
      </c>
      <c r="H2300" s="15"/>
      <c r="I2300" s="16"/>
      <c r="J2300" s="16"/>
      <c r="K2300" s="17" t="str">
        <f>IF(J2300="","",ROUND(J2300*Settings!$B$8,2))</f>
        <v/>
      </c>
      <c r="L2300" s="16"/>
      <c r="M2300" s="8" t="str">
        <f t="shared" si="35"/>
        <v/>
      </c>
      <c r="N2300" s="9"/>
    </row>
    <row r="2301" spans="1:14" ht="15.75">
      <c r="A2301" s="11"/>
      <c r="B2301" s="9"/>
      <c r="C2301" s="12" t="str">
        <f>IF(B2301="","",IFERROR(INDEX('Cashier Roster'!$C$5:$C$64,MATCH(B2301,'Cashier Roster'!$B$5:$B$64,0)),"Not on roster"))</f>
        <v/>
      </c>
      <c r="D2301" s="12" t="str">
        <f>IF(B2301="","",IFERROR(INDEX('Cashier Roster'!$D$5:$D$64,MATCH(B2301,'Cashier Roster'!$B$5:$B$64,0)),""))</f>
        <v/>
      </c>
      <c r="E2301" s="13"/>
      <c r="F2301" s="14"/>
      <c r="G2301" s="8" t="str">
        <f>IF(OR(B2301="",E2301=""),"",IF(E2301="No","Missed",IF(F2301="","",IF(F2301&lt;=Settings!$B$7,"On time","Late"))))</f>
        <v/>
      </c>
      <c r="H2301" s="15"/>
      <c r="I2301" s="16"/>
      <c r="J2301" s="16"/>
      <c r="K2301" s="17" t="str">
        <f>IF(J2301="","",ROUND(J2301*Settings!$B$8,2))</f>
        <v/>
      </c>
      <c r="L2301" s="16"/>
      <c r="M2301" s="8" t="str">
        <f t="shared" si="35"/>
        <v/>
      </c>
      <c r="N2301" s="9"/>
    </row>
    <row r="2302" spans="1:14" ht="15.75">
      <c r="A2302" s="11"/>
      <c r="B2302" s="9"/>
      <c r="C2302" s="12" t="str">
        <f>IF(B2302="","",IFERROR(INDEX('Cashier Roster'!$C$5:$C$64,MATCH(B2302,'Cashier Roster'!$B$5:$B$64,0)),"Not on roster"))</f>
        <v/>
      </c>
      <c r="D2302" s="12" t="str">
        <f>IF(B2302="","",IFERROR(INDEX('Cashier Roster'!$D$5:$D$64,MATCH(B2302,'Cashier Roster'!$B$5:$B$64,0)),""))</f>
        <v/>
      </c>
      <c r="E2302" s="13"/>
      <c r="F2302" s="14"/>
      <c r="G2302" s="8" t="str">
        <f>IF(OR(B2302="",E2302=""),"",IF(E2302="No","Missed",IF(F2302="","",IF(F2302&lt;=Settings!$B$7,"On time","Late"))))</f>
        <v/>
      </c>
      <c r="H2302" s="15"/>
      <c r="I2302" s="16"/>
      <c r="J2302" s="16"/>
      <c r="K2302" s="17" t="str">
        <f>IF(J2302="","",ROUND(J2302*Settings!$B$8,2))</f>
        <v/>
      </c>
      <c r="L2302" s="16"/>
      <c r="M2302" s="8" t="str">
        <f t="shared" si="35"/>
        <v/>
      </c>
      <c r="N2302" s="9"/>
    </row>
    <row r="2303" spans="1:14" ht="15.75">
      <c r="A2303" s="11"/>
      <c r="B2303" s="9"/>
      <c r="C2303" s="12" t="str">
        <f>IF(B2303="","",IFERROR(INDEX('Cashier Roster'!$C$5:$C$64,MATCH(B2303,'Cashier Roster'!$B$5:$B$64,0)),"Not on roster"))</f>
        <v/>
      </c>
      <c r="D2303" s="12" t="str">
        <f>IF(B2303="","",IFERROR(INDEX('Cashier Roster'!$D$5:$D$64,MATCH(B2303,'Cashier Roster'!$B$5:$B$64,0)),""))</f>
        <v/>
      </c>
      <c r="E2303" s="13"/>
      <c r="F2303" s="14"/>
      <c r="G2303" s="8" t="str">
        <f>IF(OR(B2303="",E2303=""),"",IF(E2303="No","Missed",IF(F2303="","",IF(F2303&lt;=Settings!$B$7,"On time","Late"))))</f>
        <v/>
      </c>
      <c r="H2303" s="15"/>
      <c r="I2303" s="16"/>
      <c r="J2303" s="16"/>
      <c r="K2303" s="17" t="str">
        <f>IF(J2303="","",ROUND(J2303*Settings!$B$8,2))</f>
        <v/>
      </c>
      <c r="L2303" s="16"/>
      <c r="M2303" s="8" t="str">
        <f t="shared" si="35"/>
        <v/>
      </c>
      <c r="N2303" s="9"/>
    </row>
    <row r="2304" spans="1:14" ht="15.75">
      <c r="A2304" s="11"/>
      <c r="B2304" s="9"/>
      <c r="C2304" s="12" t="str">
        <f>IF(B2304="","",IFERROR(INDEX('Cashier Roster'!$C$5:$C$64,MATCH(B2304,'Cashier Roster'!$B$5:$B$64,0)),"Not on roster"))</f>
        <v/>
      </c>
      <c r="D2304" s="12" t="str">
        <f>IF(B2304="","",IFERROR(INDEX('Cashier Roster'!$D$5:$D$64,MATCH(B2304,'Cashier Roster'!$B$5:$B$64,0)),""))</f>
        <v/>
      </c>
      <c r="E2304" s="13"/>
      <c r="F2304" s="14"/>
      <c r="G2304" s="8" t="str">
        <f>IF(OR(B2304="",E2304=""),"",IF(E2304="No","Missed",IF(F2304="","",IF(F2304&lt;=Settings!$B$7,"On time","Late"))))</f>
        <v/>
      </c>
      <c r="H2304" s="15"/>
      <c r="I2304" s="16"/>
      <c r="J2304" s="16"/>
      <c r="K2304" s="17" t="str">
        <f>IF(J2304="","",ROUND(J2304*Settings!$B$8,2))</f>
        <v/>
      </c>
      <c r="L2304" s="16"/>
      <c r="M2304" s="8" t="str">
        <f t="shared" si="35"/>
        <v/>
      </c>
      <c r="N2304" s="9"/>
    </row>
    <row r="2305" spans="1:14" ht="15.75">
      <c r="A2305" s="11"/>
      <c r="B2305" s="9"/>
      <c r="C2305" s="12" t="str">
        <f>IF(B2305="","",IFERROR(INDEX('Cashier Roster'!$C$5:$C$64,MATCH(B2305,'Cashier Roster'!$B$5:$B$64,0)),"Not on roster"))</f>
        <v/>
      </c>
      <c r="D2305" s="12" t="str">
        <f>IF(B2305="","",IFERROR(INDEX('Cashier Roster'!$D$5:$D$64,MATCH(B2305,'Cashier Roster'!$B$5:$B$64,0)),""))</f>
        <v/>
      </c>
      <c r="E2305" s="13"/>
      <c r="F2305" s="14"/>
      <c r="G2305" s="8" t="str">
        <f>IF(OR(B2305="",E2305=""),"",IF(E2305="No","Missed",IF(F2305="","",IF(F2305&lt;=Settings!$B$7,"On time","Late"))))</f>
        <v/>
      </c>
      <c r="H2305" s="15"/>
      <c r="I2305" s="16"/>
      <c r="J2305" s="16"/>
      <c r="K2305" s="17" t="str">
        <f>IF(J2305="","",ROUND(J2305*Settings!$B$8,2))</f>
        <v/>
      </c>
      <c r="L2305" s="16"/>
      <c r="M2305" s="8" t="str">
        <f t="shared" si="35"/>
        <v/>
      </c>
      <c r="N2305" s="9"/>
    </row>
    <row r="2306" spans="1:14" ht="15.75">
      <c r="A2306" s="11"/>
      <c r="B2306" s="9"/>
      <c r="C2306" s="12" t="str">
        <f>IF(B2306="","",IFERROR(INDEX('Cashier Roster'!$C$5:$C$64,MATCH(B2306,'Cashier Roster'!$B$5:$B$64,0)),"Not on roster"))</f>
        <v/>
      </c>
      <c r="D2306" s="12" t="str">
        <f>IF(B2306="","",IFERROR(INDEX('Cashier Roster'!$D$5:$D$64,MATCH(B2306,'Cashier Roster'!$B$5:$B$64,0)),""))</f>
        <v/>
      </c>
      <c r="E2306" s="13"/>
      <c r="F2306" s="14"/>
      <c r="G2306" s="8" t="str">
        <f>IF(OR(B2306="",E2306=""),"",IF(E2306="No","Missed",IF(F2306="","",IF(F2306&lt;=Settings!$B$7,"On time","Late"))))</f>
        <v/>
      </c>
      <c r="H2306" s="15"/>
      <c r="I2306" s="16"/>
      <c r="J2306" s="16"/>
      <c r="K2306" s="17" t="str">
        <f>IF(J2306="","",ROUND(J2306*Settings!$B$8,2))</f>
        <v/>
      </c>
      <c r="L2306" s="16"/>
      <c r="M2306" s="8" t="str">
        <f t="shared" si="35"/>
        <v/>
      </c>
      <c r="N2306" s="9"/>
    </row>
    <row r="2307" spans="1:14" ht="15.75">
      <c r="A2307" s="11"/>
      <c r="B2307" s="9"/>
      <c r="C2307" s="12" t="str">
        <f>IF(B2307="","",IFERROR(INDEX('Cashier Roster'!$C$5:$C$64,MATCH(B2307,'Cashier Roster'!$B$5:$B$64,0)),"Not on roster"))</f>
        <v/>
      </c>
      <c r="D2307" s="12" t="str">
        <f>IF(B2307="","",IFERROR(INDEX('Cashier Roster'!$D$5:$D$64,MATCH(B2307,'Cashier Roster'!$B$5:$B$64,0)),""))</f>
        <v/>
      </c>
      <c r="E2307" s="13"/>
      <c r="F2307" s="14"/>
      <c r="G2307" s="8" t="str">
        <f>IF(OR(B2307="",E2307=""),"",IF(E2307="No","Missed",IF(F2307="","",IF(F2307&lt;=Settings!$B$7,"On time","Late"))))</f>
        <v/>
      </c>
      <c r="H2307" s="15"/>
      <c r="I2307" s="16"/>
      <c r="J2307" s="16"/>
      <c r="K2307" s="17" t="str">
        <f>IF(J2307="","",ROUND(J2307*Settings!$B$8,2))</f>
        <v/>
      </c>
      <c r="L2307" s="16"/>
      <c r="M2307" s="8" t="str">
        <f t="shared" si="35"/>
        <v/>
      </c>
      <c r="N2307" s="9"/>
    </row>
    <row r="2308" spans="1:14" ht="15.75">
      <c r="A2308" s="11"/>
      <c r="B2308" s="9"/>
      <c r="C2308" s="12" t="str">
        <f>IF(B2308="","",IFERROR(INDEX('Cashier Roster'!$C$5:$C$64,MATCH(B2308,'Cashier Roster'!$B$5:$B$64,0)),"Not on roster"))</f>
        <v/>
      </c>
      <c r="D2308" s="12" t="str">
        <f>IF(B2308="","",IFERROR(INDEX('Cashier Roster'!$D$5:$D$64,MATCH(B2308,'Cashier Roster'!$B$5:$B$64,0)),""))</f>
        <v/>
      </c>
      <c r="E2308" s="13"/>
      <c r="F2308" s="14"/>
      <c r="G2308" s="8" t="str">
        <f>IF(OR(B2308="",E2308=""),"",IF(E2308="No","Missed",IF(F2308="","",IF(F2308&lt;=Settings!$B$7,"On time","Late"))))</f>
        <v/>
      </c>
      <c r="H2308" s="15"/>
      <c r="I2308" s="16"/>
      <c r="J2308" s="16"/>
      <c r="K2308" s="17" t="str">
        <f>IF(J2308="","",ROUND(J2308*Settings!$B$8,2))</f>
        <v/>
      </c>
      <c r="L2308" s="16"/>
      <c r="M2308" s="8" t="str">
        <f t="shared" si="35"/>
        <v/>
      </c>
      <c r="N2308" s="9"/>
    </row>
    <row r="2309" spans="1:14" ht="15.75">
      <c r="A2309" s="11"/>
      <c r="B2309" s="9"/>
      <c r="C2309" s="12" t="str">
        <f>IF(B2309="","",IFERROR(INDEX('Cashier Roster'!$C$5:$C$64,MATCH(B2309,'Cashier Roster'!$B$5:$B$64,0)),"Not on roster"))</f>
        <v/>
      </c>
      <c r="D2309" s="12" t="str">
        <f>IF(B2309="","",IFERROR(INDEX('Cashier Roster'!$D$5:$D$64,MATCH(B2309,'Cashier Roster'!$B$5:$B$64,0)),""))</f>
        <v/>
      </c>
      <c r="E2309" s="13"/>
      <c r="F2309" s="14"/>
      <c r="G2309" s="8" t="str">
        <f>IF(OR(B2309="",E2309=""),"",IF(E2309="No","Missed",IF(F2309="","",IF(F2309&lt;=Settings!$B$7,"On time","Late"))))</f>
        <v/>
      </c>
      <c r="H2309" s="15"/>
      <c r="I2309" s="16"/>
      <c r="J2309" s="16"/>
      <c r="K2309" s="17" t="str">
        <f>IF(J2309="","",ROUND(J2309*Settings!$B$8,2))</f>
        <v/>
      </c>
      <c r="L2309" s="16"/>
      <c r="M2309" s="8" t="str">
        <f t="shared" ref="M2309:M2372" si="36">IF(L2309="","",IF(L2309&lt;=0,"Yes","No"))</f>
        <v/>
      </c>
      <c r="N2309" s="9"/>
    </row>
    <row r="2310" spans="1:14" ht="15.75">
      <c r="A2310" s="11"/>
      <c r="B2310" s="9"/>
      <c r="C2310" s="12" t="str">
        <f>IF(B2310="","",IFERROR(INDEX('Cashier Roster'!$C$5:$C$64,MATCH(B2310,'Cashier Roster'!$B$5:$B$64,0)),"Not on roster"))</f>
        <v/>
      </c>
      <c r="D2310" s="12" t="str">
        <f>IF(B2310="","",IFERROR(INDEX('Cashier Roster'!$D$5:$D$64,MATCH(B2310,'Cashier Roster'!$B$5:$B$64,0)),""))</f>
        <v/>
      </c>
      <c r="E2310" s="13"/>
      <c r="F2310" s="14"/>
      <c r="G2310" s="8" t="str">
        <f>IF(OR(B2310="",E2310=""),"",IF(E2310="No","Missed",IF(F2310="","",IF(F2310&lt;=Settings!$B$7,"On time","Late"))))</f>
        <v/>
      </c>
      <c r="H2310" s="15"/>
      <c r="I2310" s="16"/>
      <c r="J2310" s="16"/>
      <c r="K2310" s="17" t="str">
        <f>IF(J2310="","",ROUND(J2310*Settings!$B$8,2))</f>
        <v/>
      </c>
      <c r="L2310" s="16"/>
      <c r="M2310" s="8" t="str">
        <f t="shared" si="36"/>
        <v/>
      </c>
      <c r="N2310" s="9"/>
    </row>
    <row r="2311" spans="1:14" ht="15.75">
      <c r="A2311" s="11"/>
      <c r="B2311" s="9"/>
      <c r="C2311" s="12" t="str">
        <f>IF(B2311="","",IFERROR(INDEX('Cashier Roster'!$C$5:$C$64,MATCH(B2311,'Cashier Roster'!$B$5:$B$64,0)),"Not on roster"))</f>
        <v/>
      </c>
      <c r="D2311" s="12" t="str">
        <f>IF(B2311="","",IFERROR(INDEX('Cashier Roster'!$D$5:$D$64,MATCH(B2311,'Cashier Roster'!$B$5:$B$64,0)),""))</f>
        <v/>
      </c>
      <c r="E2311" s="13"/>
      <c r="F2311" s="14"/>
      <c r="G2311" s="8" t="str">
        <f>IF(OR(B2311="",E2311=""),"",IF(E2311="No","Missed",IF(F2311="","",IF(F2311&lt;=Settings!$B$7,"On time","Late"))))</f>
        <v/>
      </c>
      <c r="H2311" s="15"/>
      <c r="I2311" s="16"/>
      <c r="J2311" s="16"/>
      <c r="K2311" s="17" t="str">
        <f>IF(J2311="","",ROUND(J2311*Settings!$B$8,2))</f>
        <v/>
      </c>
      <c r="L2311" s="16"/>
      <c r="M2311" s="8" t="str">
        <f t="shared" si="36"/>
        <v/>
      </c>
      <c r="N2311" s="9"/>
    </row>
    <row r="2312" spans="1:14" ht="15.75">
      <c r="A2312" s="11"/>
      <c r="B2312" s="9"/>
      <c r="C2312" s="12" t="str">
        <f>IF(B2312="","",IFERROR(INDEX('Cashier Roster'!$C$5:$C$64,MATCH(B2312,'Cashier Roster'!$B$5:$B$64,0)),"Not on roster"))</f>
        <v/>
      </c>
      <c r="D2312" s="12" t="str">
        <f>IF(B2312="","",IFERROR(INDEX('Cashier Roster'!$D$5:$D$64,MATCH(B2312,'Cashier Roster'!$B$5:$B$64,0)),""))</f>
        <v/>
      </c>
      <c r="E2312" s="13"/>
      <c r="F2312" s="14"/>
      <c r="G2312" s="8" t="str">
        <f>IF(OR(B2312="",E2312=""),"",IF(E2312="No","Missed",IF(F2312="","",IF(F2312&lt;=Settings!$B$7,"On time","Late"))))</f>
        <v/>
      </c>
      <c r="H2312" s="15"/>
      <c r="I2312" s="16"/>
      <c r="J2312" s="16"/>
      <c r="K2312" s="17" t="str">
        <f>IF(J2312="","",ROUND(J2312*Settings!$B$8,2))</f>
        <v/>
      </c>
      <c r="L2312" s="16"/>
      <c r="M2312" s="8" t="str">
        <f t="shared" si="36"/>
        <v/>
      </c>
      <c r="N2312" s="9"/>
    </row>
    <row r="2313" spans="1:14" ht="15.75">
      <c r="A2313" s="11"/>
      <c r="B2313" s="9"/>
      <c r="C2313" s="12" t="str">
        <f>IF(B2313="","",IFERROR(INDEX('Cashier Roster'!$C$5:$C$64,MATCH(B2313,'Cashier Roster'!$B$5:$B$64,0)),"Not on roster"))</f>
        <v/>
      </c>
      <c r="D2313" s="12" t="str">
        <f>IF(B2313="","",IFERROR(INDEX('Cashier Roster'!$D$5:$D$64,MATCH(B2313,'Cashier Roster'!$B$5:$B$64,0)),""))</f>
        <v/>
      </c>
      <c r="E2313" s="13"/>
      <c r="F2313" s="14"/>
      <c r="G2313" s="8" t="str">
        <f>IF(OR(B2313="",E2313=""),"",IF(E2313="No","Missed",IF(F2313="","",IF(F2313&lt;=Settings!$B$7,"On time","Late"))))</f>
        <v/>
      </c>
      <c r="H2313" s="15"/>
      <c r="I2313" s="16"/>
      <c r="J2313" s="16"/>
      <c r="K2313" s="17" t="str">
        <f>IF(J2313="","",ROUND(J2313*Settings!$B$8,2))</f>
        <v/>
      </c>
      <c r="L2313" s="16"/>
      <c r="M2313" s="8" t="str">
        <f t="shared" si="36"/>
        <v/>
      </c>
      <c r="N2313" s="9"/>
    </row>
    <row r="2314" spans="1:14" ht="15.75">
      <c r="A2314" s="11"/>
      <c r="B2314" s="9"/>
      <c r="C2314" s="12" t="str">
        <f>IF(B2314="","",IFERROR(INDEX('Cashier Roster'!$C$5:$C$64,MATCH(B2314,'Cashier Roster'!$B$5:$B$64,0)),"Not on roster"))</f>
        <v/>
      </c>
      <c r="D2314" s="12" t="str">
        <f>IF(B2314="","",IFERROR(INDEX('Cashier Roster'!$D$5:$D$64,MATCH(B2314,'Cashier Roster'!$B$5:$B$64,0)),""))</f>
        <v/>
      </c>
      <c r="E2314" s="13"/>
      <c r="F2314" s="14"/>
      <c r="G2314" s="8" t="str">
        <f>IF(OR(B2314="",E2314=""),"",IF(E2314="No","Missed",IF(F2314="","",IF(F2314&lt;=Settings!$B$7,"On time","Late"))))</f>
        <v/>
      </c>
      <c r="H2314" s="15"/>
      <c r="I2314" s="16"/>
      <c r="J2314" s="16"/>
      <c r="K2314" s="17" t="str">
        <f>IF(J2314="","",ROUND(J2314*Settings!$B$8,2))</f>
        <v/>
      </c>
      <c r="L2314" s="16"/>
      <c r="M2314" s="8" t="str">
        <f t="shared" si="36"/>
        <v/>
      </c>
      <c r="N2314" s="9"/>
    </row>
    <row r="2315" spans="1:14" ht="15.75">
      <c r="A2315" s="11"/>
      <c r="B2315" s="9"/>
      <c r="C2315" s="12" t="str">
        <f>IF(B2315="","",IFERROR(INDEX('Cashier Roster'!$C$5:$C$64,MATCH(B2315,'Cashier Roster'!$B$5:$B$64,0)),"Not on roster"))</f>
        <v/>
      </c>
      <c r="D2315" s="12" t="str">
        <f>IF(B2315="","",IFERROR(INDEX('Cashier Roster'!$D$5:$D$64,MATCH(B2315,'Cashier Roster'!$B$5:$B$64,0)),""))</f>
        <v/>
      </c>
      <c r="E2315" s="13"/>
      <c r="F2315" s="14"/>
      <c r="G2315" s="8" t="str">
        <f>IF(OR(B2315="",E2315=""),"",IF(E2315="No","Missed",IF(F2315="","",IF(F2315&lt;=Settings!$B$7,"On time","Late"))))</f>
        <v/>
      </c>
      <c r="H2315" s="15"/>
      <c r="I2315" s="16"/>
      <c r="J2315" s="16"/>
      <c r="K2315" s="17" t="str">
        <f>IF(J2315="","",ROUND(J2315*Settings!$B$8,2))</f>
        <v/>
      </c>
      <c r="L2315" s="16"/>
      <c r="M2315" s="8" t="str">
        <f t="shared" si="36"/>
        <v/>
      </c>
      <c r="N2315" s="9"/>
    </row>
    <row r="2316" spans="1:14" ht="15.75">
      <c r="A2316" s="11"/>
      <c r="B2316" s="9"/>
      <c r="C2316" s="12" t="str">
        <f>IF(B2316="","",IFERROR(INDEX('Cashier Roster'!$C$5:$C$64,MATCH(B2316,'Cashier Roster'!$B$5:$B$64,0)),"Not on roster"))</f>
        <v/>
      </c>
      <c r="D2316" s="12" t="str">
        <f>IF(B2316="","",IFERROR(INDEX('Cashier Roster'!$D$5:$D$64,MATCH(B2316,'Cashier Roster'!$B$5:$B$64,0)),""))</f>
        <v/>
      </c>
      <c r="E2316" s="13"/>
      <c r="F2316" s="14"/>
      <c r="G2316" s="8" t="str">
        <f>IF(OR(B2316="",E2316=""),"",IF(E2316="No","Missed",IF(F2316="","",IF(F2316&lt;=Settings!$B$7,"On time","Late"))))</f>
        <v/>
      </c>
      <c r="H2316" s="15"/>
      <c r="I2316" s="16"/>
      <c r="J2316" s="16"/>
      <c r="K2316" s="17" t="str">
        <f>IF(J2316="","",ROUND(J2316*Settings!$B$8,2))</f>
        <v/>
      </c>
      <c r="L2316" s="16"/>
      <c r="M2316" s="8" t="str">
        <f t="shared" si="36"/>
        <v/>
      </c>
      <c r="N2316" s="9"/>
    </row>
    <row r="2317" spans="1:14" ht="15.75">
      <c r="A2317" s="11"/>
      <c r="B2317" s="9"/>
      <c r="C2317" s="12" t="str">
        <f>IF(B2317="","",IFERROR(INDEX('Cashier Roster'!$C$5:$C$64,MATCH(B2317,'Cashier Roster'!$B$5:$B$64,0)),"Not on roster"))</f>
        <v/>
      </c>
      <c r="D2317" s="12" t="str">
        <f>IF(B2317="","",IFERROR(INDEX('Cashier Roster'!$D$5:$D$64,MATCH(B2317,'Cashier Roster'!$B$5:$B$64,0)),""))</f>
        <v/>
      </c>
      <c r="E2317" s="13"/>
      <c r="F2317" s="14"/>
      <c r="G2317" s="8" t="str">
        <f>IF(OR(B2317="",E2317=""),"",IF(E2317="No","Missed",IF(F2317="","",IF(F2317&lt;=Settings!$B$7,"On time","Late"))))</f>
        <v/>
      </c>
      <c r="H2317" s="15"/>
      <c r="I2317" s="16"/>
      <c r="J2317" s="16"/>
      <c r="K2317" s="17" t="str">
        <f>IF(J2317="","",ROUND(J2317*Settings!$B$8,2))</f>
        <v/>
      </c>
      <c r="L2317" s="16"/>
      <c r="M2317" s="8" t="str">
        <f t="shared" si="36"/>
        <v/>
      </c>
      <c r="N2317" s="9"/>
    </row>
    <row r="2318" spans="1:14" ht="15.75">
      <c r="A2318" s="11"/>
      <c r="B2318" s="9"/>
      <c r="C2318" s="12" t="str">
        <f>IF(B2318="","",IFERROR(INDEX('Cashier Roster'!$C$5:$C$64,MATCH(B2318,'Cashier Roster'!$B$5:$B$64,0)),"Not on roster"))</f>
        <v/>
      </c>
      <c r="D2318" s="12" t="str">
        <f>IF(B2318="","",IFERROR(INDEX('Cashier Roster'!$D$5:$D$64,MATCH(B2318,'Cashier Roster'!$B$5:$B$64,0)),""))</f>
        <v/>
      </c>
      <c r="E2318" s="13"/>
      <c r="F2318" s="14"/>
      <c r="G2318" s="8" t="str">
        <f>IF(OR(B2318="",E2318=""),"",IF(E2318="No","Missed",IF(F2318="","",IF(F2318&lt;=Settings!$B$7,"On time","Late"))))</f>
        <v/>
      </c>
      <c r="H2318" s="15"/>
      <c r="I2318" s="16"/>
      <c r="J2318" s="16"/>
      <c r="K2318" s="17" t="str">
        <f>IF(J2318="","",ROUND(J2318*Settings!$B$8,2))</f>
        <v/>
      </c>
      <c r="L2318" s="16"/>
      <c r="M2318" s="8" t="str">
        <f t="shared" si="36"/>
        <v/>
      </c>
      <c r="N2318" s="9"/>
    </row>
    <row r="2319" spans="1:14" ht="15.75">
      <c r="A2319" s="11"/>
      <c r="B2319" s="9"/>
      <c r="C2319" s="12" t="str">
        <f>IF(B2319="","",IFERROR(INDEX('Cashier Roster'!$C$5:$C$64,MATCH(B2319,'Cashier Roster'!$B$5:$B$64,0)),"Not on roster"))</f>
        <v/>
      </c>
      <c r="D2319" s="12" t="str">
        <f>IF(B2319="","",IFERROR(INDEX('Cashier Roster'!$D$5:$D$64,MATCH(B2319,'Cashier Roster'!$B$5:$B$64,0)),""))</f>
        <v/>
      </c>
      <c r="E2319" s="13"/>
      <c r="F2319" s="14"/>
      <c r="G2319" s="8" t="str">
        <f>IF(OR(B2319="",E2319=""),"",IF(E2319="No","Missed",IF(F2319="","",IF(F2319&lt;=Settings!$B$7,"On time","Late"))))</f>
        <v/>
      </c>
      <c r="H2319" s="15"/>
      <c r="I2319" s="16"/>
      <c r="J2319" s="16"/>
      <c r="K2319" s="17" t="str">
        <f>IF(J2319="","",ROUND(J2319*Settings!$B$8,2))</f>
        <v/>
      </c>
      <c r="L2319" s="16"/>
      <c r="M2319" s="8" t="str">
        <f t="shared" si="36"/>
        <v/>
      </c>
      <c r="N2319" s="9"/>
    </row>
    <row r="2320" spans="1:14" ht="15.75">
      <c r="A2320" s="11"/>
      <c r="B2320" s="9"/>
      <c r="C2320" s="12" t="str">
        <f>IF(B2320="","",IFERROR(INDEX('Cashier Roster'!$C$5:$C$64,MATCH(B2320,'Cashier Roster'!$B$5:$B$64,0)),"Not on roster"))</f>
        <v/>
      </c>
      <c r="D2320" s="12" t="str">
        <f>IF(B2320="","",IFERROR(INDEX('Cashier Roster'!$D$5:$D$64,MATCH(B2320,'Cashier Roster'!$B$5:$B$64,0)),""))</f>
        <v/>
      </c>
      <c r="E2320" s="13"/>
      <c r="F2320" s="14"/>
      <c r="G2320" s="8" t="str">
        <f>IF(OR(B2320="",E2320=""),"",IF(E2320="No","Missed",IF(F2320="","",IF(F2320&lt;=Settings!$B$7,"On time","Late"))))</f>
        <v/>
      </c>
      <c r="H2320" s="15"/>
      <c r="I2320" s="16"/>
      <c r="J2320" s="16"/>
      <c r="K2320" s="17" t="str">
        <f>IF(J2320="","",ROUND(J2320*Settings!$B$8,2))</f>
        <v/>
      </c>
      <c r="L2320" s="16"/>
      <c r="M2320" s="8" t="str">
        <f t="shared" si="36"/>
        <v/>
      </c>
      <c r="N2320" s="9"/>
    </row>
    <row r="2321" spans="1:14" ht="15.75">
      <c r="A2321" s="11"/>
      <c r="B2321" s="9"/>
      <c r="C2321" s="12" t="str">
        <f>IF(B2321="","",IFERROR(INDEX('Cashier Roster'!$C$5:$C$64,MATCH(B2321,'Cashier Roster'!$B$5:$B$64,0)),"Not on roster"))</f>
        <v/>
      </c>
      <c r="D2321" s="12" t="str">
        <f>IF(B2321="","",IFERROR(INDEX('Cashier Roster'!$D$5:$D$64,MATCH(B2321,'Cashier Roster'!$B$5:$B$64,0)),""))</f>
        <v/>
      </c>
      <c r="E2321" s="13"/>
      <c r="F2321" s="14"/>
      <c r="G2321" s="8" t="str">
        <f>IF(OR(B2321="",E2321=""),"",IF(E2321="No","Missed",IF(F2321="","",IF(F2321&lt;=Settings!$B$7,"On time","Late"))))</f>
        <v/>
      </c>
      <c r="H2321" s="15"/>
      <c r="I2321" s="16"/>
      <c r="J2321" s="16"/>
      <c r="K2321" s="17" t="str">
        <f>IF(J2321="","",ROUND(J2321*Settings!$B$8,2))</f>
        <v/>
      </c>
      <c r="L2321" s="16"/>
      <c r="M2321" s="8" t="str">
        <f t="shared" si="36"/>
        <v/>
      </c>
      <c r="N2321" s="9"/>
    </row>
    <row r="2322" spans="1:14" ht="15.75">
      <c r="A2322" s="11"/>
      <c r="B2322" s="9"/>
      <c r="C2322" s="12" t="str">
        <f>IF(B2322="","",IFERROR(INDEX('Cashier Roster'!$C$5:$C$64,MATCH(B2322,'Cashier Roster'!$B$5:$B$64,0)),"Not on roster"))</f>
        <v/>
      </c>
      <c r="D2322" s="12" t="str">
        <f>IF(B2322="","",IFERROR(INDEX('Cashier Roster'!$D$5:$D$64,MATCH(B2322,'Cashier Roster'!$B$5:$B$64,0)),""))</f>
        <v/>
      </c>
      <c r="E2322" s="13"/>
      <c r="F2322" s="14"/>
      <c r="G2322" s="8" t="str">
        <f>IF(OR(B2322="",E2322=""),"",IF(E2322="No","Missed",IF(F2322="","",IF(F2322&lt;=Settings!$B$7,"On time","Late"))))</f>
        <v/>
      </c>
      <c r="H2322" s="15"/>
      <c r="I2322" s="16"/>
      <c r="J2322" s="16"/>
      <c r="K2322" s="17" t="str">
        <f>IF(J2322="","",ROUND(J2322*Settings!$B$8,2))</f>
        <v/>
      </c>
      <c r="L2322" s="16"/>
      <c r="M2322" s="8" t="str">
        <f t="shared" si="36"/>
        <v/>
      </c>
      <c r="N2322" s="9"/>
    </row>
    <row r="2323" spans="1:14" ht="15.75">
      <c r="A2323" s="11"/>
      <c r="B2323" s="9"/>
      <c r="C2323" s="12" t="str">
        <f>IF(B2323="","",IFERROR(INDEX('Cashier Roster'!$C$5:$C$64,MATCH(B2323,'Cashier Roster'!$B$5:$B$64,0)),"Not on roster"))</f>
        <v/>
      </c>
      <c r="D2323" s="12" t="str">
        <f>IF(B2323="","",IFERROR(INDEX('Cashier Roster'!$D$5:$D$64,MATCH(B2323,'Cashier Roster'!$B$5:$B$64,0)),""))</f>
        <v/>
      </c>
      <c r="E2323" s="13"/>
      <c r="F2323" s="14"/>
      <c r="G2323" s="8" t="str">
        <f>IF(OR(B2323="",E2323=""),"",IF(E2323="No","Missed",IF(F2323="","",IF(F2323&lt;=Settings!$B$7,"On time","Late"))))</f>
        <v/>
      </c>
      <c r="H2323" s="15"/>
      <c r="I2323" s="16"/>
      <c r="J2323" s="16"/>
      <c r="K2323" s="17" t="str">
        <f>IF(J2323="","",ROUND(J2323*Settings!$B$8,2))</f>
        <v/>
      </c>
      <c r="L2323" s="16"/>
      <c r="M2323" s="8" t="str">
        <f t="shared" si="36"/>
        <v/>
      </c>
      <c r="N2323" s="9"/>
    </row>
    <row r="2324" spans="1:14" ht="15.75">
      <c r="A2324" s="11"/>
      <c r="B2324" s="9"/>
      <c r="C2324" s="12" t="str">
        <f>IF(B2324="","",IFERROR(INDEX('Cashier Roster'!$C$5:$C$64,MATCH(B2324,'Cashier Roster'!$B$5:$B$64,0)),"Not on roster"))</f>
        <v/>
      </c>
      <c r="D2324" s="12" t="str">
        <f>IF(B2324="","",IFERROR(INDEX('Cashier Roster'!$D$5:$D$64,MATCH(B2324,'Cashier Roster'!$B$5:$B$64,0)),""))</f>
        <v/>
      </c>
      <c r="E2324" s="13"/>
      <c r="F2324" s="14"/>
      <c r="G2324" s="8" t="str">
        <f>IF(OR(B2324="",E2324=""),"",IF(E2324="No","Missed",IF(F2324="","",IF(F2324&lt;=Settings!$B$7,"On time","Late"))))</f>
        <v/>
      </c>
      <c r="H2324" s="15"/>
      <c r="I2324" s="16"/>
      <c r="J2324" s="16"/>
      <c r="K2324" s="17" t="str">
        <f>IF(J2324="","",ROUND(J2324*Settings!$B$8,2))</f>
        <v/>
      </c>
      <c r="L2324" s="16"/>
      <c r="M2324" s="8" t="str">
        <f t="shared" si="36"/>
        <v/>
      </c>
      <c r="N2324" s="9"/>
    </row>
    <row r="2325" spans="1:14" ht="15.75">
      <c r="A2325" s="11"/>
      <c r="B2325" s="9"/>
      <c r="C2325" s="12" t="str">
        <f>IF(B2325="","",IFERROR(INDEX('Cashier Roster'!$C$5:$C$64,MATCH(B2325,'Cashier Roster'!$B$5:$B$64,0)),"Not on roster"))</f>
        <v/>
      </c>
      <c r="D2325" s="12" t="str">
        <f>IF(B2325="","",IFERROR(INDEX('Cashier Roster'!$D$5:$D$64,MATCH(B2325,'Cashier Roster'!$B$5:$B$64,0)),""))</f>
        <v/>
      </c>
      <c r="E2325" s="13"/>
      <c r="F2325" s="14"/>
      <c r="G2325" s="8" t="str">
        <f>IF(OR(B2325="",E2325=""),"",IF(E2325="No","Missed",IF(F2325="","",IF(F2325&lt;=Settings!$B$7,"On time","Late"))))</f>
        <v/>
      </c>
      <c r="H2325" s="15"/>
      <c r="I2325" s="16"/>
      <c r="J2325" s="16"/>
      <c r="K2325" s="17" t="str">
        <f>IF(J2325="","",ROUND(J2325*Settings!$B$8,2))</f>
        <v/>
      </c>
      <c r="L2325" s="16"/>
      <c r="M2325" s="8" t="str">
        <f t="shared" si="36"/>
        <v/>
      </c>
      <c r="N2325" s="9"/>
    </row>
    <row r="2326" spans="1:14" ht="15.75">
      <c r="A2326" s="11"/>
      <c r="B2326" s="9"/>
      <c r="C2326" s="12" t="str">
        <f>IF(B2326="","",IFERROR(INDEX('Cashier Roster'!$C$5:$C$64,MATCH(B2326,'Cashier Roster'!$B$5:$B$64,0)),"Not on roster"))</f>
        <v/>
      </c>
      <c r="D2326" s="12" t="str">
        <f>IF(B2326="","",IFERROR(INDEX('Cashier Roster'!$D$5:$D$64,MATCH(B2326,'Cashier Roster'!$B$5:$B$64,0)),""))</f>
        <v/>
      </c>
      <c r="E2326" s="13"/>
      <c r="F2326" s="14"/>
      <c r="G2326" s="8" t="str">
        <f>IF(OR(B2326="",E2326=""),"",IF(E2326="No","Missed",IF(F2326="","",IF(F2326&lt;=Settings!$B$7,"On time","Late"))))</f>
        <v/>
      </c>
      <c r="H2326" s="15"/>
      <c r="I2326" s="16"/>
      <c r="J2326" s="16"/>
      <c r="K2326" s="17" t="str">
        <f>IF(J2326="","",ROUND(J2326*Settings!$B$8,2))</f>
        <v/>
      </c>
      <c r="L2326" s="16"/>
      <c r="M2326" s="8" t="str">
        <f t="shared" si="36"/>
        <v/>
      </c>
      <c r="N2326" s="9"/>
    </row>
    <row r="2327" spans="1:14" ht="15.75">
      <c r="A2327" s="11"/>
      <c r="B2327" s="9"/>
      <c r="C2327" s="12" t="str">
        <f>IF(B2327="","",IFERROR(INDEX('Cashier Roster'!$C$5:$C$64,MATCH(B2327,'Cashier Roster'!$B$5:$B$64,0)),"Not on roster"))</f>
        <v/>
      </c>
      <c r="D2327" s="12" t="str">
        <f>IF(B2327="","",IFERROR(INDEX('Cashier Roster'!$D$5:$D$64,MATCH(B2327,'Cashier Roster'!$B$5:$B$64,0)),""))</f>
        <v/>
      </c>
      <c r="E2327" s="13"/>
      <c r="F2327" s="14"/>
      <c r="G2327" s="8" t="str">
        <f>IF(OR(B2327="",E2327=""),"",IF(E2327="No","Missed",IF(F2327="","",IF(F2327&lt;=Settings!$B$7,"On time","Late"))))</f>
        <v/>
      </c>
      <c r="H2327" s="15"/>
      <c r="I2327" s="16"/>
      <c r="J2327" s="16"/>
      <c r="K2327" s="17" t="str">
        <f>IF(J2327="","",ROUND(J2327*Settings!$B$8,2))</f>
        <v/>
      </c>
      <c r="L2327" s="16"/>
      <c r="M2327" s="8" t="str">
        <f t="shared" si="36"/>
        <v/>
      </c>
      <c r="N2327" s="9"/>
    </row>
    <row r="2328" spans="1:14" ht="15.75">
      <c r="A2328" s="11"/>
      <c r="B2328" s="9"/>
      <c r="C2328" s="12" t="str">
        <f>IF(B2328="","",IFERROR(INDEX('Cashier Roster'!$C$5:$C$64,MATCH(B2328,'Cashier Roster'!$B$5:$B$64,0)),"Not on roster"))</f>
        <v/>
      </c>
      <c r="D2328" s="12" t="str">
        <f>IF(B2328="","",IFERROR(INDEX('Cashier Roster'!$D$5:$D$64,MATCH(B2328,'Cashier Roster'!$B$5:$B$64,0)),""))</f>
        <v/>
      </c>
      <c r="E2328" s="13"/>
      <c r="F2328" s="14"/>
      <c r="G2328" s="8" t="str">
        <f>IF(OR(B2328="",E2328=""),"",IF(E2328="No","Missed",IF(F2328="","",IF(F2328&lt;=Settings!$B$7,"On time","Late"))))</f>
        <v/>
      </c>
      <c r="H2328" s="15"/>
      <c r="I2328" s="16"/>
      <c r="J2328" s="16"/>
      <c r="K2328" s="17" t="str">
        <f>IF(J2328="","",ROUND(J2328*Settings!$B$8,2))</f>
        <v/>
      </c>
      <c r="L2328" s="16"/>
      <c r="M2328" s="8" t="str">
        <f t="shared" si="36"/>
        <v/>
      </c>
      <c r="N2328" s="9"/>
    </row>
    <row r="2329" spans="1:14" ht="15.75">
      <c r="A2329" s="11"/>
      <c r="B2329" s="9"/>
      <c r="C2329" s="12" t="str">
        <f>IF(B2329="","",IFERROR(INDEX('Cashier Roster'!$C$5:$C$64,MATCH(B2329,'Cashier Roster'!$B$5:$B$64,0)),"Not on roster"))</f>
        <v/>
      </c>
      <c r="D2329" s="12" t="str">
        <f>IF(B2329="","",IFERROR(INDEX('Cashier Roster'!$D$5:$D$64,MATCH(B2329,'Cashier Roster'!$B$5:$B$64,0)),""))</f>
        <v/>
      </c>
      <c r="E2329" s="13"/>
      <c r="F2329" s="14"/>
      <c r="G2329" s="8" t="str">
        <f>IF(OR(B2329="",E2329=""),"",IF(E2329="No","Missed",IF(F2329="","",IF(F2329&lt;=Settings!$B$7,"On time","Late"))))</f>
        <v/>
      </c>
      <c r="H2329" s="15"/>
      <c r="I2329" s="16"/>
      <c r="J2329" s="16"/>
      <c r="K2329" s="17" t="str">
        <f>IF(J2329="","",ROUND(J2329*Settings!$B$8,2))</f>
        <v/>
      </c>
      <c r="L2329" s="16"/>
      <c r="M2329" s="8" t="str">
        <f t="shared" si="36"/>
        <v/>
      </c>
      <c r="N2329" s="9"/>
    </row>
    <row r="2330" spans="1:14" ht="15.75">
      <c r="A2330" s="11"/>
      <c r="B2330" s="9"/>
      <c r="C2330" s="12" t="str">
        <f>IF(B2330="","",IFERROR(INDEX('Cashier Roster'!$C$5:$C$64,MATCH(B2330,'Cashier Roster'!$B$5:$B$64,0)),"Not on roster"))</f>
        <v/>
      </c>
      <c r="D2330" s="12" t="str">
        <f>IF(B2330="","",IFERROR(INDEX('Cashier Roster'!$D$5:$D$64,MATCH(B2330,'Cashier Roster'!$B$5:$B$64,0)),""))</f>
        <v/>
      </c>
      <c r="E2330" s="13"/>
      <c r="F2330" s="14"/>
      <c r="G2330" s="8" t="str">
        <f>IF(OR(B2330="",E2330=""),"",IF(E2330="No","Missed",IF(F2330="","",IF(F2330&lt;=Settings!$B$7,"On time","Late"))))</f>
        <v/>
      </c>
      <c r="H2330" s="15"/>
      <c r="I2330" s="16"/>
      <c r="J2330" s="16"/>
      <c r="K2330" s="17" t="str">
        <f>IF(J2330="","",ROUND(J2330*Settings!$B$8,2))</f>
        <v/>
      </c>
      <c r="L2330" s="16"/>
      <c r="M2330" s="8" t="str">
        <f t="shared" si="36"/>
        <v/>
      </c>
      <c r="N2330" s="9"/>
    </row>
    <row r="2331" spans="1:14" ht="15.75">
      <c r="A2331" s="11"/>
      <c r="B2331" s="9"/>
      <c r="C2331" s="12" t="str">
        <f>IF(B2331="","",IFERROR(INDEX('Cashier Roster'!$C$5:$C$64,MATCH(B2331,'Cashier Roster'!$B$5:$B$64,0)),"Not on roster"))</f>
        <v/>
      </c>
      <c r="D2331" s="12" t="str">
        <f>IF(B2331="","",IFERROR(INDEX('Cashier Roster'!$D$5:$D$64,MATCH(B2331,'Cashier Roster'!$B$5:$B$64,0)),""))</f>
        <v/>
      </c>
      <c r="E2331" s="13"/>
      <c r="F2331" s="14"/>
      <c r="G2331" s="8" t="str">
        <f>IF(OR(B2331="",E2331=""),"",IF(E2331="No","Missed",IF(F2331="","",IF(F2331&lt;=Settings!$B$7,"On time","Late"))))</f>
        <v/>
      </c>
      <c r="H2331" s="15"/>
      <c r="I2331" s="16"/>
      <c r="J2331" s="16"/>
      <c r="K2331" s="17" t="str">
        <f>IF(J2331="","",ROUND(J2331*Settings!$B$8,2))</f>
        <v/>
      </c>
      <c r="L2331" s="16"/>
      <c r="M2331" s="8" t="str">
        <f t="shared" si="36"/>
        <v/>
      </c>
      <c r="N2331" s="9"/>
    </row>
    <row r="2332" spans="1:14" ht="15.75">
      <c r="A2332" s="11"/>
      <c r="B2332" s="9"/>
      <c r="C2332" s="12" t="str">
        <f>IF(B2332="","",IFERROR(INDEX('Cashier Roster'!$C$5:$C$64,MATCH(B2332,'Cashier Roster'!$B$5:$B$64,0)),"Not on roster"))</f>
        <v/>
      </c>
      <c r="D2332" s="12" t="str">
        <f>IF(B2332="","",IFERROR(INDEX('Cashier Roster'!$D$5:$D$64,MATCH(B2332,'Cashier Roster'!$B$5:$B$64,0)),""))</f>
        <v/>
      </c>
      <c r="E2332" s="13"/>
      <c r="F2332" s="14"/>
      <c r="G2332" s="8" t="str">
        <f>IF(OR(B2332="",E2332=""),"",IF(E2332="No","Missed",IF(F2332="","",IF(F2332&lt;=Settings!$B$7,"On time","Late"))))</f>
        <v/>
      </c>
      <c r="H2332" s="15"/>
      <c r="I2332" s="16"/>
      <c r="J2332" s="16"/>
      <c r="K2332" s="17" t="str">
        <f>IF(J2332="","",ROUND(J2332*Settings!$B$8,2))</f>
        <v/>
      </c>
      <c r="L2332" s="16"/>
      <c r="M2332" s="8" t="str">
        <f t="shared" si="36"/>
        <v/>
      </c>
      <c r="N2332" s="9"/>
    </row>
    <row r="2333" spans="1:14" ht="15.75">
      <c r="A2333" s="11"/>
      <c r="B2333" s="9"/>
      <c r="C2333" s="12" t="str">
        <f>IF(B2333="","",IFERROR(INDEX('Cashier Roster'!$C$5:$C$64,MATCH(B2333,'Cashier Roster'!$B$5:$B$64,0)),"Not on roster"))</f>
        <v/>
      </c>
      <c r="D2333" s="12" t="str">
        <f>IF(B2333="","",IFERROR(INDEX('Cashier Roster'!$D$5:$D$64,MATCH(B2333,'Cashier Roster'!$B$5:$B$64,0)),""))</f>
        <v/>
      </c>
      <c r="E2333" s="13"/>
      <c r="F2333" s="14"/>
      <c r="G2333" s="8" t="str">
        <f>IF(OR(B2333="",E2333=""),"",IF(E2333="No","Missed",IF(F2333="","",IF(F2333&lt;=Settings!$B$7,"On time","Late"))))</f>
        <v/>
      </c>
      <c r="H2333" s="15"/>
      <c r="I2333" s="16"/>
      <c r="J2333" s="16"/>
      <c r="K2333" s="17" t="str">
        <f>IF(J2333="","",ROUND(J2333*Settings!$B$8,2))</f>
        <v/>
      </c>
      <c r="L2333" s="16"/>
      <c r="M2333" s="8" t="str">
        <f t="shared" si="36"/>
        <v/>
      </c>
      <c r="N2333" s="9"/>
    </row>
    <row r="2334" spans="1:14" ht="15.75">
      <c r="A2334" s="11"/>
      <c r="B2334" s="9"/>
      <c r="C2334" s="12" t="str">
        <f>IF(B2334="","",IFERROR(INDEX('Cashier Roster'!$C$5:$C$64,MATCH(B2334,'Cashier Roster'!$B$5:$B$64,0)),"Not on roster"))</f>
        <v/>
      </c>
      <c r="D2334" s="12" t="str">
        <f>IF(B2334="","",IFERROR(INDEX('Cashier Roster'!$D$5:$D$64,MATCH(B2334,'Cashier Roster'!$B$5:$B$64,0)),""))</f>
        <v/>
      </c>
      <c r="E2334" s="13"/>
      <c r="F2334" s="14"/>
      <c r="G2334" s="8" t="str">
        <f>IF(OR(B2334="",E2334=""),"",IF(E2334="No","Missed",IF(F2334="","",IF(F2334&lt;=Settings!$B$7,"On time","Late"))))</f>
        <v/>
      </c>
      <c r="H2334" s="15"/>
      <c r="I2334" s="16"/>
      <c r="J2334" s="16"/>
      <c r="K2334" s="17" t="str">
        <f>IF(J2334="","",ROUND(J2334*Settings!$B$8,2))</f>
        <v/>
      </c>
      <c r="L2334" s="16"/>
      <c r="M2334" s="8" t="str">
        <f t="shared" si="36"/>
        <v/>
      </c>
      <c r="N2334" s="9"/>
    </row>
    <row r="2335" spans="1:14" ht="15.75">
      <c r="A2335" s="11"/>
      <c r="B2335" s="9"/>
      <c r="C2335" s="12" t="str">
        <f>IF(B2335="","",IFERROR(INDEX('Cashier Roster'!$C$5:$C$64,MATCH(B2335,'Cashier Roster'!$B$5:$B$64,0)),"Not on roster"))</f>
        <v/>
      </c>
      <c r="D2335" s="12" t="str">
        <f>IF(B2335="","",IFERROR(INDEX('Cashier Roster'!$D$5:$D$64,MATCH(B2335,'Cashier Roster'!$B$5:$B$64,0)),""))</f>
        <v/>
      </c>
      <c r="E2335" s="13"/>
      <c r="F2335" s="14"/>
      <c r="G2335" s="8" t="str">
        <f>IF(OR(B2335="",E2335=""),"",IF(E2335="No","Missed",IF(F2335="","",IF(F2335&lt;=Settings!$B$7,"On time","Late"))))</f>
        <v/>
      </c>
      <c r="H2335" s="15"/>
      <c r="I2335" s="16"/>
      <c r="J2335" s="16"/>
      <c r="K2335" s="17" t="str">
        <f>IF(J2335="","",ROUND(J2335*Settings!$B$8,2))</f>
        <v/>
      </c>
      <c r="L2335" s="16"/>
      <c r="M2335" s="8" t="str">
        <f t="shared" si="36"/>
        <v/>
      </c>
      <c r="N2335" s="9"/>
    </row>
    <row r="2336" spans="1:14" ht="15.75">
      <c r="A2336" s="11"/>
      <c r="B2336" s="9"/>
      <c r="C2336" s="12" t="str">
        <f>IF(B2336="","",IFERROR(INDEX('Cashier Roster'!$C$5:$C$64,MATCH(B2336,'Cashier Roster'!$B$5:$B$64,0)),"Not on roster"))</f>
        <v/>
      </c>
      <c r="D2336" s="12" t="str">
        <f>IF(B2336="","",IFERROR(INDEX('Cashier Roster'!$D$5:$D$64,MATCH(B2336,'Cashier Roster'!$B$5:$B$64,0)),""))</f>
        <v/>
      </c>
      <c r="E2336" s="13"/>
      <c r="F2336" s="14"/>
      <c r="G2336" s="8" t="str">
        <f>IF(OR(B2336="",E2336=""),"",IF(E2336="No","Missed",IF(F2336="","",IF(F2336&lt;=Settings!$B$7,"On time","Late"))))</f>
        <v/>
      </c>
      <c r="H2336" s="15"/>
      <c r="I2336" s="16"/>
      <c r="J2336" s="16"/>
      <c r="K2336" s="17" t="str">
        <f>IF(J2336="","",ROUND(J2336*Settings!$B$8,2))</f>
        <v/>
      </c>
      <c r="L2336" s="16"/>
      <c r="M2336" s="8" t="str">
        <f t="shared" si="36"/>
        <v/>
      </c>
      <c r="N2336" s="9"/>
    </row>
    <row r="2337" spans="1:14" ht="15.75">
      <c r="A2337" s="11"/>
      <c r="B2337" s="9"/>
      <c r="C2337" s="12" t="str">
        <f>IF(B2337="","",IFERROR(INDEX('Cashier Roster'!$C$5:$C$64,MATCH(B2337,'Cashier Roster'!$B$5:$B$64,0)),"Not on roster"))</f>
        <v/>
      </c>
      <c r="D2337" s="12" t="str">
        <f>IF(B2337="","",IFERROR(INDEX('Cashier Roster'!$D$5:$D$64,MATCH(B2337,'Cashier Roster'!$B$5:$B$64,0)),""))</f>
        <v/>
      </c>
      <c r="E2337" s="13"/>
      <c r="F2337" s="14"/>
      <c r="G2337" s="8" t="str">
        <f>IF(OR(B2337="",E2337=""),"",IF(E2337="No","Missed",IF(F2337="","",IF(F2337&lt;=Settings!$B$7,"On time","Late"))))</f>
        <v/>
      </c>
      <c r="H2337" s="15"/>
      <c r="I2337" s="16"/>
      <c r="J2337" s="16"/>
      <c r="K2337" s="17" t="str">
        <f>IF(J2337="","",ROUND(J2337*Settings!$B$8,2))</f>
        <v/>
      </c>
      <c r="L2337" s="16"/>
      <c r="M2337" s="8" t="str">
        <f t="shared" si="36"/>
        <v/>
      </c>
      <c r="N2337" s="9"/>
    </row>
    <row r="2338" spans="1:14" ht="15.75">
      <c r="A2338" s="11"/>
      <c r="B2338" s="9"/>
      <c r="C2338" s="12" t="str">
        <f>IF(B2338="","",IFERROR(INDEX('Cashier Roster'!$C$5:$C$64,MATCH(B2338,'Cashier Roster'!$B$5:$B$64,0)),"Not on roster"))</f>
        <v/>
      </c>
      <c r="D2338" s="12" t="str">
        <f>IF(B2338="","",IFERROR(INDEX('Cashier Roster'!$D$5:$D$64,MATCH(B2338,'Cashier Roster'!$B$5:$B$64,0)),""))</f>
        <v/>
      </c>
      <c r="E2338" s="13"/>
      <c r="F2338" s="14"/>
      <c r="G2338" s="8" t="str">
        <f>IF(OR(B2338="",E2338=""),"",IF(E2338="No","Missed",IF(F2338="","",IF(F2338&lt;=Settings!$B$7,"On time","Late"))))</f>
        <v/>
      </c>
      <c r="H2338" s="15"/>
      <c r="I2338" s="16"/>
      <c r="J2338" s="16"/>
      <c r="K2338" s="17" t="str">
        <f>IF(J2338="","",ROUND(J2338*Settings!$B$8,2))</f>
        <v/>
      </c>
      <c r="L2338" s="16"/>
      <c r="M2338" s="8" t="str">
        <f t="shared" si="36"/>
        <v/>
      </c>
      <c r="N2338" s="9"/>
    </row>
    <row r="2339" spans="1:14" ht="15.75">
      <c r="A2339" s="11"/>
      <c r="B2339" s="9"/>
      <c r="C2339" s="12" t="str">
        <f>IF(B2339="","",IFERROR(INDEX('Cashier Roster'!$C$5:$C$64,MATCH(B2339,'Cashier Roster'!$B$5:$B$64,0)),"Not on roster"))</f>
        <v/>
      </c>
      <c r="D2339" s="12" t="str">
        <f>IF(B2339="","",IFERROR(INDEX('Cashier Roster'!$D$5:$D$64,MATCH(B2339,'Cashier Roster'!$B$5:$B$64,0)),""))</f>
        <v/>
      </c>
      <c r="E2339" s="13"/>
      <c r="F2339" s="14"/>
      <c r="G2339" s="8" t="str">
        <f>IF(OR(B2339="",E2339=""),"",IF(E2339="No","Missed",IF(F2339="","",IF(F2339&lt;=Settings!$B$7,"On time","Late"))))</f>
        <v/>
      </c>
      <c r="H2339" s="15"/>
      <c r="I2339" s="16"/>
      <c r="J2339" s="16"/>
      <c r="K2339" s="17" t="str">
        <f>IF(J2339="","",ROUND(J2339*Settings!$B$8,2))</f>
        <v/>
      </c>
      <c r="L2339" s="16"/>
      <c r="M2339" s="8" t="str">
        <f t="shared" si="36"/>
        <v/>
      </c>
      <c r="N2339" s="9"/>
    </row>
    <row r="2340" spans="1:14" ht="15.75">
      <c r="A2340" s="11"/>
      <c r="B2340" s="9"/>
      <c r="C2340" s="12" t="str">
        <f>IF(B2340="","",IFERROR(INDEX('Cashier Roster'!$C$5:$C$64,MATCH(B2340,'Cashier Roster'!$B$5:$B$64,0)),"Not on roster"))</f>
        <v/>
      </c>
      <c r="D2340" s="12" t="str">
        <f>IF(B2340="","",IFERROR(INDEX('Cashier Roster'!$D$5:$D$64,MATCH(B2340,'Cashier Roster'!$B$5:$B$64,0)),""))</f>
        <v/>
      </c>
      <c r="E2340" s="13"/>
      <c r="F2340" s="14"/>
      <c r="G2340" s="8" t="str">
        <f>IF(OR(B2340="",E2340=""),"",IF(E2340="No","Missed",IF(F2340="","",IF(F2340&lt;=Settings!$B$7,"On time","Late"))))</f>
        <v/>
      </c>
      <c r="H2340" s="15"/>
      <c r="I2340" s="16"/>
      <c r="J2340" s="16"/>
      <c r="K2340" s="17" t="str">
        <f>IF(J2340="","",ROUND(J2340*Settings!$B$8,2))</f>
        <v/>
      </c>
      <c r="L2340" s="16"/>
      <c r="M2340" s="8" t="str">
        <f t="shared" si="36"/>
        <v/>
      </c>
      <c r="N2340" s="9"/>
    </row>
    <row r="2341" spans="1:14" ht="15.75">
      <c r="A2341" s="11"/>
      <c r="B2341" s="9"/>
      <c r="C2341" s="12" t="str">
        <f>IF(B2341="","",IFERROR(INDEX('Cashier Roster'!$C$5:$C$64,MATCH(B2341,'Cashier Roster'!$B$5:$B$64,0)),"Not on roster"))</f>
        <v/>
      </c>
      <c r="D2341" s="12" t="str">
        <f>IF(B2341="","",IFERROR(INDEX('Cashier Roster'!$D$5:$D$64,MATCH(B2341,'Cashier Roster'!$B$5:$B$64,0)),""))</f>
        <v/>
      </c>
      <c r="E2341" s="13"/>
      <c r="F2341" s="14"/>
      <c r="G2341" s="8" t="str">
        <f>IF(OR(B2341="",E2341=""),"",IF(E2341="No","Missed",IF(F2341="","",IF(F2341&lt;=Settings!$B$7,"On time","Late"))))</f>
        <v/>
      </c>
      <c r="H2341" s="15"/>
      <c r="I2341" s="16"/>
      <c r="J2341" s="16"/>
      <c r="K2341" s="17" t="str">
        <f>IF(J2341="","",ROUND(J2341*Settings!$B$8,2))</f>
        <v/>
      </c>
      <c r="L2341" s="16"/>
      <c r="M2341" s="8" t="str">
        <f t="shared" si="36"/>
        <v/>
      </c>
      <c r="N2341" s="9"/>
    </row>
    <row r="2342" spans="1:14" ht="15.75">
      <c r="A2342" s="11"/>
      <c r="B2342" s="9"/>
      <c r="C2342" s="12" t="str">
        <f>IF(B2342="","",IFERROR(INDEX('Cashier Roster'!$C$5:$C$64,MATCH(B2342,'Cashier Roster'!$B$5:$B$64,0)),"Not on roster"))</f>
        <v/>
      </c>
      <c r="D2342" s="12" t="str">
        <f>IF(B2342="","",IFERROR(INDEX('Cashier Roster'!$D$5:$D$64,MATCH(B2342,'Cashier Roster'!$B$5:$B$64,0)),""))</f>
        <v/>
      </c>
      <c r="E2342" s="13"/>
      <c r="F2342" s="14"/>
      <c r="G2342" s="8" t="str">
        <f>IF(OR(B2342="",E2342=""),"",IF(E2342="No","Missed",IF(F2342="","",IF(F2342&lt;=Settings!$B$7,"On time","Late"))))</f>
        <v/>
      </c>
      <c r="H2342" s="15"/>
      <c r="I2342" s="16"/>
      <c r="J2342" s="16"/>
      <c r="K2342" s="17" t="str">
        <f>IF(J2342="","",ROUND(J2342*Settings!$B$8,2))</f>
        <v/>
      </c>
      <c r="L2342" s="16"/>
      <c r="M2342" s="8" t="str">
        <f t="shared" si="36"/>
        <v/>
      </c>
      <c r="N2342" s="9"/>
    </row>
    <row r="2343" spans="1:14" ht="15.75">
      <c r="A2343" s="11"/>
      <c r="B2343" s="9"/>
      <c r="C2343" s="12" t="str">
        <f>IF(B2343="","",IFERROR(INDEX('Cashier Roster'!$C$5:$C$64,MATCH(B2343,'Cashier Roster'!$B$5:$B$64,0)),"Not on roster"))</f>
        <v/>
      </c>
      <c r="D2343" s="12" t="str">
        <f>IF(B2343="","",IFERROR(INDEX('Cashier Roster'!$D$5:$D$64,MATCH(B2343,'Cashier Roster'!$B$5:$B$64,0)),""))</f>
        <v/>
      </c>
      <c r="E2343" s="13"/>
      <c r="F2343" s="14"/>
      <c r="G2343" s="8" t="str">
        <f>IF(OR(B2343="",E2343=""),"",IF(E2343="No","Missed",IF(F2343="","",IF(F2343&lt;=Settings!$B$7,"On time","Late"))))</f>
        <v/>
      </c>
      <c r="H2343" s="15"/>
      <c r="I2343" s="16"/>
      <c r="J2343" s="16"/>
      <c r="K2343" s="17" t="str">
        <f>IF(J2343="","",ROUND(J2343*Settings!$B$8,2))</f>
        <v/>
      </c>
      <c r="L2343" s="16"/>
      <c r="M2343" s="8" t="str">
        <f t="shared" si="36"/>
        <v/>
      </c>
      <c r="N2343" s="9"/>
    </row>
    <row r="2344" spans="1:14" ht="15.75">
      <c r="A2344" s="11"/>
      <c r="B2344" s="9"/>
      <c r="C2344" s="12" t="str">
        <f>IF(B2344="","",IFERROR(INDEX('Cashier Roster'!$C$5:$C$64,MATCH(B2344,'Cashier Roster'!$B$5:$B$64,0)),"Not on roster"))</f>
        <v/>
      </c>
      <c r="D2344" s="12" t="str">
        <f>IF(B2344="","",IFERROR(INDEX('Cashier Roster'!$D$5:$D$64,MATCH(B2344,'Cashier Roster'!$B$5:$B$64,0)),""))</f>
        <v/>
      </c>
      <c r="E2344" s="13"/>
      <c r="F2344" s="14"/>
      <c r="G2344" s="8" t="str">
        <f>IF(OR(B2344="",E2344=""),"",IF(E2344="No","Missed",IF(F2344="","",IF(F2344&lt;=Settings!$B$7,"On time","Late"))))</f>
        <v/>
      </c>
      <c r="H2344" s="15"/>
      <c r="I2344" s="16"/>
      <c r="J2344" s="16"/>
      <c r="K2344" s="17" t="str">
        <f>IF(J2344="","",ROUND(J2344*Settings!$B$8,2))</f>
        <v/>
      </c>
      <c r="L2344" s="16"/>
      <c r="M2344" s="8" t="str">
        <f t="shared" si="36"/>
        <v/>
      </c>
      <c r="N2344" s="9"/>
    </row>
    <row r="2345" spans="1:14" ht="15.75">
      <c r="A2345" s="11"/>
      <c r="B2345" s="9"/>
      <c r="C2345" s="12" t="str">
        <f>IF(B2345="","",IFERROR(INDEX('Cashier Roster'!$C$5:$C$64,MATCH(B2345,'Cashier Roster'!$B$5:$B$64,0)),"Not on roster"))</f>
        <v/>
      </c>
      <c r="D2345" s="12" t="str">
        <f>IF(B2345="","",IFERROR(INDEX('Cashier Roster'!$D$5:$D$64,MATCH(B2345,'Cashier Roster'!$B$5:$B$64,0)),""))</f>
        <v/>
      </c>
      <c r="E2345" s="13"/>
      <c r="F2345" s="14"/>
      <c r="G2345" s="8" t="str">
        <f>IF(OR(B2345="",E2345=""),"",IF(E2345="No","Missed",IF(F2345="","",IF(F2345&lt;=Settings!$B$7,"On time","Late"))))</f>
        <v/>
      </c>
      <c r="H2345" s="15"/>
      <c r="I2345" s="16"/>
      <c r="J2345" s="16"/>
      <c r="K2345" s="17" t="str">
        <f>IF(J2345="","",ROUND(J2345*Settings!$B$8,2))</f>
        <v/>
      </c>
      <c r="L2345" s="16"/>
      <c r="M2345" s="8" t="str">
        <f t="shared" si="36"/>
        <v/>
      </c>
      <c r="N2345" s="9"/>
    </row>
    <row r="2346" spans="1:14" ht="15.75">
      <c r="A2346" s="11"/>
      <c r="B2346" s="9"/>
      <c r="C2346" s="12" t="str">
        <f>IF(B2346="","",IFERROR(INDEX('Cashier Roster'!$C$5:$C$64,MATCH(B2346,'Cashier Roster'!$B$5:$B$64,0)),"Not on roster"))</f>
        <v/>
      </c>
      <c r="D2346" s="12" t="str">
        <f>IF(B2346="","",IFERROR(INDEX('Cashier Roster'!$D$5:$D$64,MATCH(B2346,'Cashier Roster'!$B$5:$B$64,0)),""))</f>
        <v/>
      </c>
      <c r="E2346" s="13"/>
      <c r="F2346" s="14"/>
      <c r="G2346" s="8" t="str">
        <f>IF(OR(B2346="",E2346=""),"",IF(E2346="No","Missed",IF(F2346="","",IF(F2346&lt;=Settings!$B$7,"On time","Late"))))</f>
        <v/>
      </c>
      <c r="H2346" s="15"/>
      <c r="I2346" s="16"/>
      <c r="J2346" s="16"/>
      <c r="K2346" s="17" t="str">
        <f>IF(J2346="","",ROUND(J2346*Settings!$B$8,2))</f>
        <v/>
      </c>
      <c r="L2346" s="16"/>
      <c r="M2346" s="8" t="str">
        <f t="shared" si="36"/>
        <v/>
      </c>
      <c r="N2346" s="9"/>
    </row>
    <row r="2347" spans="1:14" ht="15.75">
      <c r="A2347" s="11"/>
      <c r="B2347" s="9"/>
      <c r="C2347" s="12" t="str">
        <f>IF(B2347="","",IFERROR(INDEX('Cashier Roster'!$C$5:$C$64,MATCH(B2347,'Cashier Roster'!$B$5:$B$64,0)),"Not on roster"))</f>
        <v/>
      </c>
      <c r="D2347" s="12" t="str">
        <f>IF(B2347="","",IFERROR(INDEX('Cashier Roster'!$D$5:$D$64,MATCH(B2347,'Cashier Roster'!$B$5:$B$64,0)),""))</f>
        <v/>
      </c>
      <c r="E2347" s="13"/>
      <c r="F2347" s="14"/>
      <c r="G2347" s="8" t="str">
        <f>IF(OR(B2347="",E2347=""),"",IF(E2347="No","Missed",IF(F2347="","",IF(F2347&lt;=Settings!$B$7,"On time","Late"))))</f>
        <v/>
      </c>
      <c r="H2347" s="15"/>
      <c r="I2347" s="16"/>
      <c r="J2347" s="16"/>
      <c r="K2347" s="17" t="str">
        <f>IF(J2347="","",ROUND(J2347*Settings!$B$8,2))</f>
        <v/>
      </c>
      <c r="L2347" s="16"/>
      <c r="M2347" s="8" t="str">
        <f t="shared" si="36"/>
        <v/>
      </c>
      <c r="N2347" s="9"/>
    </row>
    <row r="2348" spans="1:14" ht="15.75">
      <c r="A2348" s="11"/>
      <c r="B2348" s="9"/>
      <c r="C2348" s="12" t="str">
        <f>IF(B2348="","",IFERROR(INDEX('Cashier Roster'!$C$5:$C$64,MATCH(B2348,'Cashier Roster'!$B$5:$B$64,0)),"Not on roster"))</f>
        <v/>
      </c>
      <c r="D2348" s="12" t="str">
        <f>IF(B2348="","",IFERROR(INDEX('Cashier Roster'!$D$5:$D$64,MATCH(B2348,'Cashier Roster'!$B$5:$B$64,0)),""))</f>
        <v/>
      </c>
      <c r="E2348" s="13"/>
      <c r="F2348" s="14"/>
      <c r="G2348" s="8" t="str">
        <f>IF(OR(B2348="",E2348=""),"",IF(E2348="No","Missed",IF(F2348="","",IF(F2348&lt;=Settings!$B$7,"On time","Late"))))</f>
        <v/>
      </c>
      <c r="H2348" s="15"/>
      <c r="I2348" s="16"/>
      <c r="J2348" s="16"/>
      <c r="K2348" s="17" t="str">
        <f>IF(J2348="","",ROUND(J2348*Settings!$B$8,2))</f>
        <v/>
      </c>
      <c r="L2348" s="16"/>
      <c r="M2348" s="8" t="str">
        <f t="shared" si="36"/>
        <v/>
      </c>
      <c r="N2348" s="9"/>
    </row>
    <row r="2349" spans="1:14" ht="15.75">
      <c r="A2349" s="11"/>
      <c r="B2349" s="9"/>
      <c r="C2349" s="12" t="str">
        <f>IF(B2349="","",IFERROR(INDEX('Cashier Roster'!$C$5:$C$64,MATCH(B2349,'Cashier Roster'!$B$5:$B$64,0)),"Not on roster"))</f>
        <v/>
      </c>
      <c r="D2349" s="12" t="str">
        <f>IF(B2349="","",IFERROR(INDEX('Cashier Roster'!$D$5:$D$64,MATCH(B2349,'Cashier Roster'!$B$5:$B$64,0)),""))</f>
        <v/>
      </c>
      <c r="E2349" s="13"/>
      <c r="F2349" s="14"/>
      <c r="G2349" s="8" t="str">
        <f>IF(OR(B2349="",E2349=""),"",IF(E2349="No","Missed",IF(F2349="","",IF(F2349&lt;=Settings!$B$7,"On time","Late"))))</f>
        <v/>
      </c>
      <c r="H2349" s="15"/>
      <c r="I2349" s="16"/>
      <c r="J2349" s="16"/>
      <c r="K2349" s="17" t="str">
        <f>IF(J2349="","",ROUND(J2349*Settings!$B$8,2))</f>
        <v/>
      </c>
      <c r="L2349" s="16"/>
      <c r="M2349" s="8" t="str">
        <f t="shared" si="36"/>
        <v/>
      </c>
      <c r="N2349" s="9"/>
    </row>
    <row r="2350" spans="1:14" ht="15.75">
      <c r="A2350" s="11"/>
      <c r="B2350" s="9"/>
      <c r="C2350" s="12" t="str">
        <f>IF(B2350="","",IFERROR(INDEX('Cashier Roster'!$C$5:$C$64,MATCH(B2350,'Cashier Roster'!$B$5:$B$64,0)),"Not on roster"))</f>
        <v/>
      </c>
      <c r="D2350" s="12" t="str">
        <f>IF(B2350="","",IFERROR(INDEX('Cashier Roster'!$D$5:$D$64,MATCH(B2350,'Cashier Roster'!$B$5:$B$64,0)),""))</f>
        <v/>
      </c>
      <c r="E2350" s="13"/>
      <c r="F2350" s="14"/>
      <c r="G2350" s="8" t="str">
        <f>IF(OR(B2350="",E2350=""),"",IF(E2350="No","Missed",IF(F2350="","",IF(F2350&lt;=Settings!$B$7,"On time","Late"))))</f>
        <v/>
      </c>
      <c r="H2350" s="15"/>
      <c r="I2350" s="16"/>
      <c r="J2350" s="16"/>
      <c r="K2350" s="17" t="str">
        <f>IF(J2350="","",ROUND(J2350*Settings!$B$8,2))</f>
        <v/>
      </c>
      <c r="L2350" s="16"/>
      <c r="M2350" s="8" t="str">
        <f t="shared" si="36"/>
        <v/>
      </c>
      <c r="N2350" s="9"/>
    </row>
    <row r="2351" spans="1:14" ht="15.75">
      <c r="A2351" s="11"/>
      <c r="B2351" s="9"/>
      <c r="C2351" s="12" t="str">
        <f>IF(B2351="","",IFERROR(INDEX('Cashier Roster'!$C$5:$C$64,MATCH(B2351,'Cashier Roster'!$B$5:$B$64,0)),"Not on roster"))</f>
        <v/>
      </c>
      <c r="D2351" s="12" t="str">
        <f>IF(B2351="","",IFERROR(INDEX('Cashier Roster'!$D$5:$D$64,MATCH(B2351,'Cashier Roster'!$B$5:$B$64,0)),""))</f>
        <v/>
      </c>
      <c r="E2351" s="13"/>
      <c r="F2351" s="14"/>
      <c r="G2351" s="8" t="str">
        <f>IF(OR(B2351="",E2351=""),"",IF(E2351="No","Missed",IF(F2351="","",IF(F2351&lt;=Settings!$B$7,"On time","Late"))))</f>
        <v/>
      </c>
      <c r="H2351" s="15"/>
      <c r="I2351" s="16"/>
      <c r="J2351" s="16"/>
      <c r="K2351" s="17" t="str">
        <f>IF(J2351="","",ROUND(J2351*Settings!$B$8,2))</f>
        <v/>
      </c>
      <c r="L2351" s="16"/>
      <c r="M2351" s="8" t="str">
        <f t="shared" si="36"/>
        <v/>
      </c>
      <c r="N2351" s="9"/>
    </row>
    <row r="2352" spans="1:14" ht="15.75">
      <c r="A2352" s="11"/>
      <c r="B2352" s="9"/>
      <c r="C2352" s="12" t="str">
        <f>IF(B2352="","",IFERROR(INDEX('Cashier Roster'!$C$5:$C$64,MATCH(B2352,'Cashier Roster'!$B$5:$B$64,0)),"Not on roster"))</f>
        <v/>
      </c>
      <c r="D2352" s="12" t="str">
        <f>IF(B2352="","",IFERROR(INDEX('Cashier Roster'!$D$5:$D$64,MATCH(B2352,'Cashier Roster'!$B$5:$B$64,0)),""))</f>
        <v/>
      </c>
      <c r="E2352" s="13"/>
      <c r="F2352" s="14"/>
      <c r="G2352" s="8" t="str">
        <f>IF(OR(B2352="",E2352=""),"",IF(E2352="No","Missed",IF(F2352="","",IF(F2352&lt;=Settings!$B$7,"On time","Late"))))</f>
        <v/>
      </c>
      <c r="H2352" s="15"/>
      <c r="I2352" s="16"/>
      <c r="J2352" s="16"/>
      <c r="K2352" s="17" t="str">
        <f>IF(J2352="","",ROUND(J2352*Settings!$B$8,2))</f>
        <v/>
      </c>
      <c r="L2352" s="16"/>
      <c r="M2352" s="8" t="str">
        <f t="shared" si="36"/>
        <v/>
      </c>
      <c r="N2352" s="9"/>
    </row>
    <row r="2353" spans="1:14" ht="15.75">
      <c r="A2353" s="11"/>
      <c r="B2353" s="9"/>
      <c r="C2353" s="12" t="str">
        <f>IF(B2353="","",IFERROR(INDEX('Cashier Roster'!$C$5:$C$64,MATCH(B2353,'Cashier Roster'!$B$5:$B$64,0)),"Not on roster"))</f>
        <v/>
      </c>
      <c r="D2353" s="12" t="str">
        <f>IF(B2353="","",IFERROR(INDEX('Cashier Roster'!$D$5:$D$64,MATCH(B2353,'Cashier Roster'!$B$5:$B$64,0)),""))</f>
        <v/>
      </c>
      <c r="E2353" s="13"/>
      <c r="F2353" s="14"/>
      <c r="G2353" s="8" t="str">
        <f>IF(OR(B2353="",E2353=""),"",IF(E2353="No","Missed",IF(F2353="","",IF(F2353&lt;=Settings!$B$7,"On time","Late"))))</f>
        <v/>
      </c>
      <c r="H2353" s="15"/>
      <c r="I2353" s="16"/>
      <c r="J2353" s="16"/>
      <c r="K2353" s="17" t="str">
        <f>IF(J2353="","",ROUND(J2353*Settings!$B$8,2))</f>
        <v/>
      </c>
      <c r="L2353" s="16"/>
      <c r="M2353" s="8" t="str">
        <f t="shared" si="36"/>
        <v/>
      </c>
      <c r="N2353" s="9"/>
    </row>
    <row r="2354" spans="1:14" ht="15.75">
      <c r="A2354" s="11"/>
      <c r="B2354" s="9"/>
      <c r="C2354" s="12" t="str">
        <f>IF(B2354="","",IFERROR(INDEX('Cashier Roster'!$C$5:$C$64,MATCH(B2354,'Cashier Roster'!$B$5:$B$64,0)),"Not on roster"))</f>
        <v/>
      </c>
      <c r="D2354" s="12" t="str">
        <f>IF(B2354="","",IFERROR(INDEX('Cashier Roster'!$D$5:$D$64,MATCH(B2354,'Cashier Roster'!$B$5:$B$64,0)),""))</f>
        <v/>
      </c>
      <c r="E2354" s="13"/>
      <c r="F2354" s="14"/>
      <c r="G2354" s="8" t="str">
        <f>IF(OR(B2354="",E2354=""),"",IF(E2354="No","Missed",IF(F2354="","",IF(F2354&lt;=Settings!$B$7,"On time","Late"))))</f>
        <v/>
      </c>
      <c r="H2354" s="15"/>
      <c r="I2354" s="16"/>
      <c r="J2354" s="16"/>
      <c r="K2354" s="17" t="str">
        <f>IF(J2354="","",ROUND(J2354*Settings!$B$8,2))</f>
        <v/>
      </c>
      <c r="L2354" s="16"/>
      <c r="M2354" s="8" t="str">
        <f t="shared" si="36"/>
        <v/>
      </c>
      <c r="N2354" s="9"/>
    </row>
    <row r="2355" spans="1:14" ht="15.75">
      <c r="A2355" s="11"/>
      <c r="B2355" s="9"/>
      <c r="C2355" s="12" t="str">
        <f>IF(B2355="","",IFERROR(INDEX('Cashier Roster'!$C$5:$C$64,MATCH(B2355,'Cashier Roster'!$B$5:$B$64,0)),"Not on roster"))</f>
        <v/>
      </c>
      <c r="D2355" s="12" t="str">
        <f>IF(B2355="","",IFERROR(INDEX('Cashier Roster'!$D$5:$D$64,MATCH(B2355,'Cashier Roster'!$B$5:$B$64,0)),""))</f>
        <v/>
      </c>
      <c r="E2355" s="13"/>
      <c r="F2355" s="14"/>
      <c r="G2355" s="8" t="str">
        <f>IF(OR(B2355="",E2355=""),"",IF(E2355="No","Missed",IF(F2355="","",IF(F2355&lt;=Settings!$B$7,"On time","Late"))))</f>
        <v/>
      </c>
      <c r="H2355" s="15"/>
      <c r="I2355" s="16"/>
      <c r="J2355" s="16"/>
      <c r="K2355" s="17" t="str">
        <f>IF(J2355="","",ROUND(J2355*Settings!$B$8,2))</f>
        <v/>
      </c>
      <c r="L2355" s="16"/>
      <c r="M2355" s="8" t="str">
        <f t="shared" si="36"/>
        <v/>
      </c>
      <c r="N2355" s="9"/>
    </row>
    <row r="2356" spans="1:14" ht="15.75">
      <c r="A2356" s="11"/>
      <c r="B2356" s="9"/>
      <c r="C2356" s="12" t="str">
        <f>IF(B2356="","",IFERROR(INDEX('Cashier Roster'!$C$5:$C$64,MATCH(B2356,'Cashier Roster'!$B$5:$B$64,0)),"Not on roster"))</f>
        <v/>
      </c>
      <c r="D2356" s="12" t="str">
        <f>IF(B2356="","",IFERROR(INDEX('Cashier Roster'!$D$5:$D$64,MATCH(B2356,'Cashier Roster'!$B$5:$B$64,0)),""))</f>
        <v/>
      </c>
      <c r="E2356" s="13"/>
      <c r="F2356" s="14"/>
      <c r="G2356" s="8" t="str">
        <f>IF(OR(B2356="",E2356=""),"",IF(E2356="No","Missed",IF(F2356="","",IF(F2356&lt;=Settings!$B$7,"On time","Late"))))</f>
        <v/>
      </c>
      <c r="H2356" s="15"/>
      <c r="I2356" s="16"/>
      <c r="J2356" s="16"/>
      <c r="K2356" s="17" t="str">
        <f>IF(J2356="","",ROUND(J2356*Settings!$B$8,2))</f>
        <v/>
      </c>
      <c r="L2356" s="16"/>
      <c r="M2356" s="8" t="str">
        <f t="shared" si="36"/>
        <v/>
      </c>
      <c r="N2356" s="9"/>
    </row>
    <row r="2357" spans="1:14" ht="15.75">
      <c r="A2357" s="11"/>
      <c r="B2357" s="9"/>
      <c r="C2357" s="12" t="str">
        <f>IF(B2357="","",IFERROR(INDEX('Cashier Roster'!$C$5:$C$64,MATCH(B2357,'Cashier Roster'!$B$5:$B$64,0)),"Not on roster"))</f>
        <v/>
      </c>
      <c r="D2357" s="12" t="str">
        <f>IF(B2357="","",IFERROR(INDEX('Cashier Roster'!$D$5:$D$64,MATCH(B2357,'Cashier Roster'!$B$5:$B$64,0)),""))</f>
        <v/>
      </c>
      <c r="E2357" s="13"/>
      <c r="F2357" s="14"/>
      <c r="G2357" s="8" t="str">
        <f>IF(OR(B2357="",E2357=""),"",IF(E2357="No","Missed",IF(F2357="","",IF(F2357&lt;=Settings!$B$7,"On time","Late"))))</f>
        <v/>
      </c>
      <c r="H2357" s="15"/>
      <c r="I2357" s="16"/>
      <c r="J2357" s="16"/>
      <c r="K2357" s="17" t="str">
        <f>IF(J2357="","",ROUND(J2357*Settings!$B$8,2))</f>
        <v/>
      </c>
      <c r="L2357" s="16"/>
      <c r="M2357" s="8" t="str">
        <f t="shared" si="36"/>
        <v/>
      </c>
      <c r="N2357" s="9"/>
    </row>
    <row r="2358" spans="1:14" ht="15.75">
      <c r="A2358" s="11"/>
      <c r="B2358" s="9"/>
      <c r="C2358" s="12" t="str">
        <f>IF(B2358="","",IFERROR(INDEX('Cashier Roster'!$C$5:$C$64,MATCH(B2358,'Cashier Roster'!$B$5:$B$64,0)),"Not on roster"))</f>
        <v/>
      </c>
      <c r="D2358" s="12" t="str">
        <f>IF(B2358="","",IFERROR(INDEX('Cashier Roster'!$D$5:$D$64,MATCH(B2358,'Cashier Roster'!$B$5:$B$64,0)),""))</f>
        <v/>
      </c>
      <c r="E2358" s="13"/>
      <c r="F2358" s="14"/>
      <c r="G2358" s="8" t="str">
        <f>IF(OR(B2358="",E2358=""),"",IF(E2358="No","Missed",IF(F2358="","",IF(F2358&lt;=Settings!$B$7,"On time","Late"))))</f>
        <v/>
      </c>
      <c r="H2358" s="15"/>
      <c r="I2358" s="16"/>
      <c r="J2358" s="16"/>
      <c r="K2358" s="17" t="str">
        <f>IF(J2358="","",ROUND(J2358*Settings!$B$8,2))</f>
        <v/>
      </c>
      <c r="L2358" s="16"/>
      <c r="M2358" s="8" t="str">
        <f t="shared" si="36"/>
        <v/>
      </c>
      <c r="N2358" s="9"/>
    </row>
    <row r="2359" spans="1:14" ht="15.75">
      <c r="A2359" s="11"/>
      <c r="B2359" s="9"/>
      <c r="C2359" s="12" t="str">
        <f>IF(B2359="","",IFERROR(INDEX('Cashier Roster'!$C$5:$C$64,MATCH(B2359,'Cashier Roster'!$B$5:$B$64,0)),"Not on roster"))</f>
        <v/>
      </c>
      <c r="D2359" s="12" t="str">
        <f>IF(B2359="","",IFERROR(INDEX('Cashier Roster'!$D$5:$D$64,MATCH(B2359,'Cashier Roster'!$B$5:$B$64,0)),""))</f>
        <v/>
      </c>
      <c r="E2359" s="13"/>
      <c r="F2359" s="14"/>
      <c r="G2359" s="8" t="str">
        <f>IF(OR(B2359="",E2359=""),"",IF(E2359="No","Missed",IF(F2359="","",IF(F2359&lt;=Settings!$B$7,"On time","Late"))))</f>
        <v/>
      </c>
      <c r="H2359" s="15"/>
      <c r="I2359" s="16"/>
      <c r="J2359" s="16"/>
      <c r="K2359" s="17" t="str">
        <f>IF(J2359="","",ROUND(J2359*Settings!$B$8,2))</f>
        <v/>
      </c>
      <c r="L2359" s="16"/>
      <c r="M2359" s="8" t="str">
        <f t="shared" si="36"/>
        <v/>
      </c>
      <c r="N2359" s="9"/>
    </row>
    <row r="2360" spans="1:14" ht="15.75">
      <c r="A2360" s="11"/>
      <c r="B2360" s="9"/>
      <c r="C2360" s="12" t="str">
        <f>IF(B2360="","",IFERROR(INDEX('Cashier Roster'!$C$5:$C$64,MATCH(B2360,'Cashier Roster'!$B$5:$B$64,0)),"Not on roster"))</f>
        <v/>
      </c>
      <c r="D2360" s="12" t="str">
        <f>IF(B2360="","",IFERROR(INDEX('Cashier Roster'!$D$5:$D$64,MATCH(B2360,'Cashier Roster'!$B$5:$B$64,0)),""))</f>
        <v/>
      </c>
      <c r="E2360" s="13"/>
      <c r="F2360" s="14"/>
      <c r="G2360" s="8" t="str">
        <f>IF(OR(B2360="",E2360=""),"",IF(E2360="No","Missed",IF(F2360="","",IF(F2360&lt;=Settings!$B$7,"On time","Late"))))</f>
        <v/>
      </c>
      <c r="H2360" s="15"/>
      <c r="I2360" s="16"/>
      <c r="J2360" s="16"/>
      <c r="K2360" s="17" t="str">
        <f>IF(J2360="","",ROUND(J2360*Settings!$B$8,2))</f>
        <v/>
      </c>
      <c r="L2360" s="16"/>
      <c r="M2360" s="8" t="str">
        <f t="shared" si="36"/>
        <v/>
      </c>
      <c r="N2360" s="9"/>
    </row>
    <row r="2361" spans="1:14" ht="15.75">
      <c r="A2361" s="11"/>
      <c r="B2361" s="9"/>
      <c r="C2361" s="12" t="str">
        <f>IF(B2361="","",IFERROR(INDEX('Cashier Roster'!$C$5:$C$64,MATCH(B2361,'Cashier Roster'!$B$5:$B$64,0)),"Not on roster"))</f>
        <v/>
      </c>
      <c r="D2361" s="12" t="str">
        <f>IF(B2361="","",IFERROR(INDEX('Cashier Roster'!$D$5:$D$64,MATCH(B2361,'Cashier Roster'!$B$5:$B$64,0)),""))</f>
        <v/>
      </c>
      <c r="E2361" s="13"/>
      <c r="F2361" s="14"/>
      <c r="G2361" s="8" t="str">
        <f>IF(OR(B2361="",E2361=""),"",IF(E2361="No","Missed",IF(F2361="","",IF(F2361&lt;=Settings!$B$7,"On time","Late"))))</f>
        <v/>
      </c>
      <c r="H2361" s="15"/>
      <c r="I2361" s="16"/>
      <c r="J2361" s="16"/>
      <c r="K2361" s="17" t="str">
        <f>IF(J2361="","",ROUND(J2361*Settings!$B$8,2))</f>
        <v/>
      </c>
      <c r="L2361" s="16"/>
      <c r="M2361" s="8" t="str">
        <f t="shared" si="36"/>
        <v/>
      </c>
      <c r="N2361" s="9"/>
    </row>
    <row r="2362" spans="1:14" ht="15.75">
      <c r="A2362" s="11"/>
      <c r="B2362" s="9"/>
      <c r="C2362" s="12" t="str">
        <f>IF(B2362="","",IFERROR(INDEX('Cashier Roster'!$C$5:$C$64,MATCH(B2362,'Cashier Roster'!$B$5:$B$64,0)),"Not on roster"))</f>
        <v/>
      </c>
      <c r="D2362" s="12" t="str">
        <f>IF(B2362="","",IFERROR(INDEX('Cashier Roster'!$D$5:$D$64,MATCH(B2362,'Cashier Roster'!$B$5:$B$64,0)),""))</f>
        <v/>
      </c>
      <c r="E2362" s="13"/>
      <c r="F2362" s="14"/>
      <c r="G2362" s="8" t="str">
        <f>IF(OR(B2362="",E2362=""),"",IF(E2362="No","Missed",IF(F2362="","",IF(F2362&lt;=Settings!$B$7,"On time","Late"))))</f>
        <v/>
      </c>
      <c r="H2362" s="15"/>
      <c r="I2362" s="16"/>
      <c r="J2362" s="16"/>
      <c r="K2362" s="17" t="str">
        <f>IF(J2362="","",ROUND(J2362*Settings!$B$8,2))</f>
        <v/>
      </c>
      <c r="L2362" s="16"/>
      <c r="M2362" s="8" t="str">
        <f t="shared" si="36"/>
        <v/>
      </c>
      <c r="N2362" s="9"/>
    </row>
    <row r="2363" spans="1:14" ht="15.75">
      <c r="A2363" s="11"/>
      <c r="B2363" s="9"/>
      <c r="C2363" s="12" t="str">
        <f>IF(B2363="","",IFERROR(INDEX('Cashier Roster'!$C$5:$C$64,MATCH(B2363,'Cashier Roster'!$B$5:$B$64,0)),"Not on roster"))</f>
        <v/>
      </c>
      <c r="D2363" s="12" t="str">
        <f>IF(B2363="","",IFERROR(INDEX('Cashier Roster'!$D$5:$D$64,MATCH(B2363,'Cashier Roster'!$B$5:$B$64,0)),""))</f>
        <v/>
      </c>
      <c r="E2363" s="13"/>
      <c r="F2363" s="14"/>
      <c r="G2363" s="8" t="str">
        <f>IF(OR(B2363="",E2363=""),"",IF(E2363="No","Missed",IF(F2363="","",IF(F2363&lt;=Settings!$B$7,"On time","Late"))))</f>
        <v/>
      </c>
      <c r="H2363" s="15"/>
      <c r="I2363" s="16"/>
      <c r="J2363" s="16"/>
      <c r="K2363" s="17" t="str">
        <f>IF(J2363="","",ROUND(J2363*Settings!$B$8,2))</f>
        <v/>
      </c>
      <c r="L2363" s="16"/>
      <c r="M2363" s="8" t="str">
        <f t="shared" si="36"/>
        <v/>
      </c>
      <c r="N2363" s="9"/>
    </row>
    <row r="2364" spans="1:14" ht="15.75">
      <c r="A2364" s="11"/>
      <c r="B2364" s="9"/>
      <c r="C2364" s="12" t="str">
        <f>IF(B2364="","",IFERROR(INDEX('Cashier Roster'!$C$5:$C$64,MATCH(B2364,'Cashier Roster'!$B$5:$B$64,0)),"Not on roster"))</f>
        <v/>
      </c>
      <c r="D2364" s="12" t="str">
        <f>IF(B2364="","",IFERROR(INDEX('Cashier Roster'!$D$5:$D$64,MATCH(B2364,'Cashier Roster'!$B$5:$B$64,0)),""))</f>
        <v/>
      </c>
      <c r="E2364" s="13"/>
      <c r="F2364" s="14"/>
      <c r="G2364" s="8" t="str">
        <f>IF(OR(B2364="",E2364=""),"",IF(E2364="No","Missed",IF(F2364="","",IF(F2364&lt;=Settings!$B$7,"On time","Late"))))</f>
        <v/>
      </c>
      <c r="H2364" s="15"/>
      <c r="I2364" s="16"/>
      <c r="J2364" s="16"/>
      <c r="K2364" s="17" t="str">
        <f>IF(J2364="","",ROUND(J2364*Settings!$B$8,2))</f>
        <v/>
      </c>
      <c r="L2364" s="16"/>
      <c r="M2364" s="8" t="str">
        <f t="shared" si="36"/>
        <v/>
      </c>
      <c r="N2364" s="9"/>
    </row>
    <row r="2365" spans="1:14" ht="15.75">
      <c r="A2365" s="11"/>
      <c r="B2365" s="9"/>
      <c r="C2365" s="12" t="str">
        <f>IF(B2365="","",IFERROR(INDEX('Cashier Roster'!$C$5:$C$64,MATCH(B2365,'Cashier Roster'!$B$5:$B$64,0)),"Not on roster"))</f>
        <v/>
      </c>
      <c r="D2365" s="12" t="str">
        <f>IF(B2365="","",IFERROR(INDEX('Cashier Roster'!$D$5:$D$64,MATCH(B2365,'Cashier Roster'!$B$5:$B$64,0)),""))</f>
        <v/>
      </c>
      <c r="E2365" s="13"/>
      <c r="F2365" s="14"/>
      <c r="G2365" s="8" t="str">
        <f>IF(OR(B2365="",E2365=""),"",IF(E2365="No","Missed",IF(F2365="","",IF(F2365&lt;=Settings!$B$7,"On time","Late"))))</f>
        <v/>
      </c>
      <c r="H2365" s="15"/>
      <c r="I2365" s="16"/>
      <c r="J2365" s="16"/>
      <c r="K2365" s="17" t="str">
        <f>IF(J2365="","",ROUND(J2365*Settings!$B$8,2))</f>
        <v/>
      </c>
      <c r="L2365" s="16"/>
      <c r="M2365" s="8" t="str">
        <f t="shared" si="36"/>
        <v/>
      </c>
      <c r="N2365" s="9"/>
    </row>
    <row r="2366" spans="1:14" ht="15.75">
      <c r="A2366" s="11"/>
      <c r="B2366" s="9"/>
      <c r="C2366" s="12" t="str">
        <f>IF(B2366="","",IFERROR(INDEX('Cashier Roster'!$C$5:$C$64,MATCH(B2366,'Cashier Roster'!$B$5:$B$64,0)),"Not on roster"))</f>
        <v/>
      </c>
      <c r="D2366" s="12" t="str">
        <f>IF(B2366="","",IFERROR(INDEX('Cashier Roster'!$D$5:$D$64,MATCH(B2366,'Cashier Roster'!$B$5:$B$64,0)),""))</f>
        <v/>
      </c>
      <c r="E2366" s="13"/>
      <c r="F2366" s="14"/>
      <c r="G2366" s="8" t="str">
        <f>IF(OR(B2366="",E2366=""),"",IF(E2366="No","Missed",IF(F2366="","",IF(F2366&lt;=Settings!$B$7,"On time","Late"))))</f>
        <v/>
      </c>
      <c r="H2366" s="15"/>
      <c r="I2366" s="16"/>
      <c r="J2366" s="16"/>
      <c r="K2366" s="17" t="str">
        <f>IF(J2366="","",ROUND(J2366*Settings!$B$8,2))</f>
        <v/>
      </c>
      <c r="L2366" s="16"/>
      <c r="M2366" s="8" t="str">
        <f t="shared" si="36"/>
        <v/>
      </c>
      <c r="N2366" s="9"/>
    </row>
    <row r="2367" spans="1:14" ht="15.75">
      <c r="A2367" s="11"/>
      <c r="B2367" s="9"/>
      <c r="C2367" s="12" t="str">
        <f>IF(B2367="","",IFERROR(INDEX('Cashier Roster'!$C$5:$C$64,MATCH(B2367,'Cashier Roster'!$B$5:$B$64,0)),"Not on roster"))</f>
        <v/>
      </c>
      <c r="D2367" s="12" t="str">
        <f>IF(B2367="","",IFERROR(INDEX('Cashier Roster'!$D$5:$D$64,MATCH(B2367,'Cashier Roster'!$B$5:$B$64,0)),""))</f>
        <v/>
      </c>
      <c r="E2367" s="13"/>
      <c r="F2367" s="14"/>
      <c r="G2367" s="8" t="str">
        <f>IF(OR(B2367="",E2367=""),"",IF(E2367="No","Missed",IF(F2367="","",IF(F2367&lt;=Settings!$B$7,"On time","Late"))))</f>
        <v/>
      </c>
      <c r="H2367" s="15"/>
      <c r="I2367" s="16"/>
      <c r="J2367" s="16"/>
      <c r="K2367" s="17" t="str">
        <f>IF(J2367="","",ROUND(J2367*Settings!$B$8,2))</f>
        <v/>
      </c>
      <c r="L2367" s="16"/>
      <c r="M2367" s="8" t="str">
        <f t="shared" si="36"/>
        <v/>
      </c>
      <c r="N2367" s="9"/>
    </row>
    <row r="2368" spans="1:14" ht="15.75">
      <c r="A2368" s="11"/>
      <c r="B2368" s="9"/>
      <c r="C2368" s="12" t="str">
        <f>IF(B2368="","",IFERROR(INDEX('Cashier Roster'!$C$5:$C$64,MATCH(B2368,'Cashier Roster'!$B$5:$B$64,0)),"Not on roster"))</f>
        <v/>
      </c>
      <c r="D2368" s="12" t="str">
        <f>IF(B2368="","",IFERROR(INDEX('Cashier Roster'!$D$5:$D$64,MATCH(B2368,'Cashier Roster'!$B$5:$B$64,0)),""))</f>
        <v/>
      </c>
      <c r="E2368" s="13"/>
      <c r="F2368" s="14"/>
      <c r="G2368" s="8" t="str">
        <f>IF(OR(B2368="",E2368=""),"",IF(E2368="No","Missed",IF(F2368="","",IF(F2368&lt;=Settings!$B$7,"On time","Late"))))</f>
        <v/>
      </c>
      <c r="H2368" s="15"/>
      <c r="I2368" s="16"/>
      <c r="J2368" s="16"/>
      <c r="K2368" s="17" t="str">
        <f>IF(J2368="","",ROUND(J2368*Settings!$B$8,2))</f>
        <v/>
      </c>
      <c r="L2368" s="16"/>
      <c r="M2368" s="8" t="str">
        <f t="shared" si="36"/>
        <v/>
      </c>
      <c r="N2368" s="9"/>
    </row>
    <row r="2369" spans="1:14" ht="15.75">
      <c r="A2369" s="11"/>
      <c r="B2369" s="9"/>
      <c r="C2369" s="12" t="str">
        <f>IF(B2369="","",IFERROR(INDEX('Cashier Roster'!$C$5:$C$64,MATCH(B2369,'Cashier Roster'!$B$5:$B$64,0)),"Not on roster"))</f>
        <v/>
      </c>
      <c r="D2369" s="12" t="str">
        <f>IF(B2369="","",IFERROR(INDEX('Cashier Roster'!$D$5:$D$64,MATCH(B2369,'Cashier Roster'!$B$5:$B$64,0)),""))</f>
        <v/>
      </c>
      <c r="E2369" s="13"/>
      <c r="F2369" s="14"/>
      <c r="G2369" s="8" t="str">
        <f>IF(OR(B2369="",E2369=""),"",IF(E2369="No","Missed",IF(F2369="","",IF(F2369&lt;=Settings!$B$7,"On time","Late"))))</f>
        <v/>
      </c>
      <c r="H2369" s="15"/>
      <c r="I2369" s="16"/>
      <c r="J2369" s="16"/>
      <c r="K2369" s="17" t="str">
        <f>IF(J2369="","",ROUND(J2369*Settings!$B$8,2))</f>
        <v/>
      </c>
      <c r="L2369" s="16"/>
      <c r="M2369" s="8" t="str">
        <f t="shared" si="36"/>
        <v/>
      </c>
      <c r="N2369" s="9"/>
    </row>
    <row r="2370" spans="1:14" ht="15.75">
      <c r="A2370" s="11"/>
      <c r="B2370" s="9"/>
      <c r="C2370" s="12" t="str">
        <f>IF(B2370="","",IFERROR(INDEX('Cashier Roster'!$C$5:$C$64,MATCH(B2370,'Cashier Roster'!$B$5:$B$64,0)),"Not on roster"))</f>
        <v/>
      </c>
      <c r="D2370" s="12" t="str">
        <f>IF(B2370="","",IFERROR(INDEX('Cashier Roster'!$D$5:$D$64,MATCH(B2370,'Cashier Roster'!$B$5:$B$64,0)),""))</f>
        <v/>
      </c>
      <c r="E2370" s="13"/>
      <c r="F2370" s="14"/>
      <c r="G2370" s="8" t="str">
        <f>IF(OR(B2370="",E2370=""),"",IF(E2370="No","Missed",IF(F2370="","",IF(F2370&lt;=Settings!$B$7,"On time","Late"))))</f>
        <v/>
      </c>
      <c r="H2370" s="15"/>
      <c r="I2370" s="16"/>
      <c r="J2370" s="16"/>
      <c r="K2370" s="17" t="str">
        <f>IF(J2370="","",ROUND(J2370*Settings!$B$8,2))</f>
        <v/>
      </c>
      <c r="L2370" s="16"/>
      <c r="M2370" s="8" t="str">
        <f t="shared" si="36"/>
        <v/>
      </c>
      <c r="N2370" s="9"/>
    </row>
    <row r="2371" spans="1:14" ht="15.75">
      <c r="A2371" s="11"/>
      <c r="B2371" s="9"/>
      <c r="C2371" s="12" t="str">
        <f>IF(B2371="","",IFERROR(INDEX('Cashier Roster'!$C$5:$C$64,MATCH(B2371,'Cashier Roster'!$B$5:$B$64,0)),"Not on roster"))</f>
        <v/>
      </c>
      <c r="D2371" s="12" t="str">
        <f>IF(B2371="","",IFERROR(INDEX('Cashier Roster'!$D$5:$D$64,MATCH(B2371,'Cashier Roster'!$B$5:$B$64,0)),""))</f>
        <v/>
      </c>
      <c r="E2371" s="13"/>
      <c r="F2371" s="14"/>
      <c r="G2371" s="8" t="str">
        <f>IF(OR(B2371="",E2371=""),"",IF(E2371="No","Missed",IF(F2371="","",IF(F2371&lt;=Settings!$B$7,"On time","Late"))))</f>
        <v/>
      </c>
      <c r="H2371" s="15"/>
      <c r="I2371" s="16"/>
      <c r="J2371" s="16"/>
      <c r="K2371" s="17" t="str">
        <f>IF(J2371="","",ROUND(J2371*Settings!$B$8,2))</f>
        <v/>
      </c>
      <c r="L2371" s="16"/>
      <c r="M2371" s="8" t="str">
        <f t="shared" si="36"/>
        <v/>
      </c>
      <c r="N2371" s="9"/>
    </row>
    <row r="2372" spans="1:14" ht="15.75">
      <c r="A2372" s="11"/>
      <c r="B2372" s="9"/>
      <c r="C2372" s="12" t="str">
        <f>IF(B2372="","",IFERROR(INDEX('Cashier Roster'!$C$5:$C$64,MATCH(B2372,'Cashier Roster'!$B$5:$B$64,0)),"Not on roster"))</f>
        <v/>
      </c>
      <c r="D2372" s="12" t="str">
        <f>IF(B2372="","",IFERROR(INDEX('Cashier Roster'!$D$5:$D$64,MATCH(B2372,'Cashier Roster'!$B$5:$B$64,0)),""))</f>
        <v/>
      </c>
      <c r="E2372" s="13"/>
      <c r="F2372" s="14"/>
      <c r="G2372" s="8" t="str">
        <f>IF(OR(B2372="",E2372=""),"",IF(E2372="No","Missed",IF(F2372="","",IF(F2372&lt;=Settings!$B$7,"On time","Late"))))</f>
        <v/>
      </c>
      <c r="H2372" s="15"/>
      <c r="I2372" s="16"/>
      <c r="J2372" s="16"/>
      <c r="K2372" s="17" t="str">
        <f>IF(J2372="","",ROUND(J2372*Settings!$B$8,2))</f>
        <v/>
      </c>
      <c r="L2372" s="16"/>
      <c r="M2372" s="8" t="str">
        <f t="shared" si="36"/>
        <v/>
      </c>
      <c r="N2372" s="9"/>
    </row>
    <row r="2373" spans="1:14" ht="15.75">
      <c r="A2373" s="11"/>
      <c r="B2373" s="9"/>
      <c r="C2373" s="12" t="str">
        <f>IF(B2373="","",IFERROR(INDEX('Cashier Roster'!$C$5:$C$64,MATCH(B2373,'Cashier Roster'!$B$5:$B$64,0)),"Not on roster"))</f>
        <v/>
      </c>
      <c r="D2373" s="12" t="str">
        <f>IF(B2373="","",IFERROR(INDEX('Cashier Roster'!$D$5:$D$64,MATCH(B2373,'Cashier Roster'!$B$5:$B$64,0)),""))</f>
        <v/>
      </c>
      <c r="E2373" s="13"/>
      <c r="F2373" s="14"/>
      <c r="G2373" s="8" t="str">
        <f>IF(OR(B2373="",E2373=""),"",IF(E2373="No","Missed",IF(F2373="","",IF(F2373&lt;=Settings!$B$7,"On time","Late"))))</f>
        <v/>
      </c>
      <c r="H2373" s="15"/>
      <c r="I2373" s="16"/>
      <c r="J2373" s="16"/>
      <c r="K2373" s="17" t="str">
        <f>IF(J2373="","",ROUND(J2373*Settings!$B$8,2))</f>
        <v/>
      </c>
      <c r="L2373" s="16"/>
      <c r="M2373" s="8" t="str">
        <f t="shared" ref="M2373:M2436" si="37">IF(L2373="","",IF(L2373&lt;=0,"Yes","No"))</f>
        <v/>
      </c>
      <c r="N2373" s="9"/>
    </row>
    <row r="2374" spans="1:14" ht="15.75">
      <c r="A2374" s="11"/>
      <c r="B2374" s="9"/>
      <c r="C2374" s="12" t="str">
        <f>IF(B2374="","",IFERROR(INDEX('Cashier Roster'!$C$5:$C$64,MATCH(B2374,'Cashier Roster'!$B$5:$B$64,0)),"Not on roster"))</f>
        <v/>
      </c>
      <c r="D2374" s="12" t="str">
        <f>IF(B2374="","",IFERROR(INDEX('Cashier Roster'!$D$5:$D$64,MATCH(B2374,'Cashier Roster'!$B$5:$B$64,0)),""))</f>
        <v/>
      </c>
      <c r="E2374" s="13"/>
      <c r="F2374" s="14"/>
      <c r="G2374" s="8" t="str">
        <f>IF(OR(B2374="",E2374=""),"",IF(E2374="No","Missed",IF(F2374="","",IF(F2374&lt;=Settings!$B$7,"On time","Late"))))</f>
        <v/>
      </c>
      <c r="H2374" s="15"/>
      <c r="I2374" s="16"/>
      <c r="J2374" s="16"/>
      <c r="K2374" s="17" t="str">
        <f>IF(J2374="","",ROUND(J2374*Settings!$B$8,2))</f>
        <v/>
      </c>
      <c r="L2374" s="16"/>
      <c r="M2374" s="8" t="str">
        <f t="shared" si="37"/>
        <v/>
      </c>
      <c r="N2374" s="9"/>
    </row>
    <row r="2375" spans="1:14" ht="15.75">
      <c r="A2375" s="11"/>
      <c r="B2375" s="9"/>
      <c r="C2375" s="12" t="str">
        <f>IF(B2375="","",IFERROR(INDEX('Cashier Roster'!$C$5:$C$64,MATCH(B2375,'Cashier Roster'!$B$5:$B$64,0)),"Not on roster"))</f>
        <v/>
      </c>
      <c r="D2375" s="12" t="str">
        <f>IF(B2375="","",IFERROR(INDEX('Cashier Roster'!$D$5:$D$64,MATCH(B2375,'Cashier Roster'!$B$5:$B$64,0)),""))</f>
        <v/>
      </c>
      <c r="E2375" s="13"/>
      <c r="F2375" s="14"/>
      <c r="G2375" s="8" t="str">
        <f>IF(OR(B2375="",E2375=""),"",IF(E2375="No","Missed",IF(F2375="","",IF(F2375&lt;=Settings!$B$7,"On time","Late"))))</f>
        <v/>
      </c>
      <c r="H2375" s="15"/>
      <c r="I2375" s="16"/>
      <c r="J2375" s="16"/>
      <c r="K2375" s="17" t="str">
        <f>IF(J2375="","",ROUND(J2375*Settings!$B$8,2))</f>
        <v/>
      </c>
      <c r="L2375" s="16"/>
      <c r="M2375" s="8" t="str">
        <f t="shared" si="37"/>
        <v/>
      </c>
      <c r="N2375" s="9"/>
    </row>
    <row r="2376" spans="1:14" ht="15.75">
      <c r="A2376" s="11"/>
      <c r="B2376" s="9"/>
      <c r="C2376" s="12" t="str">
        <f>IF(B2376="","",IFERROR(INDEX('Cashier Roster'!$C$5:$C$64,MATCH(B2376,'Cashier Roster'!$B$5:$B$64,0)),"Not on roster"))</f>
        <v/>
      </c>
      <c r="D2376" s="12" t="str">
        <f>IF(B2376="","",IFERROR(INDEX('Cashier Roster'!$D$5:$D$64,MATCH(B2376,'Cashier Roster'!$B$5:$B$64,0)),""))</f>
        <v/>
      </c>
      <c r="E2376" s="13"/>
      <c r="F2376" s="14"/>
      <c r="G2376" s="8" t="str">
        <f>IF(OR(B2376="",E2376=""),"",IF(E2376="No","Missed",IF(F2376="","",IF(F2376&lt;=Settings!$B$7,"On time","Late"))))</f>
        <v/>
      </c>
      <c r="H2376" s="15"/>
      <c r="I2376" s="16"/>
      <c r="J2376" s="16"/>
      <c r="K2376" s="17" t="str">
        <f>IF(J2376="","",ROUND(J2376*Settings!$B$8,2))</f>
        <v/>
      </c>
      <c r="L2376" s="16"/>
      <c r="M2376" s="8" t="str">
        <f t="shared" si="37"/>
        <v/>
      </c>
      <c r="N2376" s="9"/>
    </row>
    <row r="2377" spans="1:14" ht="15.75">
      <c r="A2377" s="11"/>
      <c r="B2377" s="9"/>
      <c r="C2377" s="12" t="str">
        <f>IF(B2377="","",IFERROR(INDEX('Cashier Roster'!$C$5:$C$64,MATCH(B2377,'Cashier Roster'!$B$5:$B$64,0)),"Not on roster"))</f>
        <v/>
      </c>
      <c r="D2377" s="12" t="str">
        <f>IF(B2377="","",IFERROR(INDEX('Cashier Roster'!$D$5:$D$64,MATCH(B2377,'Cashier Roster'!$B$5:$B$64,0)),""))</f>
        <v/>
      </c>
      <c r="E2377" s="13"/>
      <c r="F2377" s="14"/>
      <c r="G2377" s="8" t="str">
        <f>IF(OR(B2377="",E2377=""),"",IF(E2377="No","Missed",IF(F2377="","",IF(F2377&lt;=Settings!$B$7,"On time","Late"))))</f>
        <v/>
      </c>
      <c r="H2377" s="15"/>
      <c r="I2377" s="16"/>
      <c r="J2377" s="16"/>
      <c r="K2377" s="17" t="str">
        <f>IF(J2377="","",ROUND(J2377*Settings!$B$8,2))</f>
        <v/>
      </c>
      <c r="L2377" s="16"/>
      <c r="M2377" s="8" t="str">
        <f t="shared" si="37"/>
        <v/>
      </c>
      <c r="N2377" s="9"/>
    </row>
    <row r="2378" spans="1:14" ht="15.75">
      <c r="A2378" s="11"/>
      <c r="B2378" s="9"/>
      <c r="C2378" s="12" t="str">
        <f>IF(B2378="","",IFERROR(INDEX('Cashier Roster'!$C$5:$C$64,MATCH(B2378,'Cashier Roster'!$B$5:$B$64,0)),"Not on roster"))</f>
        <v/>
      </c>
      <c r="D2378" s="12" t="str">
        <f>IF(B2378="","",IFERROR(INDEX('Cashier Roster'!$D$5:$D$64,MATCH(B2378,'Cashier Roster'!$B$5:$B$64,0)),""))</f>
        <v/>
      </c>
      <c r="E2378" s="13"/>
      <c r="F2378" s="14"/>
      <c r="G2378" s="8" t="str">
        <f>IF(OR(B2378="",E2378=""),"",IF(E2378="No","Missed",IF(F2378="","",IF(F2378&lt;=Settings!$B$7,"On time","Late"))))</f>
        <v/>
      </c>
      <c r="H2378" s="15"/>
      <c r="I2378" s="16"/>
      <c r="J2378" s="16"/>
      <c r="K2378" s="17" t="str">
        <f>IF(J2378="","",ROUND(J2378*Settings!$B$8,2))</f>
        <v/>
      </c>
      <c r="L2378" s="16"/>
      <c r="M2378" s="8" t="str">
        <f t="shared" si="37"/>
        <v/>
      </c>
      <c r="N2378" s="9"/>
    </row>
    <row r="2379" spans="1:14" ht="15.75">
      <c r="A2379" s="11"/>
      <c r="B2379" s="9"/>
      <c r="C2379" s="12" t="str">
        <f>IF(B2379="","",IFERROR(INDEX('Cashier Roster'!$C$5:$C$64,MATCH(B2379,'Cashier Roster'!$B$5:$B$64,0)),"Not on roster"))</f>
        <v/>
      </c>
      <c r="D2379" s="12" t="str">
        <f>IF(B2379="","",IFERROR(INDEX('Cashier Roster'!$D$5:$D$64,MATCH(B2379,'Cashier Roster'!$B$5:$B$64,0)),""))</f>
        <v/>
      </c>
      <c r="E2379" s="13"/>
      <c r="F2379" s="14"/>
      <c r="G2379" s="8" t="str">
        <f>IF(OR(B2379="",E2379=""),"",IF(E2379="No","Missed",IF(F2379="","",IF(F2379&lt;=Settings!$B$7,"On time","Late"))))</f>
        <v/>
      </c>
      <c r="H2379" s="15"/>
      <c r="I2379" s="16"/>
      <c r="J2379" s="16"/>
      <c r="K2379" s="17" t="str">
        <f>IF(J2379="","",ROUND(J2379*Settings!$B$8,2))</f>
        <v/>
      </c>
      <c r="L2379" s="16"/>
      <c r="M2379" s="8" t="str">
        <f t="shared" si="37"/>
        <v/>
      </c>
      <c r="N2379" s="9"/>
    </row>
    <row r="2380" spans="1:14" ht="15.75">
      <c r="A2380" s="11"/>
      <c r="B2380" s="9"/>
      <c r="C2380" s="12" t="str">
        <f>IF(B2380="","",IFERROR(INDEX('Cashier Roster'!$C$5:$C$64,MATCH(B2380,'Cashier Roster'!$B$5:$B$64,0)),"Not on roster"))</f>
        <v/>
      </c>
      <c r="D2380" s="12" t="str">
        <f>IF(B2380="","",IFERROR(INDEX('Cashier Roster'!$D$5:$D$64,MATCH(B2380,'Cashier Roster'!$B$5:$B$64,0)),""))</f>
        <v/>
      </c>
      <c r="E2380" s="13"/>
      <c r="F2380" s="14"/>
      <c r="G2380" s="8" t="str">
        <f>IF(OR(B2380="",E2380=""),"",IF(E2380="No","Missed",IF(F2380="","",IF(F2380&lt;=Settings!$B$7,"On time","Late"))))</f>
        <v/>
      </c>
      <c r="H2380" s="15"/>
      <c r="I2380" s="16"/>
      <c r="J2380" s="16"/>
      <c r="K2380" s="17" t="str">
        <f>IF(J2380="","",ROUND(J2380*Settings!$B$8,2))</f>
        <v/>
      </c>
      <c r="L2380" s="16"/>
      <c r="M2380" s="8" t="str">
        <f t="shared" si="37"/>
        <v/>
      </c>
      <c r="N2380" s="9"/>
    </row>
    <row r="2381" spans="1:14" ht="15.75">
      <c r="A2381" s="11"/>
      <c r="B2381" s="9"/>
      <c r="C2381" s="12" t="str">
        <f>IF(B2381="","",IFERROR(INDEX('Cashier Roster'!$C$5:$C$64,MATCH(B2381,'Cashier Roster'!$B$5:$B$64,0)),"Not on roster"))</f>
        <v/>
      </c>
      <c r="D2381" s="12" t="str">
        <f>IF(B2381="","",IFERROR(INDEX('Cashier Roster'!$D$5:$D$64,MATCH(B2381,'Cashier Roster'!$B$5:$B$64,0)),""))</f>
        <v/>
      </c>
      <c r="E2381" s="13"/>
      <c r="F2381" s="14"/>
      <c r="G2381" s="8" t="str">
        <f>IF(OR(B2381="",E2381=""),"",IF(E2381="No","Missed",IF(F2381="","",IF(F2381&lt;=Settings!$B$7,"On time","Late"))))</f>
        <v/>
      </c>
      <c r="H2381" s="15"/>
      <c r="I2381" s="16"/>
      <c r="J2381" s="16"/>
      <c r="K2381" s="17" t="str">
        <f>IF(J2381="","",ROUND(J2381*Settings!$B$8,2))</f>
        <v/>
      </c>
      <c r="L2381" s="16"/>
      <c r="M2381" s="8" t="str">
        <f t="shared" si="37"/>
        <v/>
      </c>
      <c r="N2381" s="9"/>
    </row>
    <row r="2382" spans="1:14" ht="15.75">
      <c r="A2382" s="11"/>
      <c r="B2382" s="9"/>
      <c r="C2382" s="12" t="str">
        <f>IF(B2382="","",IFERROR(INDEX('Cashier Roster'!$C$5:$C$64,MATCH(B2382,'Cashier Roster'!$B$5:$B$64,0)),"Not on roster"))</f>
        <v/>
      </c>
      <c r="D2382" s="12" t="str">
        <f>IF(B2382="","",IFERROR(INDEX('Cashier Roster'!$D$5:$D$64,MATCH(B2382,'Cashier Roster'!$B$5:$B$64,0)),""))</f>
        <v/>
      </c>
      <c r="E2382" s="13"/>
      <c r="F2382" s="14"/>
      <c r="G2382" s="8" t="str">
        <f>IF(OR(B2382="",E2382=""),"",IF(E2382="No","Missed",IF(F2382="","",IF(F2382&lt;=Settings!$B$7,"On time","Late"))))</f>
        <v/>
      </c>
      <c r="H2382" s="15"/>
      <c r="I2382" s="16"/>
      <c r="J2382" s="16"/>
      <c r="K2382" s="17" t="str">
        <f>IF(J2382="","",ROUND(J2382*Settings!$B$8,2))</f>
        <v/>
      </c>
      <c r="L2382" s="16"/>
      <c r="M2382" s="8" t="str">
        <f t="shared" si="37"/>
        <v/>
      </c>
      <c r="N2382" s="9"/>
    </row>
    <row r="2383" spans="1:14" ht="15.75">
      <c r="A2383" s="11"/>
      <c r="B2383" s="9"/>
      <c r="C2383" s="12" t="str">
        <f>IF(B2383="","",IFERROR(INDEX('Cashier Roster'!$C$5:$C$64,MATCH(B2383,'Cashier Roster'!$B$5:$B$64,0)),"Not on roster"))</f>
        <v/>
      </c>
      <c r="D2383" s="12" t="str">
        <f>IF(B2383="","",IFERROR(INDEX('Cashier Roster'!$D$5:$D$64,MATCH(B2383,'Cashier Roster'!$B$5:$B$64,0)),""))</f>
        <v/>
      </c>
      <c r="E2383" s="13"/>
      <c r="F2383" s="14"/>
      <c r="G2383" s="8" t="str">
        <f>IF(OR(B2383="",E2383=""),"",IF(E2383="No","Missed",IF(F2383="","",IF(F2383&lt;=Settings!$B$7,"On time","Late"))))</f>
        <v/>
      </c>
      <c r="H2383" s="15"/>
      <c r="I2383" s="16"/>
      <c r="J2383" s="16"/>
      <c r="K2383" s="17" t="str">
        <f>IF(J2383="","",ROUND(J2383*Settings!$B$8,2))</f>
        <v/>
      </c>
      <c r="L2383" s="16"/>
      <c r="M2383" s="8" t="str">
        <f t="shared" si="37"/>
        <v/>
      </c>
      <c r="N2383" s="9"/>
    </row>
    <row r="2384" spans="1:14" ht="15.75">
      <c r="A2384" s="11"/>
      <c r="B2384" s="9"/>
      <c r="C2384" s="12" t="str">
        <f>IF(B2384="","",IFERROR(INDEX('Cashier Roster'!$C$5:$C$64,MATCH(B2384,'Cashier Roster'!$B$5:$B$64,0)),"Not on roster"))</f>
        <v/>
      </c>
      <c r="D2384" s="12" t="str">
        <f>IF(B2384="","",IFERROR(INDEX('Cashier Roster'!$D$5:$D$64,MATCH(B2384,'Cashier Roster'!$B$5:$B$64,0)),""))</f>
        <v/>
      </c>
      <c r="E2384" s="13"/>
      <c r="F2384" s="14"/>
      <c r="G2384" s="8" t="str">
        <f>IF(OR(B2384="",E2384=""),"",IF(E2384="No","Missed",IF(F2384="","",IF(F2384&lt;=Settings!$B$7,"On time","Late"))))</f>
        <v/>
      </c>
      <c r="H2384" s="15"/>
      <c r="I2384" s="16"/>
      <c r="J2384" s="16"/>
      <c r="K2384" s="17" t="str">
        <f>IF(J2384="","",ROUND(J2384*Settings!$B$8,2))</f>
        <v/>
      </c>
      <c r="L2384" s="16"/>
      <c r="M2384" s="8" t="str">
        <f t="shared" si="37"/>
        <v/>
      </c>
      <c r="N2384" s="9"/>
    </row>
    <row r="2385" spans="1:14" ht="15.75">
      <c r="A2385" s="11"/>
      <c r="B2385" s="9"/>
      <c r="C2385" s="12" t="str">
        <f>IF(B2385="","",IFERROR(INDEX('Cashier Roster'!$C$5:$C$64,MATCH(B2385,'Cashier Roster'!$B$5:$B$64,0)),"Not on roster"))</f>
        <v/>
      </c>
      <c r="D2385" s="12" t="str">
        <f>IF(B2385="","",IFERROR(INDEX('Cashier Roster'!$D$5:$D$64,MATCH(B2385,'Cashier Roster'!$B$5:$B$64,0)),""))</f>
        <v/>
      </c>
      <c r="E2385" s="13"/>
      <c r="F2385" s="14"/>
      <c r="G2385" s="8" t="str">
        <f>IF(OR(B2385="",E2385=""),"",IF(E2385="No","Missed",IF(F2385="","",IF(F2385&lt;=Settings!$B$7,"On time","Late"))))</f>
        <v/>
      </c>
      <c r="H2385" s="15"/>
      <c r="I2385" s="16"/>
      <c r="J2385" s="16"/>
      <c r="K2385" s="17" t="str">
        <f>IF(J2385="","",ROUND(J2385*Settings!$B$8,2))</f>
        <v/>
      </c>
      <c r="L2385" s="16"/>
      <c r="M2385" s="8" t="str">
        <f t="shared" si="37"/>
        <v/>
      </c>
      <c r="N2385" s="9"/>
    </row>
    <row r="2386" spans="1:14" ht="15.75">
      <c r="A2386" s="11"/>
      <c r="B2386" s="9"/>
      <c r="C2386" s="12" t="str">
        <f>IF(B2386="","",IFERROR(INDEX('Cashier Roster'!$C$5:$C$64,MATCH(B2386,'Cashier Roster'!$B$5:$B$64,0)),"Not on roster"))</f>
        <v/>
      </c>
      <c r="D2386" s="12" t="str">
        <f>IF(B2386="","",IFERROR(INDEX('Cashier Roster'!$D$5:$D$64,MATCH(B2386,'Cashier Roster'!$B$5:$B$64,0)),""))</f>
        <v/>
      </c>
      <c r="E2386" s="13"/>
      <c r="F2386" s="14"/>
      <c r="G2386" s="8" t="str">
        <f>IF(OR(B2386="",E2386=""),"",IF(E2386="No","Missed",IF(F2386="","",IF(F2386&lt;=Settings!$B$7,"On time","Late"))))</f>
        <v/>
      </c>
      <c r="H2386" s="15"/>
      <c r="I2386" s="16"/>
      <c r="J2386" s="16"/>
      <c r="K2386" s="17" t="str">
        <f>IF(J2386="","",ROUND(J2386*Settings!$B$8,2))</f>
        <v/>
      </c>
      <c r="L2386" s="16"/>
      <c r="M2386" s="8" t="str">
        <f t="shared" si="37"/>
        <v/>
      </c>
      <c r="N2386" s="9"/>
    </row>
    <row r="2387" spans="1:14" ht="15.75">
      <c r="A2387" s="11"/>
      <c r="B2387" s="9"/>
      <c r="C2387" s="12" t="str">
        <f>IF(B2387="","",IFERROR(INDEX('Cashier Roster'!$C$5:$C$64,MATCH(B2387,'Cashier Roster'!$B$5:$B$64,0)),"Not on roster"))</f>
        <v/>
      </c>
      <c r="D2387" s="12" t="str">
        <f>IF(B2387="","",IFERROR(INDEX('Cashier Roster'!$D$5:$D$64,MATCH(B2387,'Cashier Roster'!$B$5:$B$64,0)),""))</f>
        <v/>
      </c>
      <c r="E2387" s="13"/>
      <c r="F2387" s="14"/>
      <c r="G2387" s="8" t="str">
        <f>IF(OR(B2387="",E2387=""),"",IF(E2387="No","Missed",IF(F2387="","",IF(F2387&lt;=Settings!$B$7,"On time","Late"))))</f>
        <v/>
      </c>
      <c r="H2387" s="15"/>
      <c r="I2387" s="16"/>
      <c r="J2387" s="16"/>
      <c r="K2387" s="17" t="str">
        <f>IF(J2387="","",ROUND(J2387*Settings!$B$8,2))</f>
        <v/>
      </c>
      <c r="L2387" s="16"/>
      <c r="M2387" s="8" t="str">
        <f t="shared" si="37"/>
        <v/>
      </c>
      <c r="N2387" s="9"/>
    </row>
    <row r="2388" spans="1:14" ht="15.75">
      <c r="A2388" s="11"/>
      <c r="B2388" s="9"/>
      <c r="C2388" s="12" t="str">
        <f>IF(B2388="","",IFERROR(INDEX('Cashier Roster'!$C$5:$C$64,MATCH(B2388,'Cashier Roster'!$B$5:$B$64,0)),"Not on roster"))</f>
        <v/>
      </c>
      <c r="D2388" s="12" t="str">
        <f>IF(B2388="","",IFERROR(INDEX('Cashier Roster'!$D$5:$D$64,MATCH(B2388,'Cashier Roster'!$B$5:$B$64,0)),""))</f>
        <v/>
      </c>
      <c r="E2388" s="13"/>
      <c r="F2388" s="14"/>
      <c r="G2388" s="8" t="str">
        <f>IF(OR(B2388="",E2388=""),"",IF(E2388="No","Missed",IF(F2388="","",IF(F2388&lt;=Settings!$B$7,"On time","Late"))))</f>
        <v/>
      </c>
      <c r="H2388" s="15"/>
      <c r="I2388" s="16"/>
      <c r="J2388" s="16"/>
      <c r="K2388" s="17" t="str">
        <f>IF(J2388="","",ROUND(J2388*Settings!$B$8,2))</f>
        <v/>
      </c>
      <c r="L2388" s="16"/>
      <c r="M2388" s="8" t="str">
        <f t="shared" si="37"/>
        <v/>
      </c>
      <c r="N2388" s="9"/>
    </row>
    <row r="2389" spans="1:14" ht="15.75">
      <c r="A2389" s="11"/>
      <c r="B2389" s="9"/>
      <c r="C2389" s="12" t="str">
        <f>IF(B2389="","",IFERROR(INDEX('Cashier Roster'!$C$5:$C$64,MATCH(B2389,'Cashier Roster'!$B$5:$B$64,0)),"Not on roster"))</f>
        <v/>
      </c>
      <c r="D2389" s="12" t="str">
        <f>IF(B2389="","",IFERROR(INDEX('Cashier Roster'!$D$5:$D$64,MATCH(B2389,'Cashier Roster'!$B$5:$B$64,0)),""))</f>
        <v/>
      </c>
      <c r="E2389" s="13"/>
      <c r="F2389" s="14"/>
      <c r="G2389" s="8" t="str">
        <f>IF(OR(B2389="",E2389=""),"",IF(E2389="No","Missed",IF(F2389="","",IF(F2389&lt;=Settings!$B$7,"On time","Late"))))</f>
        <v/>
      </c>
      <c r="H2389" s="15"/>
      <c r="I2389" s="16"/>
      <c r="J2389" s="16"/>
      <c r="K2389" s="17" t="str">
        <f>IF(J2389="","",ROUND(J2389*Settings!$B$8,2))</f>
        <v/>
      </c>
      <c r="L2389" s="16"/>
      <c r="M2389" s="8" t="str">
        <f t="shared" si="37"/>
        <v/>
      </c>
      <c r="N2389" s="9"/>
    </row>
    <row r="2390" spans="1:14" ht="15.75">
      <c r="A2390" s="11"/>
      <c r="B2390" s="9"/>
      <c r="C2390" s="12" t="str">
        <f>IF(B2390="","",IFERROR(INDEX('Cashier Roster'!$C$5:$C$64,MATCH(B2390,'Cashier Roster'!$B$5:$B$64,0)),"Not on roster"))</f>
        <v/>
      </c>
      <c r="D2390" s="12" t="str">
        <f>IF(B2390="","",IFERROR(INDEX('Cashier Roster'!$D$5:$D$64,MATCH(B2390,'Cashier Roster'!$B$5:$B$64,0)),""))</f>
        <v/>
      </c>
      <c r="E2390" s="13"/>
      <c r="F2390" s="14"/>
      <c r="G2390" s="8" t="str">
        <f>IF(OR(B2390="",E2390=""),"",IF(E2390="No","Missed",IF(F2390="","",IF(F2390&lt;=Settings!$B$7,"On time","Late"))))</f>
        <v/>
      </c>
      <c r="H2390" s="15"/>
      <c r="I2390" s="16"/>
      <c r="J2390" s="16"/>
      <c r="K2390" s="17" t="str">
        <f>IF(J2390="","",ROUND(J2390*Settings!$B$8,2))</f>
        <v/>
      </c>
      <c r="L2390" s="16"/>
      <c r="M2390" s="8" t="str">
        <f t="shared" si="37"/>
        <v/>
      </c>
      <c r="N2390" s="9"/>
    </row>
    <row r="2391" spans="1:14" ht="15.75">
      <c r="A2391" s="11"/>
      <c r="B2391" s="9"/>
      <c r="C2391" s="12" t="str">
        <f>IF(B2391="","",IFERROR(INDEX('Cashier Roster'!$C$5:$C$64,MATCH(B2391,'Cashier Roster'!$B$5:$B$64,0)),"Not on roster"))</f>
        <v/>
      </c>
      <c r="D2391" s="12" t="str">
        <f>IF(B2391="","",IFERROR(INDEX('Cashier Roster'!$D$5:$D$64,MATCH(B2391,'Cashier Roster'!$B$5:$B$64,0)),""))</f>
        <v/>
      </c>
      <c r="E2391" s="13"/>
      <c r="F2391" s="14"/>
      <c r="G2391" s="8" t="str">
        <f>IF(OR(B2391="",E2391=""),"",IF(E2391="No","Missed",IF(F2391="","",IF(F2391&lt;=Settings!$B$7,"On time","Late"))))</f>
        <v/>
      </c>
      <c r="H2391" s="15"/>
      <c r="I2391" s="16"/>
      <c r="J2391" s="16"/>
      <c r="K2391" s="17" t="str">
        <f>IF(J2391="","",ROUND(J2391*Settings!$B$8,2))</f>
        <v/>
      </c>
      <c r="L2391" s="16"/>
      <c r="M2391" s="8" t="str">
        <f t="shared" si="37"/>
        <v/>
      </c>
      <c r="N2391" s="9"/>
    </row>
    <row r="2392" spans="1:14" ht="15.75">
      <c r="A2392" s="11"/>
      <c r="B2392" s="9"/>
      <c r="C2392" s="12" t="str">
        <f>IF(B2392="","",IFERROR(INDEX('Cashier Roster'!$C$5:$C$64,MATCH(B2392,'Cashier Roster'!$B$5:$B$64,0)),"Not on roster"))</f>
        <v/>
      </c>
      <c r="D2392" s="12" t="str">
        <f>IF(B2392="","",IFERROR(INDEX('Cashier Roster'!$D$5:$D$64,MATCH(B2392,'Cashier Roster'!$B$5:$B$64,0)),""))</f>
        <v/>
      </c>
      <c r="E2392" s="13"/>
      <c r="F2392" s="14"/>
      <c r="G2392" s="8" t="str">
        <f>IF(OR(B2392="",E2392=""),"",IF(E2392="No","Missed",IF(F2392="","",IF(F2392&lt;=Settings!$B$7,"On time","Late"))))</f>
        <v/>
      </c>
      <c r="H2392" s="15"/>
      <c r="I2392" s="16"/>
      <c r="J2392" s="16"/>
      <c r="K2392" s="17" t="str">
        <f>IF(J2392="","",ROUND(J2392*Settings!$B$8,2))</f>
        <v/>
      </c>
      <c r="L2392" s="16"/>
      <c r="M2392" s="8" t="str">
        <f t="shared" si="37"/>
        <v/>
      </c>
      <c r="N2392" s="9"/>
    </row>
    <row r="2393" spans="1:14" ht="15.75">
      <c r="A2393" s="11"/>
      <c r="B2393" s="9"/>
      <c r="C2393" s="12" t="str">
        <f>IF(B2393="","",IFERROR(INDEX('Cashier Roster'!$C$5:$C$64,MATCH(B2393,'Cashier Roster'!$B$5:$B$64,0)),"Not on roster"))</f>
        <v/>
      </c>
      <c r="D2393" s="12" t="str">
        <f>IF(B2393="","",IFERROR(INDEX('Cashier Roster'!$D$5:$D$64,MATCH(B2393,'Cashier Roster'!$B$5:$B$64,0)),""))</f>
        <v/>
      </c>
      <c r="E2393" s="13"/>
      <c r="F2393" s="14"/>
      <c r="G2393" s="8" t="str">
        <f>IF(OR(B2393="",E2393=""),"",IF(E2393="No","Missed",IF(F2393="","",IF(F2393&lt;=Settings!$B$7,"On time","Late"))))</f>
        <v/>
      </c>
      <c r="H2393" s="15"/>
      <c r="I2393" s="16"/>
      <c r="J2393" s="16"/>
      <c r="K2393" s="17" t="str">
        <f>IF(J2393="","",ROUND(J2393*Settings!$B$8,2))</f>
        <v/>
      </c>
      <c r="L2393" s="16"/>
      <c r="M2393" s="8" t="str">
        <f t="shared" si="37"/>
        <v/>
      </c>
      <c r="N2393" s="9"/>
    </row>
    <row r="2394" spans="1:14" ht="15.75">
      <c r="A2394" s="11"/>
      <c r="B2394" s="9"/>
      <c r="C2394" s="12" t="str">
        <f>IF(B2394="","",IFERROR(INDEX('Cashier Roster'!$C$5:$C$64,MATCH(B2394,'Cashier Roster'!$B$5:$B$64,0)),"Not on roster"))</f>
        <v/>
      </c>
      <c r="D2394" s="12" t="str">
        <f>IF(B2394="","",IFERROR(INDEX('Cashier Roster'!$D$5:$D$64,MATCH(B2394,'Cashier Roster'!$B$5:$B$64,0)),""))</f>
        <v/>
      </c>
      <c r="E2394" s="13"/>
      <c r="F2394" s="14"/>
      <c r="G2394" s="8" t="str">
        <f>IF(OR(B2394="",E2394=""),"",IF(E2394="No","Missed",IF(F2394="","",IF(F2394&lt;=Settings!$B$7,"On time","Late"))))</f>
        <v/>
      </c>
      <c r="H2394" s="15"/>
      <c r="I2394" s="16"/>
      <c r="J2394" s="16"/>
      <c r="K2394" s="17" t="str">
        <f>IF(J2394="","",ROUND(J2394*Settings!$B$8,2))</f>
        <v/>
      </c>
      <c r="L2394" s="16"/>
      <c r="M2394" s="8" t="str">
        <f t="shared" si="37"/>
        <v/>
      </c>
      <c r="N2394" s="9"/>
    </row>
    <row r="2395" spans="1:14" ht="15.75">
      <c r="A2395" s="11"/>
      <c r="B2395" s="9"/>
      <c r="C2395" s="12" t="str">
        <f>IF(B2395="","",IFERROR(INDEX('Cashier Roster'!$C$5:$C$64,MATCH(B2395,'Cashier Roster'!$B$5:$B$64,0)),"Not on roster"))</f>
        <v/>
      </c>
      <c r="D2395" s="12" t="str">
        <f>IF(B2395="","",IFERROR(INDEX('Cashier Roster'!$D$5:$D$64,MATCH(B2395,'Cashier Roster'!$B$5:$B$64,0)),""))</f>
        <v/>
      </c>
      <c r="E2395" s="13"/>
      <c r="F2395" s="14"/>
      <c r="G2395" s="8" t="str">
        <f>IF(OR(B2395="",E2395=""),"",IF(E2395="No","Missed",IF(F2395="","",IF(F2395&lt;=Settings!$B$7,"On time","Late"))))</f>
        <v/>
      </c>
      <c r="H2395" s="15"/>
      <c r="I2395" s="16"/>
      <c r="J2395" s="16"/>
      <c r="K2395" s="17" t="str">
        <f>IF(J2395="","",ROUND(J2395*Settings!$B$8,2))</f>
        <v/>
      </c>
      <c r="L2395" s="16"/>
      <c r="M2395" s="8" t="str">
        <f t="shared" si="37"/>
        <v/>
      </c>
      <c r="N2395" s="9"/>
    </row>
    <row r="2396" spans="1:14" ht="15.75">
      <c r="A2396" s="11"/>
      <c r="B2396" s="9"/>
      <c r="C2396" s="12" t="str">
        <f>IF(B2396="","",IFERROR(INDEX('Cashier Roster'!$C$5:$C$64,MATCH(B2396,'Cashier Roster'!$B$5:$B$64,0)),"Not on roster"))</f>
        <v/>
      </c>
      <c r="D2396" s="12" t="str">
        <f>IF(B2396="","",IFERROR(INDEX('Cashier Roster'!$D$5:$D$64,MATCH(B2396,'Cashier Roster'!$B$5:$B$64,0)),""))</f>
        <v/>
      </c>
      <c r="E2396" s="13"/>
      <c r="F2396" s="14"/>
      <c r="G2396" s="8" t="str">
        <f>IF(OR(B2396="",E2396=""),"",IF(E2396="No","Missed",IF(F2396="","",IF(F2396&lt;=Settings!$B$7,"On time","Late"))))</f>
        <v/>
      </c>
      <c r="H2396" s="15"/>
      <c r="I2396" s="16"/>
      <c r="J2396" s="16"/>
      <c r="K2396" s="17" t="str">
        <f>IF(J2396="","",ROUND(J2396*Settings!$B$8,2))</f>
        <v/>
      </c>
      <c r="L2396" s="16"/>
      <c r="M2396" s="8" t="str">
        <f t="shared" si="37"/>
        <v/>
      </c>
      <c r="N2396" s="9"/>
    </row>
    <row r="2397" spans="1:14" ht="15.75">
      <c r="A2397" s="11"/>
      <c r="B2397" s="9"/>
      <c r="C2397" s="12" t="str">
        <f>IF(B2397="","",IFERROR(INDEX('Cashier Roster'!$C$5:$C$64,MATCH(B2397,'Cashier Roster'!$B$5:$B$64,0)),"Not on roster"))</f>
        <v/>
      </c>
      <c r="D2397" s="12" t="str">
        <f>IF(B2397="","",IFERROR(INDEX('Cashier Roster'!$D$5:$D$64,MATCH(B2397,'Cashier Roster'!$B$5:$B$64,0)),""))</f>
        <v/>
      </c>
      <c r="E2397" s="13"/>
      <c r="F2397" s="14"/>
      <c r="G2397" s="8" t="str">
        <f>IF(OR(B2397="",E2397=""),"",IF(E2397="No","Missed",IF(F2397="","",IF(F2397&lt;=Settings!$B$7,"On time","Late"))))</f>
        <v/>
      </c>
      <c r="H2397" s="15"/>
      <c r="I2397" s="16"/>
      <c r="J2397" s="16"/>
      <c r="K2397" s="17" t="str">
        <f>IF(J2397="","",ROUND(J2397*Settings!$B$8,2))</f>
        <v/>
      </c>
      <c r="L2397" s="16"/>
      <c r="M2397" s="8" t="str">
        <f t="shared" si="37"/>
        <v/>
      </c>
      <c r="N2397" s="9"/>
    </row>
    <row r="2398" spans="1:14" ht="15.75">
      <c r="A2398" s="11"/>
      <c r="B2398" s="9"/>
      <c r="C2398" s="12" t="str">
        <f>IF(B2398="","",IFERROR(INDEX('Cashier Roster'!$C$5:$C$64,MATCH(B2398,'Cashier Roster'!$B$5:$B$64,0)),"Not on roster"))</f>
        <v/>
      </c>
      <c r="D2398" s="12" t="str">
        <f>IF(B2398="","",IFERROR(INDEX('Cashier Roster'!$D$5:$D$64,MATCH(B2398,'Cashier Roster'!$B$5:$B$64,0)),""))</f>
        <v/>
      </c>
      <c r="E2398" s="13"/>
      <c r="F2398" s="14"/>
      <c r="G2398" s="8" t="str">
        <f>IF(OR(B2398="",E2398=""),"",IF(E2398="No","Missed",IF(F2398="","",IF(F2398&lt;=Settings!$B$7,"On time","Late"))))</f>
        <v/>
      </c>
      <c r="H2398" s="15"/>
      <c r="I2398" s="16"/>
      <c r="J2398" s="16"/>
      <c r="K2398" s="17" t="str">
        <f>IF(J2398="","",ROUND(J2398*Settings!$B$8,2))</f>
        <v/>
      </c>
      <c r="L2398" s="16"/>
      <c r="M2398" s="8" t="str">
        <f t="shared" si="37"/>
        <v/>
      </c>
      <c r="N2398" s="9"/>
    </row>
    <row r="2399" spans="1:14" ht="15.75">
      <c r="A2399" s="11"/>
      <c r="B2399" s="9"/>
      <c r="C2399" s="12" t="str">
        <f>IF(B2399="","",IFERROR(INDEX('Cashier Roster'!$C$5:$C$64,MATCH(B2399,'Cashier Roster'!$B$5:$B$64,0)),"Not on roster"))</f>
        <v/>
      </c>
      <c r="D2399" s="12" t="str">
        <f>IF(B2399="","",IFERROR(INDEX('Cashier Roster'!$D$5:$D$64,MATCH(B2399,'Cashier Roster'!$B$5:$B$64,0)),""))</f>
        <v/>
      </c>
      <c r="E2399" s="13"/>
      <c r="F2399" s="14"/>
      <c r="G2399" s="8" t="str">
        <f>IF(OR(B2399="",E2399=""),"",IF(E2399="No","Missed",IF(F2399="","",IF(F2399&lt;=Settings!$B$7,"On time","Late"))))</f>
        <v/>
      </c>
      <c r="H2399" s="15"/>
      <c r="I2399" s="16"/>
      <c r="J2399" s="16"/>
      <c r="K2399" s="17" t="str">
        <f>IF(J2399="","",ROUND(J2399*Settings!$B$8,2))</f>
        <v/>
      </c>
      <c r="L2399" s="16"/>
      <c r="M2399" s="8" t="str">
        <f t="shared" si="37"/>
        <v/>
      </c>
      <c r="N2399" s="9"/>
    </row>
    <row r="2400" spans="1:14" ht="15.75">
      <c r="A2400" s="11"/>
      <c r="B2400" s="9"/>
      <c r="C2400" s="12" t="str">
        <f>IF(B2400="","",IFERROR(INDEX('Cashier Roster'!$C$5:$C$64,MATCH(B2400,'Cashier Roster'!$B$5:$B$64,0)),"Not on roster"))</f>
        <v/>
      </c>
      <c r="D2400" s="12" t="str">
        <f>IF(B2400="","",IFERROR(INDEX('Cashier Roster'!$D$5:$D$64,MATCH(B2400,'Cashier Roster'!$B$5:$B$64,0)),""))</f>
        <v/>
      </c>
      <c r="E2400" s="13"/>
      <c r="F2400" s="14"/>
      <c r="G2400" s="8" t="str">
        <f>IF(OR(B2400="",E2400=""),"",IF(E2400="No","Missed",IF(F2400="","",IF(F2400&lt;=Settings!$B$7,"On time","Late"))))</f>
        <v/>
      </c>
      <c r="H2400" s="15"/>
      <c r="I2400" s="16"/>
      <c r="J2400" s="16"/>
      <c r="K2400" s="17" t="str">
        <f>IF(J2400="","",ROUND(J2400*Settings!$B$8,2))</f>
        <v/>
      </c>
      <c r="L2400" s="16"/>
      <c r="M2400" s="8" t="str">
        <f t="shared" si="37"/>
        <v/>
      </c>
      <c r="N2400" s="9"/>
    </row>
    <row r="2401" spans="1:14" ht="15.75">
      <c r="A2401" s="11"/>
      <c r="B2401" s="9"/>
      <c r="C2401" s="12" t="str">
        <f>IF(B2401="","",IFERROR(INDEX('Cashier Roster'!$C$5:$C$64,MATCH(B2401,'Cashier Roster'!$B$5:$B$64,0)),"Not on roster"))</f>
        <v/>
      </c>
      <c r="D2401" s="12" t="str">
        <f>IF(B2401="","",IFERROR(INDEX('Cashier Roster'!$D$5:$D$64,MATCH(B2401,'Cashier Roster'!$B$5:$B$64,0)),""))</f>
        <v/>
      </c>
      <c r="E2401" s="13"/>
      <c r="F2401" s="14"/>
      <c r="G2401" s="8" t="str">
        <f>IF(OR(B2401="",E2401=""),"",IF(E2401="No","Missed",IF(F2401="","",IF(F2401&lt;=Settings!$B$7,"On time","Late"))))</f>
        <v/>
      </c>
      <c r="H2401" s="15"/>
      <c r="I2401" s="16"/>
      <c r="J2401" s="16"/>
      <c r="K2401" s="17" t="str">
        <f>IF(J2401="","",ROUND(J2401*Settings!$B$8,2))</f>
        <v/>
      </c>
      <c r="L2401" s="16"/>
      <c r="M2401" s="8" t="str">
        <f t="shared" si="37"/>
        <v/>
      </c>
      <c r="N2401" s="9"/>
    </row>
    <row r="2402" spans="1:14" ht="15.75">
      <c r="A2402" s="11"/>
      <c r="B2402" s="9"/>
      <c r="C2402" s="12" t="str">
        <f>IF(B2402="","",IFERROR(INDEX('Cashier Roster'!$C$5:$C$64,MATCH(B2402,'Cashier Roster'!$B$5:$B$64,0)),"Not on roster"))</f>
        <v/>
      </c>
      <c r="D2402" s="12" t="str">
        <f>IF(B2402="","",IFERROR(INDEX('Cashier Roster'!$D$5:$D$64,MATCH(B2402,'Cashier Roster'!$B$5:$B$64,0)),""))</f>
        <v/>
      </c>
      <c r="E2402" s="13"/>
      <c r="F2402" s="14"/>
      <c r="G2402" s="8" t="str">
        <f>IF(OR(B2402="",E2402=""),"",IF(E2402="No","Missed",IF(F2402="","",IF(F2402&lt;=Settings!$B$7,"On time","Late"))))</f>
        <v/>
      </c>
      <c r="H2402" s="15"/>
      <c r="I2402" s="16"/>
      <c r="J2402" s="16"/>
      <c r="K2402" s="17" t="str">
        <f>IF(J2402="","",ROUND(J2402*Settings!$B$8,2))</f>
        <v/>
      </c>
      <c r="L2402" s="16"/>
      <c r="M2402" s="8" t="str">
        <f t="shared" si="37"/>
        <v/>
      </c>
      <c r="N2402" s="9"/>
    </row>
    <row r="2403" spans="1:14" ht="15.75">
      <c r="A2403" s="11"/>
      <c r="B2403" s="9"/>
      <c r="C2403" s="12" t="str">
        <f>IF(B2403="","",IFERROR(INDEX('Cashier Roster'!$C$5:$C$64,MATCH(B2403,'Cashier Roster'!$B$5:$B$64,0)),"Not on roster"))</f>
        <v/>
      </c>
      <c r="D2403" s="12" t="str">
        <f>IF(B2403="","",IFERROR(INDEX('Cashier Roster'!$D$5:$D$64,MATCH(B2403,'Cashier Roster'!$B$5:$B$64,0)),""))</f>
        <v/>
      </c>
      <c r="E2403" s="13"/>
      <c r="F2403" s="14"/>
      <c r="G2403" s="8" t="str">
        <f>IF(OR(B2403="",E2403=""),"",IF(E2403="No","Missed",IF(F2403="","",IF(F2403&lt;=Settings!$B$7,"On time","Late"))))</f>
        <v/>
      </c>
      <c r="H2403" s="15"/>
      <c r="I2403" s="16"/>
      <c r="J2403" s="16"/>
      <c r="K2403" s="17" t="str">
        <f>IF(J2403="","",ROUND(J2403*Settings!$B$8,2))</f>
        <v/>
      </c>
      <c r="L2403" s="16"/>
      <c r="M2403" s="8" t="str">
        <f t="shared" si="37"/>
        <v/>
      </c>
      <c r="N2403" s="9"/>
    </row>
    <row r="2404" spans="1:14" ht="15.75">
      <c r="A2404" s="11"/>
      <c r="B2404" s="9"/>
      <c r="C2404" s="12" t="str">
        <f>IF(B2404="","",IFERROR(INDEX('Cashier Roster'!$C$5:$C$64,MATCH(B2404,'Cashier Roster'!$B$5:$B$64,0)),"Not on roster"))</f>
        <v/>
      </c>
      <c r="D2404" s="12" t="str">
        <f>IF(B2404="","",IFERROR(INDEX('Cashier Roster'!$D$5:$D$64,MATCH(B2404,'Cashier Roster'!$B$5:$B$64,0)),""))</f>
        <v/>
      </c>
      <c r="E2404" s="13"/>
      <c r="F2404" s="14"/>
      <c r="G2404" s="8" t="str">
        <f>IF(OR(B2404="",E2404=""),"",IF(E2404="No","Missed",IF(F2404="","",IF(F2404&lt;=Settings!$B$7,"On time","Late"))))</f>
        <v/>
      </c>
      <c r="H2404" s="15"/>
      <c r="I2404" s="16"/>
      <c r="J2404" s="16"/>
      <c r="K2404" s="17" t="str">
        <f>IF(J2404="","",ROUND(J2404*Settings!$B$8,2))</f>
        <v/>
      </c>
      <c r="L2404" s="16"/>
      <c r="M2404" s="8" t="str">
        <f t="shared" si="37"/>
        <v/>
      </c>
      <c r="N2404" s="9"/>
    </row>
    <row r="2405" spans="1:14" ht="15.75">
      <c r="A2405" s="11"/>
      <c r="B2405" s="9"/>
      <c r="C2405" s="12" t="str">
        <f>IF(B2405="","",IFERROR(INDEX('Cashier Roster'!$C$5:$C$64,MATCH(B2405,'Cashier Roster'!$B$5:$B$64,0)),"Not on roster"))</f>
        <v/>
      </c>
      <c r="D2405" s="12" t="str">
        <f>IF(B2405="","",IFERROR(INDEX('Cashier Roster'!$D$5:$D$64,MATCH(B2405,'Cashier Roster'!$B$5:$B$64,0)),""))</f>
        <v/>
      </c>
      <c r="E2405" s="13"/>
      <c r="F2405" s="14"/>
      <c r="G2405" s="8" t="str">
        <f>IF(OR(B2405="",E2405=""),"",IF(E2405="No","Missed",IF(F2405="","",IF(F2405&lt;=Settings!$B$7,"On time","Late"))))</f>
        <v/>
      </c>
      <c r="H2405" s="15"/>
      <c r="I2405" s="16"/>
      <c r="J2405" s="16"/>
      <c r="K2405" s="17" t="str">
        <f>IF(J2405="","",ROUND(J2405*Settings!$B$8,2))</f>
        <v/>
      </c>
      <c r="L2405" s="16"/>
      <c r="M2405" s="8" t="str">
        <f t="shared" si="37"/>
        <v/>
      </c>
      <c r="N2405" s="9"/>
    </row>
    <row r="2406" spans="1:14" ht="15.75">
      <c r="A2406" s="11"/>
      <c r="B2406" s="9"/>
      <c r="C2406" s="12" t="str">
        <f>IF(B2406="","",IFERROR(INDEX('Cashier Roster'!$C$5:$C$64,MATCH(B2406,'Cashier Roster'!$B$5:$B$64,0)),"Not on roster"))</f>
        <v/>
      </c>
      <c r="D2406" s="12" t="str">
        <f>IF(B2406="","",IFERROR(INDEX('Cashier Roster'!$D$5:$D$64,MATCH(B2406,'Cashier Roster'!$B$5:$B$64,0)),""))</f>
        <v/>
      </c>
      <c r="E2406" s="13"/>
      <c r="F2406" s="14"/>
      <c r="G2406" s="8" t="str">
        <f>IF(OR(B2406="",E2406=""),"",IF(E2406="No","Missed",IF(F2406="","",IF(F2406&lt;=Settings!$B$7,"On time","Late"))))</f>
        <v/>
      </c>
      <c r="H2406" s="15"/>
      <c r="I2406" s="16"/>
      <c r="J2406" s="16"/>
      <c r="K2406" s="17" t="str">
        <f>IF(J2406="","",ROUND(J2406*Settings!$B$8,2))</f>
        <v/>
      </c>
      <c r="L2406" s="16"/>
      <c r="M2406" s="8" t="str">
        <f t="shared" si="37"/>
        <v/>
      </c>
      <c r="N2406" s="9"/>
    </row>
    <row r="2407" spans="1:14" ht="15.75">
      <c r="A2407" s="11"/>
      <c r="B2407" s="9"/>
      <c r="C2407" s="12" t="str">
        <f>IF(B2407="","",IFERROR(INDEX('Cashier Roster'!$C$5:$C$64,MATCH(B2407,'Cashier Roster'!$B$5:$B$64,0)),"Not on roster"))</f>
        <v/>
      </c>
      <c r="D2407" s="12" t="str">
        <f>IF(B2407="","",IFERROR(INDEX('Cashier Roster'!$D$5:$D$64,MATCH(B2407,'Cashier Roster'!$B$5:$B$64,0)),""))</f>
        <v/>
      </c>
      <c r="E2407" s="13"/>
      <c r="F2407" s="14"/>
      <c r="G2407" s="8" t="str">
        <f>IF(OR(B2407="",E2407=""),"",IF(E2407="No","Missed",IF(F2407="","",IF(F2407&lt;=Settings!$B$7,"On time","Late"))))</f>
        <v/>
      </c>
      <c r="H2407" s="15"/>
      <c r="I2407" s="16"/>
      <c r="J2407" s="16"/>
      <c r="K2407" s="17" t="str">
        <f>IF(J2407="","",ROUND(J2407*Settings!$B$8,2))</f>
        <v/>
      </c>
      <c r="L2407" s="16"/>
      <c r="M2407" s="8" t="str">
        <f t="shared" si="37"/>
        <v/>
      </c>
      <c r="N2407" s="9"/>
    </row>
    <row r="2408" spans="1:14" ht="15.75">
      <c r="A2408" s="11"/>
      <c r="B2408" s="9"/>
      <c r="C2408" s="12" t="str">
        <f>IF(B2408="","",IFERROR(INDEX('Cashier Roster'!$C$5:$C$64,MATCH(B2408,'Cashier Roster'!$B$5:$B$64,0)),"Not on roster"))</f>
        <v/>
      </c>
      <c r="D2408" s="12" t="str">
        <f>IF(B2408="","",IFERROR(INDEX('Cashier Roster'!$D$5:$D$64,MATCH(B2408,'Cashier Roster'!$B$5:$B$64,0)),""))</f>
        <v/>
      </c>
      <c r="E2408" s="13"/>
      <c r="F2408" s="14"/>
      <c r="G2408" s="8" t="str">
        <f>IF(OR(B2408="",E2408=""),"",IF(E2408="No","Missed",IF(F2408="","",IF(F2408&lt;=Settings!$B$7,"On time","Late"))))</f>
        <v/>
      </c>
      <c r="H2408" s="15"/>
      <c r="I2408" s="16"/>
      <c r="J2408" s="16"/>
      <c r="K2408" s="17" t="str">
        <f>IF(J2408="","",ROUND(J2408*Settings!$B$8,2))</f>
        <v/>
      </c>
      <c r="L2408" s="16"/>
      <c r="M2408" s="8" t="str">
        <f t="shared" si="37"/>
        <v/>
      </c>
      <c r="N2408" s="9"/>
    </row>
    <row r="2409" spans="1:14" ht="15.75">
      <c r="A2409" s="11"/>
      <c r="B2409" s="9"/>
      <c r="C2409" s="12" t="str">
        <f>IF(B2409="","",IFERROR(INDEX('Cashier Roster'!$C$5:$C$64,MATCH(B2409,'Cashier Roster'!$B$5:$B$64,0)),"Not on roster"))</f>
        <v/>
      </c>
      <c r="D2409" s="12" t="str">
        <f>IF(B2409="","",IFERROR(INDEX('Cashier Roster'!$D$5:$D$64,MATCH(B2409,'Cashier Roster'!$B$5:$B$64,0)),""))</f>
        <v/>
      </c>
      <c r="E2409" s="13"/>
      <c r="F2409" s="14"/>
      <c r="G2409" s="8" t="str">
        <f>IF(OR(B2409="",E2409=""),"",IF(E2409="No","Missed",IF(F2409="","",IF(F2409&lt;=Settings!$B$7,"On time","Late"))))</f>
        <v/>
      </c>
      <c r="H2409" s="15"/>
      <c r="I2409" s="16"/>
      <c r="J2409" s="16"/>
      <c r="K2409" s="17" t="str">
        <f>IF(J2409="","",ROUND(J2409*Settings!$B$8,2))</f>
        <v/>
      </c>
      <c r="L2409" s="16"/>
      <c r="M2409" s="8" t="str">
        <f t="shared" si="37"/>
        <v/>
      </c>
      <c r="N2409" s="9"/>
    </row>
    <row r="2410" spans="1:14" ht="15.75">
      <c r="A2410" s="11"/>
      <c r="B2410" s="9"/>
      <c r="C2410" s="12" t="str">
        <f>IF(B2410="","",IFERROR(INDEX('Cashier Roster'!$C$5:$C$64,MATCH(B2410,'Cashier Roster'!$B$5:$B$64,0)),"Not on roster"))</f>
        <v/>
      </c>
      <c r="D2410" s="12" t="str">
        <f>IF(B2410="","",IFERROR(INDEX('Cashier Roster'!$D$5:$D$64,MATCH(B2410,'Cashier Roster'!$B$5:$B$64,0)),""))</f>
        <v/>
      </c>
      <c r="E2410" s="13"/>
      <c r="F2410" s="14"/>
      <c r="G2410" s="8" t="str">
        <f>IF(OR(B2410="",E2410=""),"",IF(E2410="No","Missed",IF(F2410="","",IF(F2410&lt;=Settings!$B$7,"On time","Late"))))</f>
        <v/>
      </c>
      <c r="H2410" s="15"/>
      <c r="I2410" s="16"/>
      <c r="J2410" s="16"/>
      <c r="K2410" s="17" t="str">
        <f>IF(J2410="","",ROUND(J2410*Settings!$B$8,2))</f>
        <v/>
      </c>
      <c r="L2410" s="16"/>
      <c r="M2410" s="8" t="str">
        <f t="shared" si="37"/>
        <v/>
      </c>
      <c r="N2410" s="9"/>
    </row>
    <row r="2411" spans="1:14" ht="15.75">
      <c r="A2411" s="11"/>
      <c r="B2411" s="9"/>
      <c r="C2411" s="12" t="str">
        <f>IF(B2411="","",IFERROR(INDEX('Cashier Roster'!$C$5:$C$64,MATCH(B2411,'Cashier Roster'!$B$5:$B$64,0)),"Not on roster"))</f>
        <v/>
      </c>
      <c r="D2411" s="12" t="str">
        <f>IF(B2411="","",IFERROR(INDEX('Cashier Roster'!$D$5:$D$64,MATCH(B2411,'Cashier Roster'!$B$5:$B$64,0)),""))</f>
        <v/>
      </c>
      <c r="E2411" s="13"/>
      <c r="F2411" s="14"/>
      <c r="G2411" s="8" t="str">
        <f>IF(OR(B2411="",E2411=""),"",IF(E2411="No","Missed",IF(F2411="","",IF(F2411&lt;=Settings!$B$7,"On time","Late"))))</f>
        <v/>
      </c>
      <c r="H2411" s="15"/>
      <c r="I2411" s="16"/>
      <c r="J2411" s="16"/>
      <c r="K2411" s="17" t="str">
        <f>IF(J2411="","",ROUND(J2411*Settings!$B$8,2))</f>
        <v/>
      </c>
      <c r="L2411" s="16"/>
      <c r="M2411" s="8" t="str">
        <f t="shared" si="37"/>
        <v/>
      </c>
      <c r="N2411" s="9"/>
    </row>
    <row r="2412" spans="1:14" ht="15.75">
      <c r="A2412" s="11"/>
      <c r="B2412" s="9"/>
      <c r="C2412" s="12" t="str">
        <f>IF(B2412="","",IFERROR(INDEX('Cashier Roster'!$C$5:$C$64,MATCH(B2412,'Cashier Roster'!$B$5:$B$64,0)),"Not on roster"))</f>
        <v/>
      </c>
      <c r="D2412" s="12" t="str">
        <f>IF(B2412="","",IFERROR(INDEX('Cashier Roster'!$D$5:$D$64,MATCH(B2412,'Cashier Roster'!$B$5:$B$64,0)),""))</f>
        <v/>
      </c>
      <c r="E2412" s="13"/>
      <c r="F2412" s="14"/>
      <c r="G2412" s="8" t="str">
        <f>IF(OR(B2412="",E2412=""),"",IF(E2412="No","Missed",IF(F2412="","",IF(F2412&lt;=Settings!$B$7,"On time","Late"))))</f>
        <v/>
      </c>
      <c r="H2412" s="15"/>
      <c r="I2412" s="16"/>
      <c r="J2412" s="16"/>
      <c r="K2412" s="17" t="str">
        <f>IF(J2412="","",ROUND(J2412*Settings!$B$8,2))</f>
        <v/>
      </c>
      <c r="L2412" s="16"/>
      <c r="M2412" s="8" t="str">
        <f t="shared" si="37"/>
        <v/>
      </c>
      <c r="N2412" s="9"/>
    </row>
    <row r="2413" spans="1:14" ht="15.75">
      <c r="A2413" s="11"/>
      <c r="B2413" s="9"/>
      <c r="C2413" s="12" t="str">
        <f>IF(B2413="","",IFERROR(INDEX('Cashier Roster'!$C$5:$C$64,MATCH(B2413,'Cashier Roster'!$B$5:$B$64,0)),"Not on roster"))</f>
        <v/>
      </c>
      <c r="D2413" s="12" t="str">
        <f>IF(B2413="","",IFERROR(INDEX('Cashier Roster'!$D$5:$D$64,MATCH(B2413,'Cashier Roster'!$B$5:$B$64,0)),""))</f>
        <v/>
      </c>
      <c r="E2413" s="13"/>
      <c r="F2413" s="14"/>
      <c r="G2413" s="8" t="str">
        <f>IF(OR(B2413="",E2413=""),"",IF(E2413="No","Missed",IF(F2413="","",IF(F2413&lt;=Settings!$B$7,"On time","Late"))))</f>
        <v/>
      </c>
      <c r="H2413" s="15"/>
      <c r="I2413" s="16"/>
      <c r="J2413" s="16"/>
      <c r="K2413" s="17" t="str">
        <f>IF(J2413="","",ROUND(J2413*Settings!$B$8,2))</f>
        <v/>
      </c>
      <c r="L2413" s="16"/>
      <c r="M2413" s="8" t="str">
        <f t="shared" si="37"/>
        <v/>
      </c>
      <c r="N2413" s="9"/>
    </row>
    <row r="2414" spans="1:14" ht="15.75">
      <c r="A2414" s="11"/>
      <c r="B2414" s="9"/>
      <c r="C2414" s="12" t="str">
        <f>IF(B2414="","",IFERROR(INDEX('Cashier Roster'!$C$5:$C$64,MATCH(B2414,'Cashier Roster'!$B$5:$B$64,0)),"Not on roster"))</f>
        <v/>
      </c>
      <c r="D2414" s="12" t="str">
        <f>IF(B2414="","",IFERROR(INDEX('Cashier Roster'!$D$5:$D$64,MATCH(B2414,'Cashier Roster'!$B$5:$B$64,0)),""))</f>
        <v/>
      </c>
      <c r="E2414" s="13"/>
      <c r="F2414" s="14"/>
      <c r="G2414" s="8" t="str">
        <f>IF(OR(B2414="",E2414=""),"",IF(E2414="No","Missed",IF(F2414="","",IF(F2414&lt;=Settings!$B$7,"On time","Late"))))</f>
        <v/>
      </c>
      <c r="H2414" s="15"/>
      <c r="I2414" s="16"/>
      <c r="J2414" s="16"/>
      <c r="K2414" s="17" t="str">
        <f>IF(J2414="","",ROUND(J2414*Settings!$B$8,2))</f>
        <v/>
      </c>
      <c r="L2414" s="16"/>
      <c r="M2414" s="8" t="str">
        <f t="shared" si="37"/>
        <v/>
      </c>
      <c r="N2414" s="9"/>
    </row>
    <row r="2415" spans="1:14" ht="15.75">
      <c r="A2415" s="11"/>
      <c r="B2415" s="9"/>
      <c r="C2415" s="12" t="str">
        <f>IF(B2415="","",IFERROR(INDEX('Cashier Roster'!$C$5:$C$64,MATCH(B2415,'Cashier Roster'!$B$5:$B$64,0)),"Not on roster"))</f>
        <v/>
      </c>
      <c r="D2415" s="12" t="str">
        <f>IF(B2415="","",IFERROR(INDEX('Cashier Roster'!$D$5:$D$64,MATCH(B2415,'Cashier Roster'!$B$5:$B$64,0)),""))</f>
        <v/>
      </c>
      <c r="E2415" s="13"/>
      <c r="F2415" s="14"/>
      <c r="G2415" s="8" t="str">
        <f>IF(OR(B2415="",E2415=""),"",IF(E2415="No","Missed",IF(F2415="","",IF(F2415&lt;=Settings!$B$7,"On time","Late"))))</f>
        <v/>
      </c>
      <c r="H2415" s="15"/>
      <c r="I2415" s="16"/>
      <c r="J2415" s="16"/>
      <c r="K2415" s="17" t="str">
        <f>IF(J2415="","",ROUND(J2415*Settings!$B$8,2))</f>
        <v/>
      </c>
      <c r="L2415" s="16"/>
      <c r="M2415" s="8" t="str">
        <f t="shared" si="37"/>
        <v/>
      </c>
      <c r="N2415" s="9"/>
    </row>
    <row r="2416" spans="1:14" ht="15.75">
      <c r="A2416" s="11"/>
      <c r="B2416" s="9"/>
      <c r="C2416" s="12" t="str">
        <f>IF(B2416="","",IFERROR(INDEX('Cashier Roster'!$C$5:$C$64,MATCH(B2416,'Cashier Roster'!$B$5:$B$64,0)),"Not on roster"))</f>
        <v/>
      </c>
      <c r="D2416" s="12" t="str">
        <f>IF(B2416="","",IFERROR(INDEX('Cashier Roster'!$D$5:$D$64,MATCH(B2416,'Cashier Roster'!$B$5:$B$64,0)),""))</f>
        <v/>
      </c>
      <c r="E2416" s="13"/>
      <c r="F2416" s="14"/>
      <c r="G2416" s="8" t="str">
        <f>IF(OR(B2416="",E2416=""),"",IF(E2416="No","Missed",IF(F2416="","",IF(F2416&lt;=Settings!$B$7,"On time","Late"))))</f>
        <v/>
      </c>
      <c r="H2416" s="15"/>
      <c r="I2416" s="16"/>
      <c r="J2416" s="16"/>
      <c r="K2416" s="17" t="str">
        <f>IF(J2416="","",ROUND(J2416*Settings!$B$8,2))</f>
        <v/>
      </c>
      <c r="L2416" s="16"/>
      <c r="M2416" s="8" t="str">
        <f t="shared" si="37"/>
        <v/>
      </c>
      <c r="N2416" s="9"/>
    </row>
    <row r="2417" spans="1:14" ht="15.75">
      <c r="A2417" s="11"/>
      <c r="B2417" s="9"/>
      <c r="C2417" s="12" t="str">
        <f>IF(B2417="","",IFERROR(INDEX('Cashier Roster'!$C$5:$C$64,MATCH(B2417,'Cashier Roster'!$B$5:$B$64,0)),"Not on roster"))</f>
        <v/>
      </c>
      <c r="D2417" s="12" t="str">
        <f>IF(B2417="","",IFERROR(INDEX('Cashier Roster'!$D$5:$D$64,MATCH(B2417,'Cashier Roster'!$B$5:$B$64,0)),""))</f>
        <v/>
      </c>
      <c r="E2417" s="13"/>
      <c r="F2417" s="14"/>
      <c r="G2417" s="8" t="str">
        <f>IF(OR(B2417="",E2417=""),"",IF(E2417="No","Missed",IF(F2417="","",IF(F2417&lt;=Settings!$B$7,"On time","Late"))))</f>
        <v/>
      </c>
      <c r="H2417" s="15"/>
      <c r="I2417" s="16"/>
      <c r="J2417" s="16"/>
      <c r="K2417" s="17" t="str">
        <f>IF(J2417="","",ROUND(J2417*Settings!$B$8,2))</f>
        <v/>
      </c>
      <c r="L2417" s="16"/>
      <c r="M2417" s="8" t="str">
        <f t="shared" si="37"/>
        <v/>
      </c>
      <c r="N2417" s="9"/>
    </row>
    <row r="2418" spans="1:14" ht="15.75">
      <c r="A2418" s="11"/>
      <c r="B2418" s="9"/>
      <c r="C2418" s="12" t="str">
        <f>IF(B2418="","",IFERROR(INDEX('Cashier Roster'!$C$5:$C$64,MATCH(B2418,'Cashier Roster'!$B$5:$B$64,0)),"Not on roster"))</f>
        <v/>
      </c>
      <c r="D2418" s="12" t="str">
        <f>IF(B2418="","",IFERROR(INDEX('Cashier Roster'!$D$5:$D$64,MATCH(B2418,'Cashier Roster'!$B$5:$B$64,0)),""))</f>
        <v/>
      </c>
      <c r="E2418" s="13"/>
      <c r="F2418" s="14"/>
      <c r="G2418" s="8" t="str">
        <f>IF(OR(B2418="",E2418=""),"",IF(E2418="No","Missed",IF(F2418="","",IF(F2418&lt;=Settings!$B$7,"On time","Late"))))</f>
        <v/>
      </c>
      <c r="H2418" s="15"/>
      <c r="I2418" s="16"/>
      <c r="J2418" s="16"/>
      <c r="K2418" s="17" t="str">
        <f>IF(J2418="","",ROUND(J2418*Settings!$B$8,2))</f>
        <v/>
      </c>
      <c r="L2418" s="16"/>
      <c r="M2418" s="8" t="str">
        <f t="shared" si="37"/>
        <v/>
      </c>
      <c r="N2418" s="9"/>
    </row>
    <row r="2419" spans="1:14" ht="15.75">
      <c r="A2419" s="11"/>
      <c r="B2419" s="9"/>
      <c r="C2419" s="12" t="str">
        <f>IF(B2419="","",IFERROR(INDEX('Cashier Roster'!$C$5:$C$64,MATCH(B2419,'Cashier Roster'!$B$5:$B$64,0)),"Not on roster"))</f>
        <v/>
      </c>
      <c r="D2419" s="12" t="str">
        <f>IF(B2419="","",IFERROR(INDEX('Cashier Roster'!$D$5:$D$64,MATCH(B2419,'Cashier Roster'!$B$5:$B$64,0)),""))</f>
        <v/>
      </c>
      <c r="E2419" s="13"/>
      <c r="F2419" s="14"/>
      <c r="G2419" s="8" t="str">
        <f>IF(OR(B2419="",E2419=""),"",IF(E2419="No","Missed",IF(F2419="","",IF(F2419&lt;=Settings!$B$7,"On time","Late"))))</f>
        <v/>
      </c>
      <c r="H2419" s="15"/>
      <c r="I2419" s="16"/>
      <c r="J2419" s="16"/>
      <c r="K2419" s="17" t="str">
        <f>IF(J2419="","",ROUND(J2419*Settings!$B$8,2))</f>
        <v/>
      </c>
      <c r="L2419" s="16"/>
      <c r="M2419" s="8" t="str">
        <f t="shared" si="37"/>
        <v/>
      </c>
      <c r="N2419" s="9"/>
    </row>
    <row r="2420" spans="1:14" ht="15.75">
      <c r="A2420" s="11"/>
      <c r="B2420" s="9"/>
      <c r="C2420" s="12" t="str">
        <f>IF(B2420="","",IFERROR(INDEX('Cashier Roster'!$C$5:$C$64,MATCH(B2420,'Cashier Roster'!$B$5:$B$64,0)),"Not on roster"))</f>
        <v/>
      </c>
      <c r="D2420" s="12" t="str">
        <f>IF(B2420="","",IFERROR(INDEX('Cashier Roster'!$D$5:$D$64,MATCH(B2420,'Cashier Roster'!$B$5:$B$64,0)),""))</f>
        <v/>
      </c>
      <c r="E2420" s="13"/>
      <c r="F2420" s="14"/>
      <c r="G2420" s="8" t="str">
        <f>IF(OR(B2420="",E2420=""),"",IF(E2420="No","Missed",IF(F2420="","",IF(F2420&lt;=Settings!$B$7,"On time","Late"))))</f>
        <v/>
      </c>
      <c r="H2420" s="15"/>
      <c r="I2420" s="16"/>
      <c r="J2420" s="16"/>
      <c r="K2420" s="17" t="str">
        <f>IF(J2420="","",ROUND(J2420*Settings!$B$8,2))</f>
        <v/>
      </c>
      <c r="L2420" s="16"/>
      <c r="M2420" s="8" t="str">
        <f t="shared" si="37"/>
        <v/>
      </c>
      <c r="N2420" s="9"/>
    </row>
    <row r="2421" spans="1:14" ht="15.75">
      <c r="A2421" s="11"/>
      <c r="B2421" s="9"/>
      <c r="C2421" s="12" t="str">
        <f>IF(B2421="","",IFERROR(INDEX('Cashier Roster'!$C$5:$C$64,MATCH(B2421,'Cashier Roster'!$B$5:$B$64,0)),"Not on roster"))</f>
        <v/>
      </c>
      <c r="D2421" s="12" t="str">
        <f>IF(B2421="","",IFERROR(INDEX('Cashier Roster'!$D$5:$D$64,MATCH(B2421,'Cashier Roster'!$B$5:$B$64,0)),""))</f>
        <v/>
      </c>
      <c r="E2421" s="13"/>
      <c r="F2421" s="14"/>
      <c r="G2421" s="8" t="str">
        <f>IF(OR(B2421="",E2421=""),"",IF(E2421="No","Missed",IF(F2421="","",IF(F2421&lt;=Settings!$B$7,"On time","Late"))))</f>
        <v/>
      </c>
      <c r="H2421" s="15"/>
      <c r="I2421" s="16"/>
      <c r="J2421" s="16"/>
      <c r="K2421" s="17" t="str">
        <f>IF(J2421="","",ROUND(J2421*Settings!$B$8,2))</f>
        <v/>
      </c>
      <c r="L2421" s="16"/>
      <c r="M2421" s="8" t="str">
        <f t="shared" si="37"/>
        <v/>
      </c>
      <c r="N2421" s="9"/>
    </row>
    <row r="2422" spans="1:14" ht="15.75">
      <c r="A2422" s="11"/>
      <c r="B2422" s="9"/>
      <c r="C2422" s="12" t="str">
        <f>IF(B2422="","",IFERROR(INDEX('Cashier Roster'!$C$5:$C$64,MATCH(B2422,'Cashier Roster'!$B$5:$B$64,0)),"Not on roster"))</f>
        <v/>
      </c>
      <c r="D2422" s="12" t="str">
        <f>IF(B2422="","",IFERROR(INDEX('Cashier Roster'!$D$5:$D$64,MATCH(B2422,'Cashier Roster'!$B$5:$B$64,0)),""))</f>
        <v/>
      </c>
      <c r="E2422" s="13"/>
      <c r="F2422" s="14"/>
      <c r="G2422" s="8" t="str">
        <f>IF(OR(B2422="",E2422=""),"",IF(E2422="No","Missed",IF(F2422="","",IF(F2422&lt;=Settings!$B$7,"On time","Late"))))</f>
        <v/>
      </c>
      <c r="H2422" s="15"/>
      <c r="I2422" s="16"/>
      <c r="J2422" s="16"/>
      <c r="K2422" s="17" t="str">
        <f>IF(J2422="","",ROUND(J2422*Settings!$B$8,2))</f>
        <v/>
      </c>
      <c r="L2422" s="16"/>
      <c r="M2422" s="8" t="str">
        <f t="shared" si="37"/>
        <v/>
      </c>
      <c r="N2422" s="9"/>
    </row>
    <row r="2423" spans="1:14" ht="15.75">
      <c r="A2423" s="11"/>
      <c r="B2423" s="9"/>
      <c r="C2423" s="12" t="str">
        <f>IF(B2423="","",IFERROR(INDEX('Cashier Roster'!$C$5:$C$64,MATCH(B2423,'Cashier Roster'!$B$5:$B$64,0)),"Not on roster"))</f>
        <v/>
      </c>
      <c r="D2423" s="12" t="str">
        <f>IF(B2423="","",IFERROR(INDEX('Cashier Roster'!$D$5:$D$64,MATCH(B2423,'Cashier Roster'!$B$5:$B$64,0)),""))</f>
        <v/>
      </c>
      <c r="E2423" s="13"/>
      <c r="F2423" s="14"/>
      <c r="G2423" s="8" t="str">
        <f>IF(OR(B2423="",E2423=""),"",IF(E2423="No","Missed",IF(F2423="","",IF(F2423&lt;=Settings!$B$7,"On time","Late"))))</f>
        <v/>
      </c>
      <c r="H2423" s="15"/>
      <c r="I2423" s="16"/>
      <c r="J2423" s="16"/>
      <c r="K2423" s="17" t="str">
        <f>IF(J2423="","",ROUND(J2423*Settings!$B$8,2))</f>
        <v/>
      </c>
      <c r="L2423" s="16"/>
      <c r="M2423" s="8" t="str">
        <f t="shared" si="37"/>
        <v/>
      </c>
      <c r="N2423" s="9"/>
    </row>
    <row r="2424" spans="1:14" ht="15.75">
      <c r="A2424" s="11"/>
      <c r="B2424" s="9"/>
      <c r="C2424" s="12" t="str">
        <f>IF(B2424="","",IFERROR(INDEX('Cashier Roster'!$C$5:$C$64,MATCH(B2424,'Cashier Roster'!$B$5:$B$64,0)),"Not on roster"))</f>
        <v/>
      </c>
      <c r="D2424" s="12" t="str">
        <f>IF(B2424="","",IFERROR(INDEX('Cashier Roster'!$D$5:$D$64,MATCH(B2424,'Cashier Roster'!$B$5:$B$64,0)),""))</f>
        <v/>
      </c>
      <c r="E2424" s="13"/>
      <c r="F2424" s="14"/>
      <c r="G2424" s="8" t="str">
        <f>IF(OR(B2424="",E2424=""),"",IF(E2424="No","Missed",IF(F2424="","",IF(F2424&lt;=Settings!$B$7,"On time","Late"))))</f>
        <v/>
      </c>
      <c r="H2424" s="15"/>
      <c r="I2424" s="16"/>
      <c r="J2424" s="16"/>
      <c r="K2424" s="17" t="str">
        <f>IF(J2424="","",ROUND(J2424*Settings!$B$8,2))</f>
        <v/>
      </c>
      <c r="L2424" s="16"/>
      <c r="M2424" s="8" t="str">
        <f t="shared" si="37"/>
        <v/>
      </c>
      <c r="N2424" s="9"/>
    </row>
    <row r="2425" spans="1:14" ht="15.75">
      <c r="A2425" s="11"/>
      <c r="B2425" s="9"/>
      <c r="C2425" s="12" t="str">
        <f>IF(B2425="","",IFERROR(INDEX('Cashier Roster'!$C$5:$C$64,MATCH(B2425,'Cashier Roster'!$B$5:$B$64,0)),"Not on roster"))</f>
        <v/>
      </c>
      <c r="D2425" s="12" t="str">
        <f>IF(B2425="","",IFERROR(INDEX('Cashier Roster'!$D$5:$D$64,MATCH(B2425,'Cashier Roster'!$B$5:$B$64,0)),""))</f>
        <v/>
      </c>
      <c r="E2425" s="13"/>
      <c r="F2425" s="14"/>
      <c r="G2425" s="8" t="str">
        <f>IF(OR(B2425="",E2425=""),"",IF(E2425="No","Missed",IF(F2425="","",IF(F2425&lt;=Settings!$B$7,"On time","Late"))))</f>
        <v/>
      </c>
      <c r="H2425" s="15"/>
      <c r="I2425" s="16"/>
      <c r="J2425" s="16"/>
      <c r="K2425" s="17" t="str">
        <f>IF(J2425="","",ROUND(J2425*Settings!$B$8,2))</f>
        <v/>
      </c>
      <c r="L2425" s="16"/>
      <c r="M2425" s="8" t="str">
        <f t="shared" si="37"/>
        <v/>
      </c>
      <c r="N2425" s="9"/>
    </row>
    <row r="2426" spans="1:14" ht="15.75">
      <c r="A2426" s="11"/>
      <c r="B2426" s="9"/>
      <c r="C2426" s="12" t="str">
        <f>IF(B2426="","",IFERROR(INDEX('Cashier Roster'!$C$5:$C$64,MATCH(B2426,'Cashier Roster'!$B$5:$B$64,0)),"Not on roster"))</f>
        <v/>
      </c>
      <c r="D2426" s="12" t="str">
        <f>IF(B2426="","",IFERROR(INDEX('Cashier Roster'!$D$5:$D$64,MATCH(B2426,'Cashier Roster'!$B$5:$B$64,0)),""))</f>
        <v/>
      </c>
      <c r="E2426" s="13"/>
      <c r="F2426" s="14"/>
      <c r="G2426" s="8" t="str">
        <f>IF(OR(B2426="",E2426=""),"",IF(E2426="No","Missed",IF(F2426="","",IF(F2426&lt;=Settings!$B$7,"On time","Late"))))</f>
        <v/>
      </c>
      <c r="H2426" s="15"/>
      <c r="I2426" s="16"/>
      <c r="J2426" s="16"/>
      <c r="K2426" s="17" t="str">
        <f>IF(J2426="","",ROUND(J2426*Settings!$B$8,2))</f>
        <v/>
      </c>
      <c r="L2426" s="16"/>
      <c r="M2426" s="8" t="str">
        <f t="shared" si="37"/>
        <v/>
      </c>
      <c r="N2426" s="9"/>
    </row>
    <row r="2427" spans="1:14" ht="15.75">
      <c r="A2427" s="11"/>
      <c r="B2427" s="9"/>
      <c r="C2427" s="12" t="str">
        <f>IF(B2427="","",IFERROR(INDEX('Cashier Roster'!$C$5:$C$64,MATCH(B2427,'Cashier Roster'!$B$5:$B$64,0)),"Not on roster"))</f>
        <v/>
      </c>
      <c r="D2427" s="12" t="str">
        <f>IF(B2427="","",IFERROR(INDEX('Cashier Roster'!$D$5:$D$64,MATCH(B2427,'Cashier Roster'!$B$5:$B$64,0)),""))</f>
        <v/>
      </c>
      <c r="E2427" s="13"/>
      <c r="F2427" s="14"/>
      <c r="G2427" s="8" t="str">
        <f>IF(OR(B2427="",E2427=""),"",IF(E2427="No","Missed",IF(F2427="","",IF(F2427&lt;=Settings!$B$7,"On time","Late"))))</f>
        <v/>
      </c>
      <c r="H2427" s="15"/>
      <c r="I2427" s="16"/>
      <c r="J2427" s="16"/>
      <c r="K2427" s="17" t="str">
        <f>IF(J2427="","",ROUND(J2427*Settings!$B$8,2))</f>
        <v/>
      </c>
      <c r="L2427" s="16"/>
      <c r="M2427" s="8" t="str">
        <f t="shared" si="37"/>
        <v/>
      </c>
      <c r="N2427" s="9"/>
    </row>
    <row r="2428" spans="1:14" ht="15.75">
      <c r="A2428" s="11"/>
      <c r="B2428" s="9"/>
      <c r="C2428" s="12" t="str">
        <f>IF(B2428="","",IFERROR(INDEX('Cashier Roster'!$C$5:$C$64,MATCH(B2428,'Cashier Roster'!$B$5:$B$64,0)),"Not on roster"))</f>
        <v/>
      </c>
      <c r="D2428" s="12" t="str">
        <f>IF(B2428="","",IFERROR(INDEX('Cashier Roster'!$D$5:$D$64,MATCH(B2428,'Cashier Roster'!$B$5:$B$64,0)),""))</f>
        <v/>
      </c>
      <c r="E2428" s="13"/>
      <c r="F2428" s="14"/>
      <c r="G2428" s="8" t="str">
        <f>IF(OR(B2428="",E2428=""),"",IF(E2428="No","Missed",IF(F2428="","",IF(F2428&lt;=Settings!$B$7,"On time","Late"))))</f>
        <v/>
      </c>
      <c r="H2428" s="15"/>
      <c r="I2428" s="16"/>
      <c r="J2428" s="16"/>
      <c r="K2428" s="17" t="str">
        <f>IF(J2428="","",ROUND(J2428*Settings!$B$8,2))</f>
        <v/>
      </c>
      <c r="L2428" s="16"/>
      <c r="M2428" s="8" t="str">
        <f t="shared" si="37"/>
        <v/>
      </c>
      <c r="N2428" s="9"/>
    </row>
    <row r="2429" spans="1:14" ht="15.75">
      <c r="A2429" s="11"/>
      <c r="B2429" s="9"/>
      <c r="C2429" s="12" t="str">
        <f>IF(B2429="","",IFERROR(INDEX('Cashier Roster'!$C$5:$C$64,MATCH(B2429,'Cashier Roster'!$B$5:$B$64,0)),"Not on roster"))</f>
        <v/>
      </c>
      <c r="D2429" s="12" t="str">
        <f>IF(B2429="","",IFERROR(INDEX('Cashier Roster'!$D$5:$D$64,MATCH(B2429,'Cashier Roster'!$B$5:$B$64,0)),""))</f>
        <v/>
      </c>
      <c r="E2429" s="13"/>
      <c r="F2429" s="14"/>
      <c r="G2429" s="8" t="str">
        <f>IF(OR(B2429="",E2429=""),"",IF(E2429="No","Missed",IF(F2429="","",IF(F2429&lt;=Settings!$B$7,"On time","Late"))))</f>
        <v/>
      </c>
      <c r="H2429" s="15"/>
      <c r="I2429" s="16"/>
      <c r="J2429" s="16"/>
      <c r="K2429" s="17" t="str">
        <f>IF(J2429="","",ROUND(J2429*Settings!$B$8,2))</f>
        <v/>
      </c>
      <c r="L2429" s="16"/>
      <c r="M2429" s="8" t="str">
        <f t="shared" si="37"/>
        <v/>
      </c>
      <c r="N2429" s="9"/>
    </row>
    <row r="2430" spans="1:14" ht="15.75">
      <c r="A2430" s="11"/>
      <c r="B2430" s="9"/>
      <c r="C2430" s="12" t="str">
        <f>IF(B2430="","",IFERROR(INDEX('Cashier Roster'!$C$5:$C$64,MATCH(B2430,'Cashier Roster'!$B$5:$B$64,0)),"Not on roster"))</f>
        <v/>
      </c>
      <c r="D2430" s="12" t="str">
        <f>IF(B2430="","",IFERROR(INDEX('Cashier Roster'!$D$5:$D$64,MATCH(B2430,'Cashier Roster'!$B$5:$B$64,0)),""))</f>
        <v/>
      </c>
      <c r="E2430" s="13"/>
      <c r="F2430" s="14"/>
      <c r="G2430" s="8" t="str">
        <f>IF(OR(B2430="",E2430=""),"",IF(E2430="No","Missed",IF(F2430="","",IF(F2430&lt;=Settings!$B$7,"On time","Late"))))</f>
        <v/>
      </c>
      <c r="H2430" s="15"/>
      <c r="I2430" s="16"/>
      <c r="J2430" s="16"/>
      <c r="K2430" s="17" t="str">
        <f>IF(J2430="","",ROUND(J2430*Settings!$B$8,2))</f>
        <v/>
      </c>
      <c r="L2430" s="16"/>
      <c r="M2430" s="8" t="str">
        <f t="shared" si="37"/>
        <v/>
      </c>
      <c r="N2430" s="9"/>
    </row>
    <row r="2431" spans="1:14" ht="15.75">
      <c r="A2431" s="11"/>
      <c r="B2431" s="9"/>
      <c r="C2431" s="12" t="str">
        <f>IF(B2431="","",IFERROR(INDEX('Cashier Roster'!$C$5:$C$64,MATCH(B2431,'Cashier Roster'!$B$5:$B$64,0)),"Not on roster"))</f>
        <v/>
      </c>
      <c r="D2431" s="12" t="str">
        <f>IF(B2431="","",IFERROR(INDEX('Cashier Roster'!$D$5:$D$64,MATCH(B2431,'Cashier Roster'!$B$5:$B$64,0)),""))</f>
        <v/>
      </c>
      <c r="E2431" s="13"/>
      <c r="F2431" s="14"/>
      <c r="G2431" s="8" t="str">
        <f>IF(OR(B2431="",E2431=""),"",IF(E2431="No","Missed",IF(F2431="","",IF(F2431&lt;=Settings!$B$7,"On time","Late"))))</f>
        <v/>
      </c>
      <c r="H2431" s="15"/>
      <c r="I2431" s="16"/>
      <c r="J2431" s="16"/>
      <c r="K2431" s="17" t="str">
        <f>IF(J2431="","",ROUND(J2431*Settings!$B$8,2))</f>
        <v/>
      </c>
      <c r="L2431" s="16"/>
      <c r="M2431" s="8" t="str">
        <f t="shared" si="37"/>
        <v/>
      </c>
      <c r="N2431" s="9"/>
    </row>
    <row r="2432" spans="1:14" ht="15.75">
      <c r="A2432" s="11"/>
      <c r="B2432" s="9"/>
      <c r="C2432" s="12" t="str">
        <f>IF(B2432="","",IFERROR(INDEX('Cashier Roster'!$C$5:$C$64,MATCH(B2432,'Cashier Roster'!$B$5:$B$64,0)),"Not on roster"))</f>
        <v/>
      </c>
      <c r="D2432" s="12" t="str">
        <f>IF(B2432="","",IFERROR(INDEX('Cashier Roster'!$D$5:$D$64,MATCH(B2432,'Cashier Roster'!$B$5:$B$64,0)),""))</f>
        <v/>
      </c>
      <c r="E2432" s="13"/>
      <c r="F2432" s="14"/>
      <c r="G2432" s="8" t="str">
        <f>IF(OR(B2432="",E2432=""),"",IF(E2432="No","Missed",IF(F2432="","",IF(F2432&lt;=Settings!$B$7,"On time","Late"))))</f>
        <v/>
      </c>
      <c r="H2432" s="15"/>
      <c r="I2432" s="16"/>
      <c r="J2432" s="16"/>
      <c r="K2432" s="17" t="str">
        <f>IF(J2432="","",ROUND(J2432*Settings!$B$8,2))</f>
        <v/>
      </c>
      <c r="L2432" s="16"/>
      <c r="M2432" s="8" t="str">
        <f t="shared" si="37"/>
        <v/>
      </c>
      <c r="N2432" s="9"/>
    </row>
    <row r="2433" spans="1:14" ht="15.75">
      <c r="A2433" s="11"/>
      <c r="B2433" s="9"/>
      <c r="C2433" s="12" t="str">
        <f>IF(B2433="","",IFERROR(INDEX('Cashier Roster'!$C$5:$C$64,MATCH(B2433,'Cashier Roster'!$B$5:$B$64,0)),"Not on roster"))</f>
        <v/>
      </c>
      <c r="D2433" s="12" t="str">
        <f>IF(B2433="","",IFERROR(INDEX('Cashier Roster'!$D$5:$D$64,MATCH(B2433,'Cashier Roster'!$B$5:$B$64,0)),""))</f>
        <v/>
      </c>
      <c r="E2433" s="13"/>
      <c r="F2433" s="14"/>
      <c r="G2433" s="8" t="str">
        <f>IF(OR(B2433="",E2433=""),"",IF(E2433="No","Missed",IF(F2433="","",IF(F2433&lt;=Settings!$B$7,"On time","Late"))))</f>
        <v/>
      </c>
      <c r="H2433" s="15"/>
      <c r="I2433" s="16"/>
      <c r="J2433" s="16"/>
      <c r="K2433" s="17" t="str">
        <f>IF(J2433="","",ROUND(J2433*Settings!$B$8,2))</f>
        <v/>
      </c>
      <c r="L2433" s="16"/>
      <c r="M2433" s="8" t="str">
        <f t="shared" si="37"/>
        <v/>
      </c>
      <c r="N2433" s="9"/>
    </row>
    <row r="2434" spans="1:14" ht="15.75">
      <c r="A2434" s="11"/>
      <c r="B2434" s="9"/>
      <c r="C2434" s="12" t="str">
        <f>IF(B2434="","",IFERROR(INDEX('Cashier Roster'!$C$5:$C$64,MATCH(B2434,'Cashier Roster'!$B$5:$B$64,0)),"Not on roster"))</f>
        <v/>
      </c>
      <c r="D2434" s="12" t="str">
        <f>IF(B2434="","",IFERROR(INDEX('Cashier Roster'!$D$5:$D$64,MATCH(B2434,'Cashier Roster'!$B$5:$B$64,0)),""))</f>
        <v/>
      </c>
      <c r="E2434" s="13"/>
      <c r="F2434" s="14"/>
      <c r="G2434" s="8" t="str">
        <f>IF(OR(B2434="",E2434=""),"",IF(E2434="No","Missed",IF(F2434="","",IF(F2434&lt;=Settings!$B$7,"On time","Late"))))</f>
        <v/>
      </c>
      <c r="H2434" s="15"/>
      <c r="I2434" s="16"/>
      <c r="J2434" s="16"/>
      <c r="K2434" s="17" t="str">
        <f>IF(J2434="","",ROUND(J2434*Settings!$B$8,2))</f>
        <v/>
      </c>
      <c r="L2434" s="16"/>
      <c r="M2434" s="8" t="str">
        <f t="shared" si="37"/>
        <v/>
      </c>
      <c r="N2434" s="9"/>
    </row>
    <row r="2435" spans="1:14" ht="15.75">
      <c r="A2435" s="11"/>
      <c r="B2435" s="9"/>
      <c r="C2435" s="12" t="str">
        <f>IF(B2435="","",IFERROR(INDEX('Cashier Roster'!$C$5:$C$64,MATCH(B2435,'Cashier Roster'!$B$5:$B$64,0)),"Not on roster"))</f>
        <v/>
      </c>
      <c r="D2435" s="12" t="str">
        <f>IF(B2435="","",IFERROR(INDEX('Cashier Roster'!$D$5:$D$64,MATCH(B2435,'Cashier Roster'!$B$5:$B$64,0)),""))</f>
        <v/>
      </c>
      <c r="E2435" s="13"/>
      <c r="F2435" s="14"/>
      <c r="G2435" s="8" t="str">
        <f>IF(OR(B2435="",E2435=""),"",IF(E2435="No","Missed",IF(F2435="","",IF(F2435&lt;=Settings!$B$7,"On time","Late"))))</f>
        <v/>
      </c>
      <c r="H2435" s="15"/>
      <c r="I2435" s="16"/>
      <c r="J2435" s="16"/>
      <c r="K2435" s="17" t="str">
        <f>IF(J2435="","",ROUND(J2435*Settings!$B$8,2))</f>
        <v/>
      </c>
      <c r="L2435" s="16"/>
      <c r="M2435" s="8" t="str">
        <f t="shared" si="37"/>
        <v/>
      </c>
      <c r="N2435" s="9"/>
    </row>
    <row r="2436" spans="1:14" ht="15.75">
      <c r="A2436" s="11"/>
      <c r="B2436" s="9"/>
      <c r="C2436" s="12" t="str">
        <f>IF(B2436="","",IFERROR(INDEX('Cashier Roster'!$C$5:$C$64,MATCH(B2436,'Cashier Roster'!$B$5:$B$64,0)),"Not on roster"))</f>
        <v/>
      </c>
      <c r="D2436" s="12" t="str">
        <f>IF(B2436="","",IFERROR(INDEX('Cashier Roster'!$D$5:$D$64,MATCH(B2436,'Cashier Roster'!$B$5:$B$64,0)),""))</f>
        <v/>
      </c>
      <c r="E2436" s="13"/>
      <c r="F2436" s="14"/>
      <c r="G2436" s="8" t="str">
        <f>IF(OR(B2436="",E2436=""),"",IF(E2436="No","Missed",IF(F2436="","",IF(F2436&lt;=Settings!$B$7,"On time","Late"))))</f>
        <v/>
      </c>
      <c r="H2436" s="15"/>
      <c r="I2436" s="16"/>
      <c r="J2436" s="16"/>
      <c r="K2436" s="17" t="str">
        <f>IF(J2436="","",ROUND(J2436*Settings!$B$8,2))</f>
        <v/>
      </c>
      <c r="L2436" s="16"/>
      <c r="M2436" s="8" t="str">
        <f t="shared" si="37"/>
        <v/>
      </c>
      <c r="N2436" s="9"/>
    </row>
    <row r="2437" spans="1:14" ht="15.75">
      <c r="A2437" s="11"/>
      <c r="B2437" s="9"/>
      <c r="C2437" s="12" t="str">
        <f>IF(B2437="","",IFERROR(INDEX('Cashier Roster'!$C$5:$C$64,MATCH(B2437,'Cashier Roster'!$B$5:$B$64,0)),"Not on roster"))</f>
        <v/>
      </c>
      <c r="D2437" s="12" t="str">
        <f>IF(B2437="","",IFERROR(INDEX('Cashier Roster'!$D$5:$D$64,MATCH(B2437,'Cashier Roster'!$B$5:$B$64,0)),""))</f>
        <v/>
      </c>
      <c r="E2437" s="13"/>
      <c r="F2437" s="14"/>
      <c r="G2437" s="8" t="str">
        <f>IF(OR(B2437="",E2437=""),"",IF(E2437="No","Missed",IF(F2437="","",IF(F2437&lt;=Settings!$B$7,"On time","Late"))))</f>
        <v/>
      </c>
      <c r="H2437" s="15"/>
      <c r="I2437" s="16"/>
      <c r="J2437" s="16"/>
      <c r="K2437" s="17" t="str">
        <f>IF(J2437="","",ROUND(J2437*Settings!$B$8,2))</f>
        <v/>
      </c>
      <c r="L2437" s="16"/>
      <c r="M2437" s="8" t="str">
        <f t="shared" ref="M2437:M2500" si="38">IF(L2437="","",IF(L2437&lt;=0,"Yes","No"))</f>
        <v/>
      </c>
      <c r="N2437" s="9"/>
    </row>
    <row r="2438" spans="1:14" ht="15.75">
      <c r="A2438" s="11"/>
      <c r="B2438" s="9"/>
      <c r="C2438" s="12" t="str">
        <f>IF(B2438="","",IFERROR(INDEX('Cashier Roster'!$C$5:$C$64,MATCH(B2438,'Cashier Roster'!$B$5:$B$64,0)),"Not on roster"))</f>
        <v/>
      </c>
      <c r="D2438" s="12" t="str">
        <f>IF(B2438="","",IFERROR(INDEX('Cashier Roster'!$D$5:$D$64,MATCH(B2438,'Cashier Roster'!$B$5:$B$64,0)),""))</f>
        <v/>
      </c>
      <c r="E2438" s="13"/>
      <c r="F2438" s="14"/>
      <c r="G2438" s="8" t="str">
        <f>IF(OR(B2438="",E2438=""),"",IF(E2438="No","Missed",IF(F2438="","",IF(F2438&lt;=Settings!$B$7,"On time","Late"))))</f>
        <v/>
      </c>
      <c r="H2438" s="15"/>
      <c r="I2438" s="16"/>
      <c r="J2438" s="16"/>
      <c r="K2438" s="17" t="str">
        <f>IF(J2438="","",ROUND(J2438*Settings!$B$8,2))</f>
        <v/>
      </c>
      <c r="L2438" s="16"/>
      <c r="M2438" s="8" t="str">
        <f t="shared" si="38"/>
        <v/>
      </c>
      <c r="N2438" s="9"/>
    </row>
    <row r="2439" spans="1:14" ht="15.75">
      <c r="A2439" s="11"/>
      <c r="B2439" s="9"/>
      <c r="C2439" s="12" t="str">
        <f>IF(B2439="","",IFERROR(INDEX('Cashier Roster'!$C$5:$C$64,MATCH(B2439,'Cashier Roster'!$B$5:$B$64,0)),"Not on roster"))</f>
        <v/>
      </c>
      <c r="D2439" s="12" t="str">
        <f>IF(B2439="","",IFERROR(INDEX('Cashier Roster'!$D$5:$D$64,MATCH(B2439,'Cashier Roster'!$B$5:$B$64,0)),""))</f>
        <v/>
      </c>
      <c r="E2439" s="13"/>
      <c r="F2439" s="14"/>
      <c r="G2439" s="8" t="str">
        <f>IF(OR(B2439="",E2439=""),"",IF(E2439="No","Missed",IF(F2439="","",IF(F2439&lt;=Settings!$B$7,"On time","Late"))))</f>
        <v/>
      </c>
      <c r="H2439" s="15"/>
      <c r="I2439" s="16"/>
      <c r="J2439" s="16"/>
      <c r="K2439" s="17" t="str">
        <f>IF(J2439="","",ROUND(J2439*Settings!$B$8,2))</f>
        <v/>
      </c>
      <c r="L2439" s="16"/>
      <c r="M2439" s="8" t="str">
        <f t="shared" si="38"/>
        <v/>
      </c>
      <c r="N2439" s="9"/>
    </row>
    <row r="2440" spans="1:14" ht="15.75">
      <c r="A2440" s="11"/>
      <c r="B2440" s="9"/>
      <c r="C2440" s="12" t="str">
        <f>IF(B2440="","",IFERROR(INDEX('Cashier Roster'!$C$5:$C$64,MATCH(B2440,'Cashier Roster'!$B$5:$B$64,0)),"Not on roster"))</f>
        <v/>
      </c>
      <c r="D2440" s="12" t="str">
        <f>IF(B2440="","",IFERROR(INDEX('Cashier Roster'!$D$5:$D$64,MATCH(B2440,'Cashier Roster'!$B$5:$B$64,0)),""))</f>
        <v/>
      </c>
      <c r="E2440" s="13"/>
      <c r="F2440" s="14"/>
      <c r="G2440" s="8" t="str">
        <f>IF(OR(B2440="",E2440=""),"",IF(E2440="No","Missed",IF(F2440="","",IF(F2440&lt;=Settings!$B$7,"On time","Late"))))</f>
        <v/>
      </c>
      <c r="H2440" s="15"/>
      <c r="I2440" s="16"/>
      <c r="J2440" s="16"/>
      <c r="K2440" s="17" t="str">
        <f>IF(J2440="","",ROUND(J2440*Settings!$B$8,2))</f>
        <v/>
      </c>
      <c r="L2440" s="16"/>
      <c r="M2440" s="8" t="str">
        <f t="shared" si="38"/>
        <v/>
      </c>
      <c r="N2440" s="9"/>
    </row>
    <row r="2441" spans="1:14" ht="15.75">
      <c r="A2441" s="11"/>
      <c r="B2441" s="9"/>
      <c r="C2441" s="12" t="str">
        <f>IF(B2441="","",IFERROR(INDEX('Cashier Roster'!$C$5:$C$64,MATCH(B2441,'Cashier Roster'!$B$5:$B$64,0)),"Not on roster"))</f>
        <v/>
      </c>
      <c r="D2441" s="12" t="str">
        <f>IF(B2441="","",IFERROR(INDEX('Cashier Roster'!$D$5:$D$64,MATCH(B2441,'Cashier Roster'!$B$5:$B$64,0)),""))</f>
        <v/>
      </c>
      <c r="E2441" s="13"/>
      <c r="F2441" s="14"/>
      <c r="G2441" s="8" t="str">
        <f>IF(OR(B2441="",E2441=""),"",IF(E2441="No","Missed",IF(F2441="","",IF(F2441&lt;=Settings!$B$7,"On time","Late"))))</f>
        <v/>
      </c>
      <c r="H2441" s="15"/>
      <c r="I2441" s="16"/>
      <c r="J2441" s="16"/>
      <c r="K2441" s="17" t="str">
        <f>IF(J2441="","",ROUND(J2441*Settings!$B$8,2))</f>
        <v/>
      </c>
      <c r="L2441" s="16"/>
      <c r="M2441" s="8" t="str">
        <f t="shared" si="38"/>
        <v/>
      </c>
      <c r="N2441" s="9"/>
    </row>
    <row r="2442" spans="1:14" ht="15.75">
      <c r="A2442" s="11"/>
      <c r="B2442" s="9"/>
      <c r="C2442" s="12" t="str">
        <f>IF(B2442="","",IFERROR(INDEX('Cashier Roster'!$C$5:$C$64,MATCH(B2442,'Cashier Roster'!$B$5:$B$64,0)),"Not on roster"))</f>
        <v/>
      </c>
      <c r="D2442" s="12" t="str">
        <f>IF(B2442="","",IFERROR(INDEX('Cashier Roster'!$D$5:$D$64,MATCH(B2442,'Cashier Roster'!$B$5:$B$64,0)),""))</f>
        <v/>
      </c>
      <c r="E2442" s="13"/>
      <c r="F2442" s="14"/>
      <c r="G2442" s="8" t="str">
        <f>IF(OR(B2442="",E2442=""),"",IF(E2442="No","Missed",IF(F2442="","",IF(F2442&lt;=Settings!$B$7,"On time","Late"))))</f>
        <v/>
      </c>
      <c r="H2442" s="15"/>
      <c r="I2442" s="16"/>
      <c r="J2442" s="16"/>
      <c r="K2442" s="17" t="str">
        <f>IF(J2442="","",ROUND(J2442*Settings!$B$8,2))</f>
        <v/>
      </c>
      <c r="L2442" s="16"/>
      <c r="M2442" s="8" t="str">
        <f t="shared" si="38"/>
        <v/>
      </c>
      <c r="N2442" s="9"/>
    </row>
    <row r="2443" spans="1:14" ht="15.75">
      <c r="A2443" s="11"/>
      <c r="B2443" s="9"/>
      <c r="C2443" s="12" t="str">
        <f>IF(B2443="","",IFERROR(INDEX('Cashier Roster'!$C$5:$C$64,MATCH(B2443,'Cashier Roster'!$B$5:$B$64,0)),"Not on roster"))</f>
        <v/>
      </c>
      <c r="D2443" s="12" t="str">
        <f>IF(B2443="","",IFERROR(INDEX('Cashier Roster'!$D$5:$D$64,MATCH(B2443,'Cashier Roster'!$B$5:$B$64,0)),""))</f>
        <v/>
      </c>
      <c r="E2443" s="13"/>
      <c r="F2443" s="14"/>
      <c r="G2443" s="8" t="str">
        <f>IF(OR(B2443="",E2443=""),"",IF(E2443="No","Missed",IF(F2443="","",IF(F2443&lt;=Settings!$B$7,"On time","Late"))))</f>
        <v/>
      </c>
      <c r="H2443" s="15"/>
      <c r="I2443" s="16"/>
      <c r="J2443" s="16"/>
      <c r="K2443" s="17" t="str">
        <f>IF(J2443="","",ROUND(J2443*Settings!$B$8,2))</f>
        <v/>
      </c>
      <c r="L2443" s="16"/>
      <c r="M2443" s="8" t="str">
        <f t="shared" si="38"/>
        <v/>
      </c>
      <c r="N2443" s="9"/>
    </row>
    <row r="2444" spans="1:14" ht="15.75">
      <c r="A2444" s="11"/>
      <c r="B2444" s="9"/>
      <c r="C2444" s="12" t="str">
        <f>IF(B2444="","",IFERROR(INDEX('Cashier Roster'!$C$5:$C$64,MATCH(B2444,'Cashier Roster'!$B$5:$B$64,0)),"Not on roster"))</f>
        <v/>
      </c>
      <c r="D2444" s="12" t="str">
        <f>IF(B2444="","",IFERROR(INDEX('Cashier Roster'!$D$5:$D$64,MATCH(B2444,'Cashier Roster'!$B$5:$B$64,0)),""))</f>
        <v/>
      </c>
      <c r="E2444" s="13"/>
      <c r="F2444" s="14"/>
      <c r="G2444" s="8" t="str">
        <f>IF(OR(B2444="",E2444=""),"",IF(E2444="No","Missed",IF(F2444="","",IF(F2444&lt;=Settings!$B$7,"On time","Late"))))</f>
        <v/>
      </c>
      <c r="H2444" s="15"/>
      <c r="I2444" s="16"/>
      <c r="J2444" s="16"/>
      <c r="K2444" s="17" t="str">
        <f>IF(J2444="","",ROUND(J2444*Settings!$B$8,2))</f>
        <v/>
      </c>
      <c r="L2444" s="16"/>
      <c r="M2444" s="8" t="str">
        <f t="shared" si="38"/>
        <v/>
      </c>
      <c r="N2444" s="9"/>
    </row>
    <row r="2445" spans="1:14" ht="15.75">
      <c r="A2445" s="11"/>
      <c r="B2445" s="9"/>
      <c r="C2445" s="12" t="str">
        <f>IF(B2445="","",IFERROR(INDEX('Cashier Roster'!$C$5:$C$64,MATCH(B2445,'Cashier Roster'!$B$5:$B$64,0)),"Not on roster"))</f>
        <v/>
      </c>
      <c r="D2445" s="12" t="str">
        <f>IF(B2445="","",IFERROR(INDEX('Cashier Roster'!$D$5:$D$64,MATCH(B2445,'Cashier Roster'!$B$5:$B$64,0)),""))</f>
        <v/>
      </c>
      <c r="E2445" s="13"/>
      <c r="F2445" s="14"/>
      <c r="G2445" s="8" t="str">
        <f>IF(OR(B2445="",E2445=""),"",IF(E2445="No","Missed",IF(F2445="","",IF(F2445&lt;=Settings!$B$7,"On time","Late"))))</f>
        <v/>
      </c>
      <c r="H2445" s="15"/>
      <c r="I2445" s="16"/>
      <c r="J2445" s="16"/>
      <c r="K2445" s="17" t="str">
        <f>IF(J2445="","",ROUND(J2445*Settings!$B$8,2))</f>
        <v/>
      </c>
      <c r="L2445" s="16"/>
      <c r="M2445" s="8" t="str">
        <f t="shared" si="38"/>
        <v/>
      </c>
      <c r="N2445" s="9"/>
    </row>
    <row r="2446" spans="1:14" ht="15.75">
      <c r="A2446" s="11"/>
      <c r="B2446" s="9"/>
      <c r="C2446" s="12" t="str">
        <f>IF(B2446="","",IFERROR(INDEX('Cashier Roster'!$C$5:$C$64,MATCH(B2446,'Cashier Roster'!$B$5:$B$64,0)),"Not on roster"))</f>
        <v/>
      </c>
      <c r="D2446" s="12" t="str">
        <f>IF(B2446="","",IFERROR(INDEX('Cashier Roster'!$D$5:$D$64,MATCH(B2446,'Cashier Roster'!$B$5:$B$64,0)),""))</f>
        <v/>
      </c>
      <c r="E2446" s="13"/>
      <c r="F2446" s="14"/>
      <c r="G2446" s="8" t="str">
        <f>IF(OR(B2446="",E2446=""),"",IF(E2446="No","Missed",IF(F2446="","",IF(F2446&lt;=Settings!$B$7,"On time","Late"))))</f>
        <v/>
      </c>
      <c r="H2446" s="15"/>
      <c r="I2446" s="16"/>
      <c r="J2446" s="16"/>
      <c r="K2446" s="17" t="str">
        <f>IF(J2446="","",ROUND(J2446*Settings!$B$8,2))</f>
        <v/>
      </c>
      <c r="L2446" s="16"/>
      <c r="M2446" s="8" t="str">
        <f t="shared" si="38"/>
        <v/>
      </c>
      <c r="N2446" s="9"/>
    </row>
    <row r="2447" spans="1:14" ht="15.75">
      <c r="A2447" s="11"/>
      <c r="B2447" s="9"/>
      <c r="C2447" s="12" t="str">
        <f>IF(B2447="","",IFERROR(INDEX('Cashier Roster'!$C$5:$C$64,MATCH(B2447,'Cashier Roster'!$B$5:$B$64,0)),"Not on roster"))</f>
        <v/>
      </c>
      <c r="D2447" s="12" t="str">
        <f>IF(B2447="","",IFERROR(INDEX('Cashier Roster'!$D$5:$D$64,MATCH(B2447,'Cashier Roster'!$B$5:$B$64,0)),""))</f>
        <v/>
      </c>
      <c r="E2447" s="13"/>
      <c r="F2447" s="14"/>
      <c r="G2447" s="8" t="str">
        <f>IF(OR(B2447="",E2447=""),"",IF(E2447="No","Missed",IF(F2447="","",IF(F2447&lt;=Settings!$B$7,"On time","Late"))))</f>
        <v/>
      </c>
      <c r="H2447" s="15"/>
      <c r="I2447" s="16"/>
      <c r="J2447" s="16"/>
      <c r="K2447" s="17" t="str">
        <f>IF(J2447="","",ROUND(J2447*Settings!$B$8,2))</f>
        <v/>
      </c>
      <c r="L2447" s="16"/>
      <c r="M2447" s="8" t="str">
        <f t="shared" si="38"/>
        <v/>
      </c>
      <c r="N2447" s="9"/>
    </row>
    <row r="2448" spans="1:14" ht="15.75">
      <c r="A2448" s="11"/>
      <c r="B2448" s="9"/>
      <c r="C2448" s="12" t="str">
        <f>IF(B2448="","",IFERROR(INDEX('Cashier Roster'!$C$5:$C$64,MATCH(B2448,'Cashier Roster'!$B$5:$B$64,0)),"Not on roster"))</f>
        <v/>
      </c>
      <c r="D2448" s="12" t="str">
        <f>IF(B2448="","",IFERROR(INDEX('Cashier Roster'!$D$5:$D$64,MATCH(B2448,'Cashier Roster'!$B$5:$B$64,0)),""))</f>
        <v/>
      </c>
      <c r="E2448" s="13"/>
      <c r="F2448" s="14"/>
      <c r="G2448" s="8" t="str">
        <f>IF(OR(B2448="",E2448=""),"",IF(E2448="No","Missed",IF(F2448="","",IF(F2448&lt;=Settings!$B$7,"On time","Late"))))</f>
        <v/>
      </c>
      <c r="H2448" s="15"/>
      <c r="I2448" s="16"/>
      <c r="J2448" s="16"/>
      <c r="K2448" s="17" t="str">
        <f>IF(J2448="","",ROUND(J2448*Settings!$B$8,2))</f>
        <v/>
      </c>
      <c r="L2448" s="16"/>
      <c r="M2448" s="8" t="str">
        <f t="shared" si="38"/>
        <v/>
      </c>
      <c r="N2448" s="9"/>
    </row>
    <row r="2449" spans="1:14" ht="15.75">
      <c r="A2449" s="11"/>
      <c r="B2449" s="9"/>
      <c r="C2449" s="12" t="str">
        <f>IF(B2449="","",IFERROR(INDEX('Cashier Roster'!$C$5:$C$64,MATCH(B2449,'Cashier Roster'!$B$5:$B$64,0)),"Not on roster"))</f>
        <v/>
      </c>
      <c r="D2449" s="12" t="str">
        <f>IF(B2449="","",IFERROR(INDEX('Cashier Roster'!$D$5:$D$64,MATCH(B2449,'Cashier Roster'!$B$5:$B$64,0)),""))</f>
        <v/>
      </c>
      <c r="E2449" s="13"/>
      <c r="F2449" s="14"/>
      <c r="G2449" s="8" t="str">
        <f>IF(OR(B2449="",E2449=""),"",IF(E2449="No","Missed",IF(F2449="","",IF(F2449&lt;=Settings!$B$7,"On time","Late"))))</f>
        <v/>
      </c>
      <c r="H2449" s="15"/>
      <c r="I2449" s="16"/>
      <c r="J2449" s="16"/>
      <c r="K2449" s="17" t="str">
        <f>IF(J2449="","",ROUND(J2449*Settings!$B$8,2))</f>
        <v/>
      </c>
      <c r="L2449" s="16"/>
      <c r="M2449" s="8" t="str">
        <f t="shared" si="38"/>
        <v/>
      </c>
      <c r="N2449" s="9"/>
    </row>
    <row r="2450" spans="1:14" ht="15.75">
      <c r="A2450" s="11"/>
      <c r="B2450" s="9"/>
      <c r="C2450" s="12" t="str">
        <f>IF(B2450="","",IFERROR(INDEX('Cashier Roster'!$C$5:$C$64,MATCH(B2450,'Cashier Roster'!$B$5:$B$64,0)),"Not on roster"))</f>
        <v/>
      </c>
      <c r="D2450" s="12" t="str">
        <f>IF(B2450="","",IFERROR(INDEX('Cashier Roster'!$D$5:$D$64,MATCH(B2450,'Cashier Roster'!$B$5:$B$64,0)),""))</f>
        <v/>
      </c>
      <c r="E2450" s="13"/>
      <c r="F2450" s="14"/>
      <c r="G2450" s="8" t="str">
        <f>IF(OR(B2450="",E2450=""),"",IF(E2450="No","Missed",IF(F2450="","",IF(F2450&lt;=Settings!$B$7,"On time","Late"))))</f>
        <v/>
      </c>
      <c r="H2450" s="15"/>
      <c r="I2450" s="16"/>
      <c r="J2450" s="16"/>
      <c r="K2450" s="17" t="str">
        <f>IF(J2450="","",ROUND(J2450*Settings!$B$8,2))</f>
        <v/>
      </c>
      <c r="L2450" s="16"/>
      <c r="M2450" s="8" t="str">
        <f t="shared" si="38"/>
        <v/>
      </c>
      <c r="N2450" s="9"/>
    </row>
    <row r="2451" spans="1:14" ht="15.75">
      <c r="A2451" s="11"/>
      <c r="B2451" s="9"/>
      <c r="C2451" s="12" t="str">
        <f>IF(B2451="","",IFERROR(INDEX('Cashier Roster'!$C$5:$C$64,MATCH(B2451,'Cashier Roster'!$B$5:$B$64,0)),"Not on roster"))</f>
        <v/>
      </c>
      <c r="D2451" s="12" t="str">
        <f>IF(B2451="","",IFERROR(INDEX('Cashier Roster'!$D$5:$D$64,MATCH(B2451,'Cashier Roster'!$B$5:$B$64,0)),""))</f>
        <v/>
      </c>
      <c r="E2451" s="13"/>
      <c r="F2451" s="14"/>
      <c r="G2451" s="8" t="str">
        <f>IF(OR(B2451="",E2451=""),"",IF(E2451="No","Missed",IF(F2451="","",IF(F2451&lt;=Settings!$B$7,"On time","Late"))))</f>
        <v/>
      </c>
      <c r="H2451" s="15"/>
      <c r="I2451" s="16"/>
      <c r="J2451" s="16"/>
      <c r="K2451" s="17" t="str">
        <f>IF(J2451="","",ROUND(J2451*Settings!$B$8,2))</f>
        <v/>
      </c>
      <c r="L2451" s="16"/>
      <c r="M2451" s="8" t="str">
        <f t="shared" si="38"/>
        <v/>
      </c>
      <c r="N2451" s="9"/>
    </row>
    <row r="2452" spans="1:14" ht="15.75">
      <c r="A2452" s="11"/>
      <c r="B2452" s="9"/>
      <c r="C2452" s="12" t="str">
        <f>IF(B2452="","",IFERROR(INDEX('Cashier Roster'!$C$5:$C$64,MATCH(B2452,'Cashier Roster'!$B$5:$B$64,0)),"Not on roster"))</f>
        <v/>
      </c>
      <c r="D2452" s="12" t="str">
        <f>IF(B2452="","",IFERROR(INDEX('Cashier Roster'!$D$5:$D$64,MATCH(B2452,'Cashier Roster'!$B$5:$B$64,0)),""))</f>
        <v/>
      </c>
      <c r="E2452" s="13"/>
      <c r="F2452" s="14"/>
      <c r="G2452" s="8" t="str">
        <f>IF(OR(B2452="",E2452=""),"",IF(E2452="No","Missed",IF(F2452="","",IF(F2452&lt;=Settings!$B$7,"On time","Late"))))</f>
        <v/>
      </c>
      <c r="H2452" s="15"/>
      <c r="I2452" s="16"/>
      <c r="J2452" s="16"/>
      <c r="K2452" s="17" t="str">
        <f>IF(J2452="","",ROUND(J2452*Settings!$B$8,2))</f>
        <v/>
      </c>
      <c r="L2452" s="16"/>
      <c r="M2452" s="8" t="str">
        <f t="shared" si="38"/>
        <v/>
      </c>
      <c r="N2452" s="9"/>
    </row>
    <row r="2453" spans="1:14" ht="15.75">
      <c r="A2453" s="11"/>
      <c r="B2453" s="9"/>
      <c r="C2453" s="12" t="str">
        <f>IF(B2453="","",IFERROR(INDEX('Cashier Roster'!$C$5:$C$64,MATCH(B2453,'Cashier Roster'!$B$5:$B$64,0)),"Not on roster"))</f>
        <v/>
      </c>
      <c r="D2453" s="12" t="str">
        <f>IF(B2453="","",IFERROR(INDEX('Cashier Roster'!$D$5:$D$64,MATCH(B2453,'Cashier Roster'!$B$5:$B$64,0)),""))</f>
        <v/>
      </c>
      <c r="E2453" s="13"/>
      <c r="F2453" s="14"/>
      <c r="G2453" s="8" t="str">
        <f>IF(OR(B2453="",E2453=""),"",IF(E2453="No","Missed",IF(F2453="","",IF(F2453&lt;=Settings!$B$7,"On time","Late"))))</f>
        <v/>
      </c>
      <c r="H2453" s="15"/>
      <c r="I2453" s="16"/>
      <c r="J2453" s="16"/>
      <c r="K2453" s="17" t="str">
        <f>IF(J2453="","",ROUND(J2453*Settings!$B$8,2))</f>
        <v/>
      </c>
      <c r="L2453" s="16"/>
      <c r="M2453" s="8" t="str">
        <f t="shared" si="38"/>
        <v/>
      </c>
      <c r="N2453" s="9"/>
    </row>
    <row r="2454" spans="1:14" ht="15.75">
      <c r="A2454" s="11"/>
      <c r="B2454" s="9"/>
      <c r="C2454" s="12" t="str">
        <f>IF(B2454="","",IFERROR(INDEX('Cashier Roster'!$C$5:$C$64,MATCH(B2454,'Cashier Roster'!$B$5:$B$64,0)),"Not on roster"))</f>
        <v/>
      </c>
      <c r="D2454" s="12" t="str">
        <f>IF(B2454="","",IFERROR(INDEX('Cashier Roster'!$D$5:$D$64,MATCH(B2454,'Cashier Roster'!$B$5:$B$64,0)),""))</f>
        <v/>
      </c>
      <c r="E2454" s="13"/>
      <c r="F2454" s="14"/>
      <c r="G2454" s="8" t="str">
        <f>IF(OR(B2454="",E2454=""),"",IF(E2454="No","Missed",IF(F2454="","",IF(F2454&lt;=Settings!$B$7,"On time","Late"))))</f>
        <v/>
      </c>
      <c r="H2454" s="15"/>
      <c r="I2454" s="16"/>
      <c r="J2454" s="16"/>
      <c r="K2454" s="17" t="str">
        <f>IF(J2454="","",ROUND(J2454*Settings!$B$8,2))</f>
        <v/>
      </c>
      <c r="L2454" s="16"/>
      <c r="M2454" s="8" t="str">
        <f t="shared" si="38"/>
        <v/>
      </c>
      <c r="N2454" s="9"/>
    </row>
    <row r="2455" spans="1:14" ht="15.75">
      <c r="A2455" s="11"/>
      <c r="B2455" s="9"/>
      <c r="C2455" s="12" t="str">
        <f>IF(B2455="","",IFERROR(INDEX('Cashier Roster'!$C$5:$C$64,MATCH(B2455,'Cashier Roster'!$B$5:$B$64,0)),"Not on roster"))</f>
        <v/>
      </c>
      <c r="D2455" s="12" t="str">
        <f>IF(B2455="","",IFERROR(INDEX('Cashier Roster'!$D$5:$D$64,MATCH(B2455,'Cashier Roster'!$B$5:$B$64,0)),""))</f>
        <v/>
      </c>
      <c r="E2455" s="13"/>
      <c r="F2455" s="14"/>
      <c r="G2455" s="8" t="str">
        <f>IF(OR(B2455="",E2455=""),"",IF(E2455="No","Missed",IF(F2455="","",IF(F2455&lt;=Settings!$B$7,"On time","Late"))))</f>
        <v/>
      </c>
      <c r="H2455" s="15"/>
      <c r="I2455" s="16"/>
      <c r="J2455" s="16"/>
      <c r="K2455" s="17" t="str">
        <f>IF(J2455="","",ROUND(J2455*Settings!$B$8,2))</f>
        <v/>
      </c>
      <c r="L2455" s="16"/>
      <c r="M2455" s="8" t="str">
        <f t="shared" si="38"/>
        <v/>
      </c>
      <c r="N2455" s="9"/>
    </row>
    <row r="2456" spans="1:14" ht="15.75">
      <c r="A2456" s="11"/>
      <c r="B2456" s="9"/>
      <c r="C2456" s="12" t="str">
        <f>IF(B2456="","",IFERROR(INDEX('Cashier Roster'!$C$5:$C$64,MATCH(B2456,'Cashier Roster'!$B$5:$B$64,0)),"Not on roster"))</f>
        <v/>
      </c>
      <c r="D2456" s="12" t="str">
        <f>IF(B2456="","",IFERROR(INDEX('Cashier Roster'!$D$5:$D$64,MATCH(B2456,'Cashier Roster'!$B$5:$B$64,0)),""))</f>
        <v/>
      </c>
      <c r="E2456" s="13"/>
      <c r="F2456" s="14"/>
      <c r="G2456" s="8" t="str">
        <f>IF(OR(B2456="",E2456=""),"",IF(E2456="No","Missed",IF(F2456="","",IF(F2456&lt;=Settings!$B$7,"On time","Late"))))</f>
        <v/>
      </c>
      <c r="H2456" s="15"/>
      <c r="I2456" s="16"/>
      <c r="J2456" s="16"/>
      <c r="K2456" s="17" t="str">
        <f>IF(J2456="","",ROUND(J2456*Settings!$B$8,2))</f>
        <v/>
      </c>
      <c r="L2456" s="16"/>
      <c r="M2456" s="8" t="str">
        <f t="shared" si="38"/>
        <v/>
      </c>
      <c r="N2456" s="9"/>
    </row>
    <row r="2457" spans="1:14" ht="15.75">
      <c r="A2457" s="11"/>
      <c r="B2457" s="9"/>
      <c r="C2457" s="12" t="str">
        <f>IF(B2457="","",IFERROR(INDEX('Cashier Roster'!$C$5:$C$64,MATCH(B2457,'Cashier Roster'!$B$5:$B$64,0)),"Not on roster"))</f>
        <v/>
      </c>
      <c r="D2457" s="12" t="str">
        <f>IF(B2457="","",IFERROR(INDEX('Cashier Roster'!$D$5:$D$64,MATCH(B2457,'Cashier Roster'!$B$5:$B$64,0)),""))</f>
        <v/>
      </c>
      <c r="E2457" s="13"/>
      <c r="F2457" s="14"/>
      <c r="G2457" s="8" t="str">
        <f>IF(OR(B2457="",E2457=""),"",IF(E2457="No","Missed",IF(F2457="","",IF(F2457&lt;=Settings!$B$7,"On time","Late"))))</f>
        <v/>
      </c>
      <c r="H2457" s="15"/>
      <c r="I2457" s="16"/>
      <c r="J2457" s="16"/>
      <c r="K2457" s="17" t="str">
        <f>IF(J2457="","",ROUND(J2457*Settings!$B$8,2))</f>
        <v/>
      </c>
      <c r="L2457" s="16"/>
      <c r="M2457" s="8" t="str">
        <f t="shared" si="38"/>
        <v/>
      </c>
      <c r="N2457" s="9"/>
    </row>
    <row r="2458" spans="1:14" ht="15.75">
      <c r="A2458" s="11"/>
      <c r="B2458" s="9"/>
      <c r="C2458" s="12" t="str">
        <f>IF(B2458="","",IFERROR(INDEX('Cashier Roster'!$C$5:$C$64,MATCH(B2458,'Cashier Roster'!$B$5:$B$64,0)),"Not on roster"))</f>
        <v/>
      </c>
      <c r="D2458" s="12" t="str">
        <f>IF(B2458="","",IFERROR(INDEX('Cashier Roster'!$D$5:$D$64,MATCH(B2458,'Cashier Roster'!$B$5:$B$64,0)),""))</f>
        <v/>
      </c>
      <c r="E2458" s="13"/>
      <c r="F2458" s="14"/>
      <c r="G2458" s="8" t="str">
        <f>IF(OR(B2458="",E2458=""),"",IF(E2458="No","Missed",IF(F2458="","",IF(F2458&lt;=Settings!$B$7,"On time","Late"))))</f>
        <v/>
      </c>
      <c r="H2458" s="15"/>
      <c r="I2458" s="16"/>
      <c r="J2458" s="16"/>
      <c r="K2458" s="17" t="str">
        <f>IF(J2458="","",ROUND(J2458*Settings!$B$8,2))</f>
        <v/>
      </c>
      <c r="L2458" s="16"/>
      <c r="M2458" s="8" t="str">
        <f t="shared" si="38"/>
        <v/>
      </c>
      <c r="N2458" s="9"/>
    </row>
    <row r="2459" spans="1:14" ht="15.75">
      <c r="A2459" s="11"/>
      <c r="B2459" s="9"/>
      <c r="C2459" s="12" t="str">
        <f>IF(B2459="","",IFERROR(INDEX('Cashier Roster'!$C$5:$C$64,MATCH(B2459,'Cashier Roster'!$B$5:$B$64,0)),"Not on roster"))</f>
        <v/>
      </c>
      <c r="D2459" s="12" t="str">
        <f>IF(B2459="","",IFERROR(INDEX('Cashier Roster'!$D$5:$D$64,MATCH(B2459,'Cashier Roster'!$B$5:$B$64,0)),""))</f>
        <v/>
      </c>
      <c r="E2459" s="13"/>
      <c r="F2459" s="14"/>
      <c r="G2459" s="8" t="str">
        <f>IF(OR(B2459="",E2459=""),"",IF(E2459="No","Missed",IF(F2459="","",IF(F2459&lt;=Settings!$B$7,"On time","Late"))))</f>
        <v/>
      </c>
      <c r="H2459" s="15"/>
      <c r="I2459" s="16"/>
      <c r="J2459" s="16"/>
      <c r="K2459" s="17" t="str">
        <f>IF(J2459="","",ROUND(J2459*Settings!$B$8,2))</f>
        <v/>
      </c>
      <c r="L2459" s="16"/>
      <c r="M2459" s="8" t="str">
        <f t="shared" si="38"/>
        <v/>
      </c>
      <c r="N2459" s="9"/>
    </row>
    <row r="2460" spans="1:14" ht="15.75">
      <c r="A2460" s="11"/>
      <c r="B2460" s="9"/>
      <c r="C2460" s="12" t="str">
        <f>IF(B2460="","",IFERROR(INDEX('Cashier Roster'!$C$5:$C$64,MATCH(B2460,'Cashier Roster'!$B$5:$B$64,0)),"Not on roster"))</f>
        <v/>
      </c>
      <c r="D2460" s="12" t="str">
        <f>IF(B2460="","",IFERROR(INDEX('Cashier Roster'!$D$5:$D$64,MATCH(B2460,'Cashier Roster'!$B$5:$B$64,0)),""))</f>
        <v/>
      </c>
      <c r="E2460" s="13"/>
      <c r="F2460" s="14"/>
      <c r="G2460" s="8" t="str">
        <f>IF(OR(B2460="",E2460=""),"",IF(E2460="No","Missed",IF(F2460="","",IF(F2460&lt;=Settings!$B$7,"On time","Late"))))</f>
        <v/>
      </c>
      <c r="H2460" s="15"/>
      <c r="I2460" s="16"/>
      <c r="J2460" s="16"/>
      <c r="K2460" s="17" t="str">
        <f>IF(J2460="","",ROUND(J2460*Settings!$B$8,2))</f>
        <v/>
      </c>
      <c r="L2460" s="16"/>
      <c r="M2460" s="8" t="str">
        <f t="shared" si="38"/>
        <v/>
      </c>
      <c r="N2460" s="9"/>
    </row>
    <row r="2461" spans="1:14" ht="15.75">
      <c r="A2461" s="11"/>
      <c r="B2461" s="9"/>
      <c r="C2461" s="12" t="str">
        <f>IF(B2461="","",IFERROR(INDEX('Cashier Roster'!$C$5:$C$64,MATCH(B2461,'Cashier Roster'!$B$5:$B$64,0)),"Not on roster"))</f>
        <v/>
      </c>
      <c r="D2461" s="12" t="str">
        <f>IF(B2461="","",IFERROR(INDEX('Cashier Roster'!$D$5:$D$64,MATCH(B2461,'Cashier Roster'!$B$5:$B$64,0)),""))</f>
        <v/>
      </c>
      <c r="E2461" s="13"/>
      <c r="F2461" s="14"/>
      <c r="G2461" s="8" t="str">
        <f>IF(OR(B2461="",E2461=""),"",IF(E2461="No","Missed",IF(F2461="","",IF(F2461&lt;=Settings!$B$7,"On time","Late"))))</f>
        <v/>
      </c>
      <c r="H2461" s="15"/>
      <c r="I2461" s="16"/>
      <c r="J2461" s="16"/>
      <c r="K2461" s="17" t="str">
        <f>IF(J2461="","",ROUND(J2461*Settings!$B$8,2))</f>
        <v/>
      </c>
      <c r="L2461" s="16"/>
      <c r="M2461" s="8" t="str">
        <f t="shared" si="38"/>
        <v/>
      </c>
      <c r="N2461" s="9"/>
    </row>
    <row r="2462" spans="1:14" ht="15.75">
      <c r="A2462" s="11"/>
      <c r="B2462" s="9"/>
      <c r="C2462" s="12" t="str">
        <f>IF(B2462="","",IFERROR(INDEX('Cashier Roster'!$C$5:$C$64,MATCH(B2462,'Cashier Roster'!$B$5:$B$64,0)),"Not on roster"))</f>
        <v/>
      </c>
      <c r="D2462" s="12" t="str">
        <f>IF(B2462="","",IFERROR(INDEX('Cashier Roster'!$D$5:$D$64,MATCH(B2462,'Cashier Roster'!$B$5:$B$64,0)),""))</f>
        <v/>
      </c>
      <c r="E2462" s="13"/>
      <c r="F2462" s="14"/>
      <c r="G2462" s="8" t="str">
        <f>IF(OR(B2462="",E2462=""),"",IF(E2462="No","Missed",IF(F2462="","",IF(F2462&lt;=Settings!$B$7,"On time","Late"))))</f>
        <v/>
      </c>
      <c r="H2462" s="15"/>
      <c r="I2462" s="16"/>
      <c r="J2462" s="16"/>
      <c r="K2462" s="17" t="str">
        <f>IF(J2462="","",ROUND(J2462*Settings!$B$8,2))</f>
        <v/>
      </c>
      <c r="L2462" s="16"/>
      <c r="M2462" s="8" t="str">
        <f t="shared" si="38"/>
        <v/>
      </c>
      <c r="N2462" s="9"/>
    </row>
    <row r="2463" spans="1:14" ht="15.75">
      <c r="A2463" s="11"/>
      <c r="B2463" s="9"/>
      <c r="C2463" s="12" t="str">
        <f>IF(B2463="","",IFERROR(INDEX('Cashier Roster'!$C$5:$C$64,MATCH(B2463,'Cashier Roster'!$B$5:$B$64,0)),"Not on roster"))</f>
        <v/>
      </c>
      <c r="D2463" s="12" t="str">
        <f>IF(B2463="","",IFERROR(INDEX('Cashier Roster'!$D$5:$D$64,MATCH(B2463,'Cashier Roster'!$B$5:$B$64,0)),""))</f>
        <v/>
      </c>
      <c r="E2463" s="13"/>
      <c r="F2463" s="14"/>
      <c r="G2463" s="8" t="str">
        <f>IF(OR(B2463="",E2463=""),"",IF(E2463="No","Missed",IF(F2463="","",IF(F2463&lt;=Settings!$B$7,"On time","Late"))))</f>
        <v/>
      </c>
      <c r="H2463" s="15"/>
      <c r="I2463" s="16"/>
      <c r="J2463" s="16"/>
      <c r="K2463" s="17" t="str">
        <f>IF(J2463="","",ROUND(J2463*Settings!$B$8,2))</f>
        <v/>
      </c>
      <c r="L2463" s="16"/>
      <c r="M2463" s="8" t="str">
        <f t="shared" si="38"/>
        <v/>
      </c>
      <c r="N2463" s="9"/>
    </row>
    <row r="2464" spans="1:14" ht="15.75">
      <c r="A2464" s="11"/>
      <c r="B2464" s="9"/>
      <c r="C2464" s="12" t="str">
        <f>IF(B2464="","",IFERROR(INDEX('Cashier Roster'!$C$5:$C$64,MATCH(B2464,'Cashier Roster'!$B$5:$B$64,0)),"Not on roster"))</f>
        <v/>
      </c>
      <c r="D2464" s="12" t="str">
        <f>IF(B2464="","",IFERROR(INDEX('Cashier Roster'!$D$5:$D$64,MATCH(B2464,'Cashier Roster'!$B$5:$B$64,0)),""))</f>
        <v/>
      </c>
      <c r="E2464" s="13"/>
      <c r="F2464" s="14"/>
      <c r="G2464" s="8" t="str">
        <f>IF(OR(B2464="",E2464=""),"",IF(E2464="No","Missed",IF(F2464="","",IF(F2464&lt;=Settings!$B$7,"On time","Late"))))</f>
        <v/>
      </c>
      <c r="H2464" s="15"/>
      <c r="I2464" s="16"/>
      <c r="J2464" s="16"/>
      <c r="K2464" s="17" t="str">
        <f>IF(J2464="","",ROUND(J2464*Settings!$B$8,2))</f>
        <v/>
      </c>
      <c r="L2464" s="16"/>
      <c r="M2464" s="8" t="str">
        <f t="shared" si="38"/>
        <v/>
      </c>
      <c r="N2464" s="9"/>
    </row>
    <row r="2465" spans="1:14" ht="15.75">
      <c r="A2465" s="11"/>
      <c r="B2465" s="9"/>
      <c r="C2465" s="12" t="str">
        <f>IF(B2465="","",IFERROR(INDEX('Cashier Roster'!$C$5:$C$64,MATCH(B2465,'Cashier Roster'!$B$5:$B$64,0)),"Not on roster"))</f>
        <v/>
      </c>
      <c r="D2465" s="12" t="str">
        <f>IF(B2465="","",IFERROR(INDEX('Cashier Roster'!$D$5:$D$64,MATCH(B2465,'Cashier Roster'!$B$5:$B$64,0)),""))</f>
        <v/>
      </c>
      <c r="E2465" s="13"/>
      <c r="F2465" s="14"/>
      <c r="G2465" s="8" t="str">
        <f>IF(OR(B2465="",E2465=""),"",IF(E2465="No","Missed",IF(F2465="","",IF(F2465&lt;=Settings!$B$7,"On time","Late"))))</f>
        <v/>
      </c>
      <c r="H2465" s="15"/>
      <c r="I2465" s="16"/>
      <c r="J2465" s="16"/>
      <c r="K2465" s="17" t="str">
        <f>IF(J2465="","",ROUND(J2465*Settings!$B$8,2))</f>
        <v/>
      </c>
      <c r="L2465" s="16"/>
      <c r="M2465" s="8" t="str">
        <f t="shared" si="38"/>
        <v/>
      </c>
      <c r="N2465" s="9"/>
    </row>
    <row r="2466" spans="1:14" ht="15.75">
      <c r="A2466" s="11"/>
      <c r="B2466" s="9"/>
      <c r="C2466" s="12" t="str">
        <f>IF(B2466="","",IFERROR(INDEX('Cashier Roster'!$C$5:$C$64,MATCH(B2466,'Cashier Roster'!$B$5:$B$64,0)),"Not on roster"))</f>
        <v/>
      </c>
      <c r="D2466" s="12" t="str">
        <f>IF(B2466="","",IFERROR(INDEX('Cashier Roster'!$D$5:$D$64,MATCH(B2466,'Cashier Roster'!$B$5:$B$64,0)),""))</f>
        <v/>
      </c>
      <c r="E2466" s="13"/>
      <c r="F2466" s="14"/>
      <c r="G2466" s="8" t="str">
        <f>IF(OR(B2466="",E2466=""),"",IF(E2466="No","Missed",IF(F2466="","",IF(F2466&lt;=Settings!$B$7,"On time","Late"))))</f>
        <v/>
      </c>
      <c r="H2466" s="15"/>
      <c r="I2466" s="16"/>
      <c r="J2466" s="16"/>
      <c r="K2466" s="17" t="str">
        <f>IF(J2466="","",ROUND(J2466*Settings!$B$8,2))</f>
        <v/>
      </c>
      <c r="L2466" s="16"/>
      <c r="M2466" s="8" t="str">
        <f t="shared" si="38"/>
        <v/>
      </c>
      <c r="N2466" s="9"/>
    </row>
    <row r="2467" spans="1:14" ht="15.75">
      <c r="A2467" s="11"/>
      <c r="B2467" s="9"/>
      <c r="C2467" s="12" t="str">
        <f>IF(B2467="","",IFERROR(INDEX('Cashier Roster'!$C$5:$C$64,MATCH(B2467,'Cashier Roster'!$B$5:$B$64,0)),"Not on roster"))</f>
        <v/>
      </c>
      <c r="D2467" s="12" t="str">
        <f>IF(B2467="","",IFERROR(INDEX('Cashier Roster'!$D$5:$D$64,MATCH(B2467,'Cashier Roster'!$B$5:$B$64,0)),""))</f>
        <v/>
      </c>
      <c r="E2467" s="13"/>
      <c r="F2467" s="14"/>
      <c r="G2467" s="8" t="str">
        <f>IF(OR(B2467="",E2467=""),"",IF(E2467="No","Missed",IF(F2467="","",IF(F2467&lt;=Settings!$B$7,"On time","Late"))))</f>
        <v/>
      </c>
      <c r="H2467" s="15"/>
      <c r="I2467" s="16"/>
      <c r="J2467" s="16"/>
      <c r="K2467" s="17" t="str">
        <f>IF(J2467="","",ROUND(J2467*Settings!$B$8,2))</f>
        <v/>
      </c>
      <c r="L2467" s="16"/>
      <c r="M2467" s="8" t="str">
        <f t="shared" si="38"/>
        <v/>
      </c>
      <c r="N2467" s="9"/>
    </row>
    <row r="2468" spans="1:14" ht="15.75">
      <c r="A2468" s="11"/>
      <c r="B2468" s="9"/>
      <c r="C2468" s="12" t="str">
        <f>IF(B2468="","",IFERROR(INDEX('Cashier Roster'!$C$5:$C$64,MATCH(B2468,'Cashier Roster'!$B$5:$B$64,0)),"Not on roster"))</f>
        <v/>
      </c>
      <c r="D2468" s="12" t="str">
        <f>IF(B2468="","",IFERROR(INDEX('Cashier Roster'!$D$5:$D$64,MATCH(B2468,'Cashier Roster'!$B$5:$B$64,0)),""))</f>
        <v/>
      </c>
      <c r="E2468" s="13"/>
      <c r="F2468" s="14"/>
      <c r="G2468" s="8" t="str">
        <f>IF(OR(B2468="",E2468=""),"",IF(E2468="No","Missed",IF(F2468="","",IF(F2468&lt;=Settings!$B$7,"On time","Late"))))</f>
        <v/>
      </c>
      <c r="H2468" s="15"/>
      <c r="I2468" s="16"/>
      <c r="J2468" s="16"/>
      <c r="K2468" s="17" t="str">
        <f>IF(J2468="","",ROUND(J2468*Settings!$B$8,2))</f>
        <v/>
      </c>
      <c r="L2468" s="16"/>
      <c r="M2468" s="8" t="str">
        <f t="shared" si="38"/>
        <v/>
      </c>
      <c r="N2468" s="9"/>
    </row>
    <row r="2469" spans="1:14" ht="15.75">
      <c r="A2469" s="11"/>
      <c r="B2469" s="9"/>
      <c r="C2469" s="12" t="str">
        <f>IF(B2469="","",IFERROR(INDEX('Cashier Roster'!$C$5:$C$64,MATCH(B2469,'Cashier Roster'!$B$5:$B$64,0)),"Not on roster"))</f>
        <v/>
      </c>
      <c r="D2469" s="12" t="str">
        <f>IF(B2469="","",IFERROR(INDEX('Cashier Roster'!$D$5:$D$64,MATCH(B2469,'Cashier Roster'!$B$5:$B$64,0)),""))</f>
        <v/>
      </c>
      <c r="E2469" s="13"/>
      <c r="F2469" s="14"/>
      <c r="G2469" s="8" t="str">
        <f>IF(OR(B2469="",E2469=""),"",IF(E2469="No","Missed",IF(F2469="","",IF(F2469&lt;=Settings!$B$7,"On time","Late"))))</f>
        <v/>
      </c>
      <c r="H2469" s="15"/>
      <c r="I2469" s="16"/>
      <c r="J2469" s="16"/>
      <c r="K2469" s="17" t="str">
        <f>IF(J2469="","",ROUND(J2469*Settings!$B$8,2))</f>
        <v/>
      </c>
      <c r="L2469" s="16"/>
      <c r="M2469" s="8" t="str">
        <f t="shared" si="38"/>
        <v/>
      </c>
      <c r="N2469" s="9"/>
    </row>
    <row r="2470" spans="1:14" ht="15.75">
      <c r="A2470" s="11"/>
      <c r="B2470" s="9"/>
      <c r="C2470" s="12" t="str">
        <f>IF(B2470="","",IFERROR(INDEX('Cashier Roster'!$C$5:$C$64,MATCH(B2470,'Cashier Roster'!$B$5:$B$64,0)),"Not on roster"))</f>
        <v/>
      </c>
      <c r="D2470" s="12" t="str">
        <f>IF(B2470="","",IFERROR(INDEX('Cashier Roster'!$D$5:$D$64,MATCH(B2470,'Cashier Roster'!$B$5:$B$64,0)),""))</f>
        <v/>
      </c>
      <c r="E2470" s="13"/>
      <c r="F2470" s="14"/>
      <c r="G2470" s="8" t="str">
        <f>IF(OR(B2470="",E2470=""),"",IF(E2470="No","Missed",IF(F2470="","",IF(F2470&lt;=Settings!$B$7,"On time","Late"))))</f>
        <v/>
      </c>
      <c r="H2470" s="15"/>
      <c r="I2470" s="16"/>
      <c r="J2470" s="16"/>
      <c r="K2470" s="17" t="str">
        <f>IF(J2470="","",ROUND(J2470*Settings!$B$8,2))</f>
        <v/>
      </c>
      <c r="L2470" s="16"/>
      <c r="M2470" s="8" t="str">
        <f t="shared" si="38"/>
        <v/>
      </c>
      <c r="N2470" s="9"/>
    </row>
    <row r="2471" spans="1:14" ht="15.75">
      <c r="A2471" s="11"/>
      <c r="B2471" s="9"/>
      <c r="C2471" s="12" t="str">
        <f>IF(B2471="","",IFERROR(INDEX('Cashier Roster'!$C$5:$C$64,MATCH(B2471,'Cashier Roster'!$B$5:$B$64,0)),"Not on roster"))</f>
        <v/>
      </c>
      <c r="D2471" s="12" t="str">
        <f>IF(B2471="","",IFERROR(INDEX('Cashier Roster'!$D$5:$D$64,MATCH(B2471,'Cashier Roster'!$B$5:$B$64,0)),""))</f>
        <v/>
      </c>
      <c r="E2471" s="13"/>
      <c r="F2471" s="14"/>
      <c r="G2471" s="8" t="str">
        <f>IF(OR(B2471="",E2471=""),"",IF(E2471="No","Missed",IF(F2471="","",IF(F2471&lt;=Settings!$B$7,"On time","Late"))))</f>
        <v/>
      </c>
      <c r="H2471" s="15"/>
      <c r="I2471" s="16"/>
      <c r="J2471" s="16"/>
      <c r="K2471" s="17" t="str">
        <f>IF(J2471="","",ROUND(J2471*Settings!$B$8,2))</f>
        <v/>
      </c>
      <c r="L2471" s="16"/>
      <c r="M2471" s="8" t="str">
        <f t="shared" si="38"/>
        <v/>
      </c>
      <c r="N2471" s="9"/>
    </row>
    <row r="2472" spans="1:14" ht="15.75">
      <c r="A2472" s="11"/>
      <c r="B2472" s="9"/>
      <c r="C2472" s="12" t="str">
        <f>IF(B2472="","",IFERROR(INDEX('Cashier Roster'!$C$5:$C$64,MATCH(B2472,'Cashier Roster'!$B$5:$B$64,0)),"Not on roster"))</f>
        <v/>
      </c>
      <c r="D2472" s="12" t="str">
        <f>IF(B2472="","",IFERROR(INDEX('Cashier Roster'!$D$5:$D$64,MATCH(B2472,'Cashier Roster'!$B$5:$B$64,0)),""))</f>
        <v/>
      </c>
      <c r="E2472" s="13"/>
      <c r="F2472" s="14"/>
      <c r="G2472" s="8" t="str">
        <f>IF(OR(B2472="",E2472=""),"",IF(E2472="No","Missed",IF(F2472="","",IF(F2472&lt;=Settings!$B$7,"On time","Late"))))</f>
        <v/>
      </c>
      <c r="H2472" s="15"/>
      <c r="I2472" s="16"/>
      <c r="J2472" s="16"/>
      <c r="K2472" s="17" t="str">
        <f>IF(J2472="","",ROUND(J2472*Settings!$B$8,2))</f>
        <v/>
      </c>
      <c r="L2472" s="16"/>
      <c r="M2472" s="8" t="str">
        <f t="shared" si="38"/>
        <v/>
      </c>
      <c r="N2472" s="9"/>
    </row>
    <row r="2473" spans="1:14" ht="15.75">
      <c r="A2473" s="11"/>
      <c r="B2473" s="9"/>
      <c r="C2473" s="12" t="str">
        <f>IF(B2473="","",IFERROR(INDEX('Cashier Roster'!$C$5:$C$64,MATCH(B2473,'Cashier Roster'!$B$5:$B$64,0)),"Not on roster"))</f>
        <v/>
      </c>
      <c r="D2473" s="12" t="str">
        <f>IF(B2473="","",IFERROR(INDEX('Cashier Roster'!$D$5:$D$64,MATCH(B2473,'Cashier Roster'!$B$5:$B$64,0)),""))</f>
        <v/>
      </c>
      <c r="E2473" s="13"/>
      <c r="F2473" s="14"/>
      <c r="G2473" s="8" t="str">
        <f>IF(OR(B2473="",E2473=""),"",IF(E2473="No","Missed",IF(F2473="","",IF(F2473&lt;=Settings!$B$7,"On time","Late"))))</f>
        <v/>
      </c>
      <c r="H2473" s="15"/>
      <c r="I2473" s="16"/>
      <c r="J2473" s="16"/>
      <c r="K2473" s="17" t="str">
        <f>IF(J2473="","",ROUND(J2473*Settings!$B$8,2))</f>
        <v/>
      </c>
      <c r="L2473" s="16"/>
      <c r="M2473" s="8" t="str">
        <f t="shared" si="38"/>
        <v/>
      </c>
      <c r="N2473" s="9"/>
    </row>
    <row r="2474" spans="1:14" ht="15.75">
      <c r="A2474" s="11"/>
      <c r="B2474" s="9"/>
      <c r="C2474" s="12" t="str">
        <f>IF(B2474="","",IFERROR(INDEX('Cashier Roster'!$C$5:$C$64,MATCH(B2474,'Cashier Roster'!$B$5:$B$64,0)),"Not on roster"))</f>
        <v/>
      </c>
      <c r="D2474" s="12" t="str">
        <f>IF(B2474="","",IFERROR(INDEX('Cashier Roster'!$D$5:$D$64,MATCH(B2474,'Cashier Roster'!$B$5:$B$64,0)),""))</f>
        <v/>
      </c>
      <c r="E2474" s="13"/>
      <c r="F2474" s="14"/>
      <c r="G2474" s="8" t="str">
        <f>IF(OR(B2474="",E2474=""),"",IF(E2474="No","Missed",IF(F2474="","",IF(F2474&lt;=Settings!$B$7,"On time","Late"))))</f>
        <v/>
      </c>
      <c r="H2474" s="15"/>
      <c r="I2474" s="16"/>
      <c r="J2474" s="16"/>
      <c r="K2474" s="17" t="str">
        <f>IF(J2474="","",ROUND(J2474*Settings!$B$8,2))</f>
        <v/>
      </c>
      <c r="L2474" s="16"/>
      <c r="M2474" s="8" t="str">
        <f t="shared" si="38"/>
        <v/>
      </c>
      <c r="N2474" s="9"/>
    </row>
    <row r="2475" spans="1:14" ht="15.75">
      <c r="A2475" s="11"/>
      <c r="B2475" s="9"/>
      <c r="C2475" s="12" t="str">
        <f>IF(B2475="","",IFERROR(INDEX('Cashier Roster'!$C$5:$C$64,MATCH(B2475,'Cashier Roster'!$B$5:$B$64,0)),"Not on roster"))</f>
        <v/>
      </c>
      <c r="D2475" s="12" t="str">
        <f>IF(B2475="","",IFERROR(INDEX('Cashier Roster'!$D$5:$D$64,MATCH(B2475,'Cashier Roster'!$B$5:$B$64,0)),""))</f>
        <v/>
      </c>
      <c r="E2475" s="13"/>
      <c r="F2475" s="14"/>
      <c r="G2475" s="8" t="str">
        <f>IF(OR(B2475="",E2475=""),"",IF(E2475="No","Missed",IF(F2475="","",IF(F2475&lt;=Settings!$B$7,"On time","Late"))))</f>
        <v/>
      </c>
      <c r="H2475" s="15"/>
      <c r="I2475" s="16"/>
      <c r="J2475" s="16"/>
      <c r="K2475" s="17" t="str">
        <f>IF(J2475="","",ROUND(J2475*Settings!$B$8,2))</f>
        <v/>
      </c>
      <c r="L2475" s="16"/>
      <c r="M2475" s="8" t="str">
        <f t="shared" si="38"/>
        <v/>
      </c>
      <c r="N2475" s="9"/>
    </row>
    <row r="2476" spans="1:14" ht="15.75">
      <c r="A2476" s="11"/>
      <c r="B2476" s="9"/>
      <c r="C2476" s="12" t="str">
        <f>IF(B2476="","",IFERROR(INDEX('Cashier Roster'!$C$5:$C$64,MATCH(B2476,'Cashier Roster'!$B$5:$B$64,0)),"Not on roster"))</f>
        <v/>
      </c>
      <c r="D2476" s="12" t="str">
        <f>IF(B2476="","",IFERROR(INDEX('Cashier Roster'!$D$5:$D$64,MATCH(B2476,'Cashier Roster'!$B$5:$B$64,0)),""))</f>
        <v/>
      </c>
      <c r="E2476" s="13"/>
      <c r="F2476" s="14"/>
      <c r="G2476" s="8" t="str">
        <f>IF(OR(B2476="",E2476=""),"",IF(E2476="No","Missed",IF(F2476="","",IF(F2476&lt;=Settings!$B$7,"On time","Late"))))</f>
        <v/>
      </c>
      <c r="H2476" s="15"/>
      <c r="I2476" s="16"/>
      <c r="J2476" s="16"/>
      <c r="K2476" s="17" t="str">
        <f>IF(J2476="","",ROUND(J2476*Settings!$B$8,2))</f>
        <v/>
      </c>
      <c r="L2476" s="16"/>
      <c r="M2476" s="8" t="str">
        <f t="shared" si="38"/>
        <v/>
      </c>
      <c r="N2476" s="9"/>
    </row>
    <row r="2477" spans="1:14" ht="15.75">
      <c r="A2477" s="11"/>
      <c r="B2477" s="9"/>
      <c r="C2477" s="12" t="str">
        <f>IF(B2477="","",IFERROR(INDEX('Cashier Roster'!$C$5:$C$64,MATCH(B2477,'Cashier Roster'!$B$5:$B$64,0)),"Not on roster"))</f>
        <v/>
      </c>
      <c r="D2477" s="12" t="str">
        <f>IF(B2477="","",IFERROR(INDEX('Cashier Roster'!$D$5:$D$64,MATCH(B2477,'Cashier Roster'!$B$5:$B$64,0)),""))</f>
        <v/>
      </c>
      <c r="E2477" s="13"/>
      <c r="F2477" s="14"/>
      <c r="G2477" s="8" t="str">
        <f>IF(OR(B2477="",E2477=""),"",IF(E2477="No","Missed",IF(F2477="","",IF(F2477&lt;=Settings!$B$7,"On time","Late"))))</f>
        <v/>
      </c>
      <c r="H2477" s="15"/>
      <c r="I2477" s="16"/>
      <c r="J2477" s="16"/>
      <c r="K2477" s="17" t="str">
        <f>IF(J2477="","",ROUND(J2477*Settings!$B$8,2))</f>
        <v/>
      </c>
      <c r="L2477" s="16"/>
      <c r="M2477" s="8" t="str">
        <f t="shared" si="38"/>
        <v/>
      </c>
      <c r="N2477" s="9"/>
    </row>
    <row r="2478" spans="1:14" ht="15.75">
      <c r="A2478" s="11"/>
      <c r="B2478" s="9"/>
      <c r="C2478" s="12" t="str">
        <f>IF(B2478="","",IFERROR(INDEX('Cashier Roster'!$C$5:$C$64,MATCH(B2478,'Cashier Roster'!$B$5:$B$64,0)),"Not on roster"))</f>
        <v/>
      </c>
      <c r="D2478" s="12" t="str">
        <f>IF(B2478="","",IFERROR(INDEX('Cashier Roster'!$D$5:$D$64,MATCH(B2478,'Cashier Roster'!$B$5:$B$64,0)),""))</f>
        <v/>
      </c>
      <c r="E2478" s="13"/>
      <c r="F2478" s="14"/>
      <c r="G2478" s="8" t="str">
        <f>IF(OR(B2478="",E2478=""),"",IF(E2478="No","Missed",IF(F2478="","",IF(F2478&lt;=Settings!$B$7,"On time","Late"))))</f>
        <v/>
      </c>
      <c r="H2478" s="15"/>
      <c r="I2478" s="16"/>
      <c r="J2478" s="16"/>
      <c r="K2478" s="17" t="str">
        <f>IF(J2478="","",ROUND(J2478*Settings!$B$8,2))</f>
        <v/>
      </c>
      <c r="L2478" s="16"/>
      <c r="M2478" s="8" t="str">
        <f t="shared" si="38"/>
        <v/>
      </c>
      <c r="N2478" s="9"/>
    </row>
    <row r="2479" spans="1:14" ht="15.75">
      <c r="A2479" s="11"/>
      <c r="B2479" s="9"/>
      <c r="C2479" s="12" t="str">
        <f>IF(B2479="","",IFERROR(INDEX('Cashier Roster'!$C$5:$C$64,MATCH(B2479,'Cashier Roster'!$B$5:$B$64,0)),"Not on roster"))</f>
        <v/>
      </c>
      <c r="D2479" s="12" t="str">
        <f>IF(B2479="","",IFERROR(INDEX('Cashier Roster'!$D$5:$D$64,MATCH(B2479,'Cashier Roster'!$B$5:$B$64,0)),""))</f>
        <v/>
      </c>
      <c r="E2479" s="13"/>
      <c r="F2479" s="14"/>
      <c r="G2479" s="8" t="str">
        <f>IF(OR(B2479="",E2479=""),"",IF(E2479="No","Missed",IF(F2479="","",IF(F2479&lt;=Settings!$B$7,"On time","Late"))))</f>
        <v/>
      </c>
      <c r="H2479" s="15"/>
      <c r="I2479" s="16"/>
      <c r="J2479" s="16"/>
      <c r="K2479" s="17" t="str">
        <f>IF(J2479="","",ROUND(J2479*Settings!$B$8,2))</f>
        <v/>
      </c>
      <c r="L2479" s="16"/>
      <c r="M2479" s="8" t="str">
        <f t="shared" si="38"/>
        <v/>
      </c>
      <c r="N2479" s="9"/>
    </row>
    <row r="2480" spans="1:14" ht="15.75">
      <c r="A2480" s="11"/>
      <c r="B2480" s="9"/>
      <c r="C2480" s="12" t="str">
        <f>IF(B2480="","",IFERROR(INDEX('Cashier Roster'!$C$5:$C$64,MATCH(B2480,'Cashier Roster'!$B$5:$B$64,0)),"Not on roster"))</f>
        <v/>
      </c>
      <c r="D2480" s="12" t="str">
        <f>IF(B2480="","",IFERROR(INDEX('Cashier Roster'!$D$5:$D$64,MATCH(B2480,'Cashier Roster'!$B$5:$B$64,0)),""))</f>
        <v/>
      </c>
      <c r="E2480" s="13"/>
      <c r="F2480" s="14"/>
      <c r="G2480" s="8" t="str">
        <f>IF(OR(B2480="",E2480=""),"",IF(E2480="No","Missed",IF(F2480="","",IF(F2480&lt;=Settings!$B$7,"On time","Late"))))</f>
        <v/>
      </c>
      <c r="H2480" s="15"/>
      <c r="I2480" s="16"/>
      <c r="J2480" s="16"/>
      <c r="K2480" s="17" t="str">
        <f>IF(J2480="","",ROUND(J2480*Settings!$B$8,2))</f>
        <v/>
      </c>
      <c r="L2480" s="16"/>
      <c r="M2480" s="8" t="str">
        <f t="shared" si="38"/>
        <v/>
      </c>
      <c r="N2480" s="9"/>
    </row>
    <row r="2481" spans="1:14" ht="15.75">
      <c r="A2481" s="11"/>
      <c r="B2481" s="9"/>
      <c r="C2481" s="12" t="str">
        <f>IF(B2481="","",IFERROR(INDEX('Cashier Roster'!$C$5:$C$64,MATCH(B2481,'Cashier Roster'!$B$5:$B$64,0)),"Not on roster"))</f>
        <v/>
      </c>
      <c r="D2481" s="12" t="str">
        <f>IF(B2481="","",IFERROR(INDEX('Cashier Roster'!$D$5:$D$64,MATCH(B2481,'Cashier Roster'!$B$5:$B$64,0)),""))</f>
        <v/>
      </c>
      <c r="E2481" s="13"/>
      <c r="F2481" s="14"/>
      <c r="G2481" s="8" t="str">
        <f>IF(OR(B2481="",E2481=""),"",IF(E2481="No","Missed",IF(F2481="","",IF(F2481&lt;=Settings!$B$7,"On time","Late"))))</f>
        <v/>
      </c>
      <c r="H2481" s="15"/>
      <c r="I2481" s="16"/>
      <c r="J2481" s="16"/>
      <c r="K2481" s="17" t="str">
        <f>IF(J2481="","",ROUND(J2481*Settings!$B$8,2))</f>
        <v/>
      </c>
      <c r="L2481" s="16"/>
      <c r="M2481" s="8" t="str">
        <f t="shared" si="38"/>
        <v/>
      </c>
      <c r="N2481" s="9"/>
    </row>
    <row r="2482" spans="1:14" ht="15.75">
      <c r="A2482" s="11"/>
      <c r="B2482" s="9"/>
      <c r="C2482" s="12" t="str">
        <f>IF(B2482="","",IFERROR(INDEX('Cashier Roster'!$C$5:$C$64,MATCH(B2482,'Cashier Roster'!$B$5:$B$64,0)),"Not on roster"))</f>
        <v/>
      </c>
      <c r="D2482" s="12" t="str">
        <f>IF(B2482="","",IFERROR(INDEX('Cashier Roster'!$D$5:$D$64,MATCH(B2482,'Cashier Roster'!$B$5:$B$64,0)),""))</f>
        <v/>
      </c>
      <c r="E2482" s="13"/>
      <c r="F2482" s="14"/>
      <c r="G2482" s="8" t="str">
        <f>IF(OR(B2482="",E2482=""),"",IF(E2482="No","Missed",IF(F2482="","",IF(F2482&lt;=Settings!$B$7,"On time","Late"))))</f>
        <v/>
      </c>
      <c r="H2482" s="15"/>
      <c r="I2482" s="16"/>
      <c r="J2482" s="16"/>
      <c r="K2482" s="17" t="str">
        <f>IF(J2482="","",ROUND(J2482*Settings!$B$8,2))</f>
        <v/>
      </c>
      <c r="L2482" s="16"/>
      <c r="M2482" s="8" t="str">
        <f t="shared" si="38"/>
        <v/>
      </c>
      <c r="N2482" s="9"/>
    </row>
    <row r="2483" spans="1:14" ht="15.75">
      <c r="A2483" s="11"/>
      <c r="B2483" s="9"/>
      <c r="C2483" s="12" t="str">
        <f>IF(B2483="","",IFERROR(INDEX('Cashier Roster'!$C$5:$C$64,MATCH(B2483,'Cashier Roster'!$B$5:$B$64,0)),"Not on roster"))</f>
        <v/>
      </c>
      <c r="D2483" s="12" t="str">
        <f>IF(B2483="","",IFERROR(INDEX('Cashier Roster'!$D$5:$D$64,MATCH(B2483,'Cashier Roster'!$B$5:$B$64,0)),""))</f>
        <v/>
      </c>
      <c r="E2483" s="13"/>
      <c r="F2483" s="14"/>
      <c r="G2483" s="8" t="str">
        <f>IF(OR(B2483="",E2483=""),"",IF(E2483="No","Missed",IF(F2483="","",IF(F2483&lt;=Settings!$B$7,"On time","Late"))))</f>
        <v/>
      </c>
      <c r="H2483" s="15"/>
      <c r="I2483" s="16"/>
      <c r="J2483" s="16"/>
      <c r="K2483" s="17" t="str">
        <f>IF(J2483="","",ROUND(J2483*Settings!$B$8,2))</f>
        <v/>
      </c>
      <c r="L2483" s="16"/>
      <c r="M2483" s="8" t="str">
        <f t="shared" si="38"/>
        <v/>
      </c>
      <c r="N2483" s="9"/>
    </row>
    <row r="2484" spans="1:14" ht="15.75">
      <c r="A2484" s="11"/>
      <c r="B2484" s="9"/>
      <c r="C2484" s="12" t="str">
        <f>IF(B2484="","",IFERROR(INDEX('Cashier Roster'!$C$5:$C$64,MATCH(B2484,'Cashier Roster'!$B$5:$B$64,0)),"Not on roster"))</f>
        <v/>
      </c>
      <c r="D2484" s="12" t="str">
        <f>IF(B2484="","",IFERROR(INDEX('Cashier Roster'!$D$5:$D$64,MATCH(B2484,'Cashier Roster'!$B$5:$B$64,0)),""))</f>
        <v/>
      </c>
      <c r="E2484" s="13"/>
      <c r="F2484" s="14"/>
      <c r="G2484" s="8" t="str">
        <f>IF(OR(B2484="",E2484=""),"",IF(E2484="No","Missed",IF(F2484="","",IF(F2484&lt;=Settings!$B$7,"On time","Late"))))</f>
        <v/>
      </c>
      <c r="H2484" s="15"/>
      <c r="I2484" s="16"/>
      <c r="J2484" s="16"/>
      <c r="K2484" s="17" t="str">
        <f>IF(J2484="","",ROUND(J2484*Settings!$B$8,2))</f>
        <v/>
      </c>
      <c r="L2484" s="16"/>
      <c r="M2484" s="8" t="str">
        <f t="shared" si="38"/>
        <v/>
      </c>
      <c r="N2484" s="9"/>
    </row>
    <row r="2485" spans="1:14" ht="15.75">
      <c r="A2485" s="11"/>
      <c r="B2485" s="9"/>
      <c r="C2485" s="12" t="str">
        <f>IF(B2485="","",IFERROR(INDEX('Cashier Roster'!$C$5:$C$64,MATCH(B2485,'Cashier Roster'!$B$5:$B$64,0)),"Not on roster"))</f>
        <v/>
      </c>
      <c r="D2485" s="12" t="str">
        <f>IF(B2485="","",IFERROR(INDEX('Cashier Roster'!$D$5:$D$64,MATCH(B2485,'Cashier Roster'!$B$5:$B$64,0)),""))</f>
        <v/>
      </c>
      <c r="E2485" s="13"/>
      <c r="F2485" s="14"/>
      <c r="G2485" s="8" t="str">
        <f>IF(OR(B2485="",E2485=""),"",IF(E2485="No","Missed",IF(F2485="","",IF(F2485&lt;=Settings!$B$7,"On time","Late"))))</f>
        <v/>
      </c>
      <c r="H2485" s="15"/>
      <c r="I2485" s="16"/>
      <c r="J2485" s="16"/>
      <c r="K2485" s="17" t="str">
        <f>IF(J2485="","",ROUND(J2485*Settings!$B$8,2))</f>
        <v/>
      </c>
      <c r="L2485" s="16"/>
      <c r="M2485" s="8" t="str">
        <f t="shared" si="38"/>
        <v/>
      </c>
      <c r="N2485" s="9"/>
    </row>
    <row r="2486" spans="1:14" ht="15.75">
      <c r="A2486" s="11"/>
      <c r="B2486" s="9"/>
      <c r="C2486" s="12" t="str">
        <f>IF(B2486="","",IFERROR(INDEX('Cashier Roster'!$C$5:$C$64,MATCH(B2486,'Cashier Roster'!$B$5:$B$64,0)),"Not on roster"))</f>
        <v/>
      </c>
      <c r="D2486" s="12" t="str">
        <f>IF(B2486="","",IFERROR(INDEX('Cashier Roster'!$D$5:$D$64,MATCH(B2486,'Cashier Roster'!$B$5:$B$64,0)),""))</f>
        <v/>
      </c>
      <c r="E2486" s="13"/>
      <c r="F2486" s="14"/>
      <c r="G2486" s="8" t="str">
        <f>IF(OR(B2486="",E2486=""),"",IF(E2486="No","Missed",IF(F2486="","",IF(F2486&lt;=Settings!$B$7,"On time","Late"))))</f>
        <v/>
      </c>
      <c r="H2486" s="15"/>
      <c r="I2486" s="16"/>
      <c r="J2486" s="16"/>
      <c r="K2486" s="17" t="str">
        <f>IF(J2486="","",ROUND(J2486*Settings!$B$8,2))</f>
        <v/>
      </c>
      <c r="L2486" s="16"/>
      <c r="M2486" s="8" t="str">
        <f t="shared" si="38"/>
        <v/>
      </c>
      <c r="N2486" s="9"/>
    </row>
    <row r="2487" spans="1:14" ht="15.75">
      <c r="A2487" s="11"/>
      <c r="B2487" s="9"/>
      <c r="C2487" s="12" t="str">
        <f>IF(B2487="","",IFERROR(INDEX('Cashier Roster'!$C$5:$C$64,MATCH(B2487,'Cashier Roster'!$B$5:$B$64,0)),"Not on roster"))</f>
        <v/>
      </c>
      <c r="D2487" s="12" t="str">
        <f>IF(B2487="","",IFERROR(INDEX('Cashier Roster'!$D$5:$D$64,MATCH(B2487,'Cashier Roster'!$B$5:$B$64,0)),""))</f>
        <v/>
      </c>
      <c r="E2487" s="13"/>
      <c r="F2487" s="14"/>
      <c r="G2487" s="8" t="str">
        <f>IF(OR(B2487="",E2487=""),"",IF(E2487="No","Missed",IF(F2487="","",IF(F2487&lt;=Settings!$B$7,"On time","Late"))))</f>
        <v/>
      </c>
      <c r="H2487" s="15"/>
      <c r="I2487" s="16"/>
      <c r="J2487" s="16"/>
      <c r="K2487" s="17" t="str">
        <f>IF(J2487="","",ROUND(J2487*Settings!$B$8,2))</f>
        <v/>
      </c>
      <c r="L2487" s="16"/>
      <c r="M2487" s="8" t="str">
        <f t="shared" si="38"/>
        <v/>
      </c>
      <c r="N2487" s="9"/>
    </row>
    <row r="2488" spans="1:14" ht="15.75">
      <c r="A2488" s="11"/>
      <c r="B2488" s="9"/>
      <c r="C2488" s="12" t="str">
        <f>IF(B2488="","",IFERROR(INDEX('Cashier Roster'!$C$5:$C$64,MATCH(B2488,'Cashier Roster'!$B$5:$B$64,0)),"Not on roster"))</f>
        <v/>
      </c>
      <c r="D2488" s="12" t="str">
        <f>IF(B2488="","",IFERROR(INDEX('Cashier Roster'!$D$5:$D$64,MATCH(B2488,'Cashier Roster'!$B$5:$B$64,0)),""))</f>
        <v/>
      </c>
      <c r="E2488" s="13"/>
      <c r="F2488" s="14"/>
      <c r="G2488" s="8" t="str">
        <f>IF(OR(B2488="",E2488=""),"",IF(E2488="No","Missed",IF(F2488="","",IF(F2488&lt;=Settings!$B$7,"On time","Late"))))</f>
        <v/>
      </c>
      <c r="H2488" s="15"/>
      <c r="I2488" s="16"/>
      <c r="J2488" s="16"/>
      <c r="K2488" s="17" t="str">
        <f>IF(J2488="","",ROUND(J2488*Settings!$B$8,2))</f>
        <v/>
      </c>
      <c r="L2488" s="16"/>
      <c r="M2488" s="8" t="str">
        <f t="shared" si="38"/>
        <v/>
      </c>
      <c r="N2488" s="9"/>
    </row>
    <row r="2489" spans="1:14" ht="15.75">
      <c r="A2489" s="11"/>
      <c r="B2489" s="9"/>
      <c r="C2489" s="12" t="str">
        <f>IF(B2489="","",IFERROR(INDEX('Cashier Roster'!$C$5:$C$64,MATCH(B2489,'Cashier Roster'!$B$5:$B$64,0)),"Not on roster"))</f>
        <v/>
      </c>
      <c r="D2489" s="12" t="str">
        <f>IF(B2489="","",IFERROR(INDEX('Cashier Roster'!$D$5:$D$64,MATCH(B2489,'Cashier Roster'!$B$5:$B$64,0)),""))</f>
        <v/>
      </c>
      <c r="E2489" s="13"/>
      <c r="F2489" s="14"/>
      <c r="G2489" s="8" t="str">
        <f>IF(OR(B2489="",E2489=""),"",IF(E2489="No","Missed",IF(F2489="","",IF(F2489&lt;=Settings!$B$7,"On time","Late"))))</f>
        <v/>
      </c>
      <c r="H2489" s="15"/>
      <c r="I2489" s="16"/>
      <c r="J2489" s="16"/>
      <c r="K2489" s="17" t="str">
        <f>IF(J2489="","",ROUND(J2489*Settings!$B$8,2))</f>
        <v/>
      </c>
      <c r="L2489" s="16"/>
      <c r="M2489" s="8" t="str">
        <f t="shared" si="38"/>
        <v/>
      </c>
      <c r="N2489" s="9"/>
    </row>
    <row r="2490" spans="1:14" ht="15.75">
      <c r="A2490" s="11"/>
      <c r="B2490" s="9"/>
      <c r="C2490" s="12" t="str">
        <f>IF(B2490="","",IFERROR(INDEX('Cashier Roster'!$C$5:$C$64,MATCH(B2490,'Cashier Roster'!$B$5:$B$64,0)),"Not on roster"))</f>
        <v/>
      </c>
      <c r="D2490" s="12" t="str">
        <f>IF(B2490="","",IFERROR(INDEX('Cashier Roster'!$D$5:$D$64,MATCH(B2490,'Cashier Roster'!$B$5:$B$64,0)),""))</f>
        <v/>
      </c>
      <c r="E2490" s="13"/>
      <c r="F2490" s="14"/>
      <c r="G2490" s="8" t="str">
        <f>IF(OR(B2490="",E2490=""),"",IF(E2490="No","Missed",IF(F2490="","",IF(F2490&lt;=Settings!$B$7,"On time","Late"))))</f>
        <v/>
      </c>
      <c r="H2490" s="15"/>
      <c r="I2490" s="16"/>
      <c r="J2490" s="16"/>
      <c r="K2490" s="17" t="str">
        <f>IF(J2490="","",ROUND(J2490*Settings!$B$8,2))</f>
        <v/>
      </c>
      <c r="L2490" s="16"/>
      <c r="M2490" s="8" t="str">
        <f t="shared" si="38"/>
        <v/>
      </c>
      <c r="N2490" s="9"/>
    </row>
    <row r="2491" spans="1:14" ht="15.75">
      <c r="A2491" s="11"/>
      <c r="B2491" s="9"/>
      <c r="C2491" s="12" t="str">
        <f>IF(B2491="","",IFERROR(INDEX('Cashier Roster'!$C$5:$C$64,MATCH(B2491,'Cashier Roster'!$B$5:$B$64,0)),"Not on roster"))</f>
        <v/>
      </c>
      <c r="D2491" s="12" t="str">
        <f>IF(B2491="","",IFERROR(INDEX('Cashier Roster'!$D$5:$D$64,MATCH(B2491,'Cashier Roster'!$B$5:$B$64,0)),""))</f>
        <v/>
      </c>
      <c r="E2491" s="13"/>
      <c r="F2491" s="14"/>
      <c r="G2491" s="8" t="str">
        <f>IF(OR(B2491="",E2491=""),"",IF(E2491="No","Missed",IF(F2491="","",IF(F2491&lt;=Settings!$B$7,"On time","Late"))))</f>
        <v/>
      </c>
      <c r="H2491" s="15"/>
      <c r="I2491" s="16"/>
      <c r="J2491" s="16"/>
      <c r="K2491" s="17" t="str">
        <f>IF(J2491="","",ROUND(J2491*Settings!$B$8,2))</f>
        <v/>
      </c>
      <c r="L2491" s="16"/>
      <c r="M2491" s="8" t="str">
        <f t="shared" si="38"/>
        <v/>
      </c>
      <c r="N2491" s="9"/>
    </row>
    <row r="2492" spans="1:14" ht="15.75">
      <c r="A2492" s="11"/>
      <c r="B2492" s="9"/>
      <c r="C2492" s="12" t="str">
        <f>IF(B2492="","",IFERROR(INDEX('Cashier Roster'!$C$5:$C$64,MATCH(B2492,'Cashier Roster'!$B$5:$B$64,0)),"Not on roster"))</f>
        <v/>
      </c>
      <c r="D2492" s="12" t="str">
        <f>IF(B2492="","",IFERROR(INDEX('Cashier Roster'!$D$5:$D$64,MATCH(B2492,'Cashier Roster'!$B$5:$B$64,0)),""))</f>
        <v/>
      </c>
      <c r="E2492" s="13"/>
      <c r="F2492" s="14"/>
      <c r="G2492" s="8" t="str">
        <f>IF(OR(B2492="",E2492=""),"",IF(E2492="No","Missed",IF(F2492="","",IF(F2492&lt;=Settings!$B$7,"On time","Late"))))</f>
        <v/>
      </c>
      <c r="H2492" s="15"/>
      <c r="I2492" s="16"/>
      <c r="J2492" s="16"/>
      <c r="K2492" s="17" t="str">
        <f>IF(J2492="","",ROUND(J2492*Settings!$B$8,2))</f>
        <v/>
      </c>
      <c r="L2492" s="16"/>
      <c r="M2492" s="8" t="str">
        <f t="shared" si="38"/>
        <v/>
      </c>
      <c r="N2492" s="9"/>
    </row>
    <row r="2493" spans="1:14" ht="15.75">
      <c r="A2493" s="11"/>
      <c r="B2493" s="9"/>
      <c r="C2493" s="12" t="str">
        <f>IF(B2493="","",IFERROR(INDEX('Cashier Roster'!$C$5:$C$64,MATCH(B2493,'Cashier Roster'!$B$5:$B$64,0)),"Not on roster"))</f>
        <v/>
      </c>
      <c r="D2493" s="12" t="str">
        <f>IF(B2493="","",IFERROR(INDEX('Cashier Roster'!$D$5:$D$64,MATCH(B2493,'Cashier Roster'!$B$5:$B$64,0)),""))</f>
        <v/>
      </c>
      <c r="E2493" s="13"/>
      <c r="F2493" s="14"/>
      <c r="G2493" s="8" t="str">
        <f>IF(OR(B2493="",E2493=""),"",IF(E2493="No","Missed",IF(F2493="","",IF(F2493&lt;=Settings!$B$7,"On time","Late"))))</f>
        <v/>
      </c>
      <c r="H2493" s="15"/>
      <c r="I2493" s="16"/>
      <c r="J2493" s="16"/>
      <c r="K2493" s="17" t="str">
        <f>IF(J2493="","",ROUND(J2493*Settings!$B$8,2))</f>
        <v/>
      </c>
      <c r="L2493" s="16"/>
      <c r="M2493" s="8" t="str">
        <f t="shared" si="38"/>
        <v/>
      </c>
      <c r="N2493" s="9"/>
    </row>
    <row r="2494" spans="1:14" ht="15.75">
      <c r="A2494" s="11"/>
      <c r="B2494" s="9"/>
      <c r="C2494" s="12" t="str">
        <f>IF(B2494="","",IFERROR(INDEX('Cashier Roster'!$C$5:$C$64,MATCH(B2494,'Cashier Roster'!$B$5:$B$64,0)),"Not on roster"))</f>
        <v/>
      </c>
      <c r="D2494" s="12" t="str">
        <f>IF(B2494="","",IFERROR(INDEX('Cashier Roster'!$D$5:$D$64,MATCH(B2494,'Cashier Roster'!$B$5:$B$64,0)),""))</f>
        <v/>
      </c>
      <c r="E2494" s="13"/>
      <c r="F2494" s="14"/>
      <c r="G2494" s="8" t="str">
        <f>IF(OR(B2494="",E2494=""),"",IF(E2494="No","Missed",IF(F2494="","",IF(F2494&lt;=Settings!$B$7,"On time","Late"))))</f>
        <v/>
      </c>
      <c r="H2494" s="15"/>
      <c r="I2494" s="16"/>
      <c r="J2494" s="16"/>
      <c r="K2494" s="17" t="str">
        <f>IF(J2494="","",ROUND(J2494*Settings!$B$8,2))</f>
        <v/>
      </c>
      <c r="L2494" s="16"/>
      <c r="M2494" s="8" t="str">
        <f t="shared" si="38"/>
        <v/>
      </c>
      <c r="N2494" s="9"/>
    </row>
    <row r="2495" spans="1:14" ht="15.75">
      <c r="A2495" s="11"/>
      <c r="B2495" s="9"/>
      <c r="C2495" s="12" t="str">
        <f>IF(B2495="","",IFERROR(INDEX('Cashier Roster'!$C$5:$C$64,MATCH(B2495,'Cashier Roster'!$B$5:$B$64,0)),"Not on roster"))</f>
        <v/>
      </c>
      <c r="D2495" s="12" t="str">
        <f>IF(B2495="","",IFERROR(INDEX('Cashier Roster'!$D$5:$D$64,MATCH(B2495,'Cashier Roster'!$B$5:$B$64,0)),""))</f>
        <v/>
      </c>
      <c r="E2495" s="13"/>
      <c r="F2495" s="14"/>
      <c r="G2495" s="8" t="str">
        <f>IF(OR(B2495="",E2495=""),"",IF(E2495="No","Missed",IF(F2495="","",IF(F2495&lt;=Settings!$B$7,"On time","Late"))))</f>
        <v/>
      </c>
      <c r="H2495" s="15"/>
      <c r="I2495" s="16"/>
      <c r="J2495" s="16"/>
      <c r="K2495" s="17" t="str">
        <f>IF(J2495="","",ROUND(J2495*Settings!$B$8,2))</f>
        <v/>
      </c>
      <c r="L2495" s="16"/>
      <c r="M2495" s="8" t="str">
        <f t="shared" si="38"/>
        <v/>
      </c>
      <c r="N2495" s="9"/>
    </row>
    <row r="2496" spans="1:14" ht="15.75">
      <c r="A2496" s="11"/>
      <c r="B2496" s="9"/>
      <c r="C2496" s="12" t="str">
        <f>IF(B2496="","",IFERROR(INDEX('Cashier Roster'!$C$5:$C$64,MATCH(B2496,'Cashier Roster'!$B$5:$B$64,0)),"Not on roster"))</f>
        <v/>
      </c>
      <c r="D2496" s="12" t="str">
        <f>IF(B2496="","",IFERROR(INDEX('Cashier Roster'!$D$5:$D$64,MATCH(B2496,'Cashier Roster'!$B$5:$B$64,0)),""))</f>
        <v/>
      </c>
      <c r="E2496" s="13"/>
      <c r="F2496" s="14"/>
      <c r="G2496" s="8" t="str">
        <f>IF(OR(B2496="",E2496=""),"",IF(E2496="No","Missed",IF(F2496="","",IF(F2496&lt;=Settings!$B$7,"On time","Late"))))</f>
        <v/>
      </c>
      <c r="H2496" s="15"/>
      <c r="I2496" s="16"/>
      <c r="J2496" s="16"/>
      <c r="K2496" s="17" t="str">
        <f>IF(J2496="","",ROUND(J2496*Settings!$B$8,2))</f>
        <v/>
      </c>
      <c r="L2496" s="16"/>
      <c r="M2496" s="8" t="str">
        <f t="shared" si="38"/>
        <v/>
      </c>
      <c r="N2496" s="9"/>
    </row>
    <row r="2497" spans="1:14" ht="15.75">
      <c r="A2497" s="11"/>
      <c r="B2497" s="9"/>
      <c r="C2497" s="12" t="str">
        <f>IF(B2497="","",IFERROR(INDEX('Cashier Roster'!$C$5:$C$64,MATCH(B2497,'Cashier Roster'!$B$5:$B$64,0)),"Not on roster"))</f>
        <v/>
      </c>
      <c r="D2497" s="12" t="str">
        <f>IF(B2497="","",IFERROR(INDEX('Cashier Roster'!$D$5:$D$64,MATCH(B2497,'Cashier Roster'!$B$5:$B$64,0)),""))</f>
        <v/>
      </c>
      <c r="E2497" s="13"/>
      <c r="F2497" s="14"/>
      <c r="G2497" s="8" t="str">
        <f>IF(OR(B2497="",E2497=""),"",IF(E2497="No","Missed",IF(F2497="","",IF(F2497&lt;=Settings!$B$7,"On time","Late"))))</f>
        <v/>
      </c>
      <c r="H2497" s="15"/>
      <c r="I2497" s="16"/>
      <c r="J2497" s="16"/>
      <c r="K2497" s="17" t="str">
        <f>IF(J2497="","",ROUND(J2497*Settings!$B$8,2))</f>
        <v/>
      </c>
      <c r="L2497" s="16"/>
      <c r="M2497" s="8" t="str">
        <f t="shared" si="38"/>
        <v/>
      </c>
      <c r="N2497" s="9"/>
    </row>
    <row r="2498" spans="1:14" ht="15.75">
      <c r="A2498" s="11"/>
      <c r="B2498" s="9"/>
      <c r="C2498" s="12" t="str">
        <f>IF(B2498="","",IFERROR(INDEX('Cashier Roster'!$C$5:$C$64,MATCH(B2498,'Cashier Roster'!$B$5:$B$64,0)),"Not on roster"))</f>
        <v/>
      </c>
      <c r="D2498" s="12" t="str">
        <f>IF(B2498="","",IFERROR(INDEX('Cashier Roster'!$D$5:$D$64,MATCH(B2498,'Cashier Roster'!$B$5:$B$64,0)),""))</f>
        <v/>
      </c>
      <c r="E2498" s="13"/>
      <c r="F2498" s="14"/>
      <c r="G2498" s="8" t="str">
        <f>IF(OR(B2498="",E2498=""),"",IF(E2498="No","Missed",IF(F2498="","",IF(F2498&lt;=Settings!$B$7,"On time","Late"))))</f>
        <v/>
      </c>
      <c r="H2498" s="15"/>
      <c r="I2498" s="16"/>
      <c r="J2498" s="16"/>
      <c r="K2498" s="17" t="str">
        <f>IF(J2498="","",ROUND(J2498*Settings!$B$8,2))</f>
        <v/>
      </c>
      <c r="L2498" s="16"/>
      <c r="M2498" s="8" t="str">
        <f t="shared" si="38"/>
        <v/>
      </c>
      <c r="N2498" s="9"/>
    </row>
    <row r="2499" spans="1:14" ht="15.75">
      <c r="A2499" s="11"/>
      <c r="B2499" s="9"/>
      <c r="C2499" s="12" t="str">
        <f>IF(B2499="","",IFERROR(INDEX('Cashier Roster'!$C$5:$C$64,MATCH(B2499,'Cashier Roster'!$B$5:$B$64,0)),"Not on roster"))</f>
        <v/>
      </c>
      <c r="D2499" s="12" t="str">
        <f>IF(B2499="","",IFERROR(INDEX('Cashier Roster'!$D$5:$D$64,MATCH(B2499,'Cashier Roster'!$B$5:$B$64,0)),""))</f>
        <v/>
      </c>
      <c r="E2499" s="13"/>
      <c r="F2499" s="14"/>
      <c r="G2499" s="8" t="str">
        <f>IF(OR(B2499="",E2499=""),"",IF(E2499="No","Missed",IF(F2499="","",IF(F2499&lt;=Settings!$B$7,"On time","Late"))))</f>
        <v/>
      </c>
      <c r="H2499" s="15"/>
      <c r="I2499" s="16"/>
      <c r="J2499" s="16"/>
      <c r="K2499" s="17" t="str">
        <f>IF(J2499="","",ROUND(J2499*Settings!$B$8,2))</f>
        <v/>
      </c>
      <c r="L2499" s="16"/>
      <c r="M2499" s="8" t="str">
        <f t="shared" si="38"/>
        <v/>
      </c>
      <c r="N2499" s="9"/>
    </row>
    <row r="2500" spans="1:14" ht="15.75">
      <c r="A2500" s="11"/>
      <c r="B2500" s="9"/>
      <c r="C2500" s="12" t="str">
        <f>IF(B2500="","",IFERROR(INDEX('Cashier Roster'!$C$5:$C$64,MATCH(B2500,'Cashier Roster'!$B$5:$B$64,0)),"Not on roster"))</f>
        <v/>
      </c>
      <c r="D2500" s="12" t="str">
        <f>IF(B2500="","",IFERROR(INDEX('Cashier Roster'!$D$5:$D$64,MATCH(B2500,'Cashier Roster'!$B$5:$B$64,0)),""))</f>
        <v/>
      </c>
      <c r="E2500" s="13"/>
      <c r="F2500" s="14"/>
      <c r="G2500" s="8" t="str">
        <f>IF(OR(B2500="",E2500=""),"",IF(E2500="No","Missed",IF(F2500="","",IF(F2500&lt;=Settings!$B$7,"On time","Late"))))</f>
        <v/>
      </c>
      <c r="H2500" s="15"/>
      <c r="I2500" s="16"/>
      <c r="J2500" s="16"/>
      <c r="K2500" s="17" t="str">
        <f>IF(J2500="","",ROUND(J2500*Settings!$B$8,2))</f>
        <v/>
      </c>
      <c r="L2500" s="16"/>
      <c r="M2500" s="8" t="str">
        <f t="shared" si="38"/>
        <v/>
      </c>
      <c r="N2500" s="9"/>
    </row>
    <row r="2501" spans="1:14" ht="15.75">
      <c r="A2501" s="11"/>
      <c r="B2501" s="9"/>
      <c r="C2501" s="12" t="str">
        <f>IF(B2501="","",IFERROR(INDEX('Cashier Roster'!$C$5:$C$64,MATCH(B2501,'Cashier Roster'!$B$5:$B$64,0)),"Not on roster"))</f>
        <v/>
      </c>
      <c r="D2501" s="12" t="str">
        <f>IF(B2501="","",IFERROR(INDEX('Cashier Roster'!$D$5:$D$64,MATCH(B2501,'Cashier Roster'!$B$5:$B$64,0)),""))</f>
        <v/>
      </c>
      <c r="E2501" s="13"/>
      <c r="F2501" s="14"/>
      <c r="G2501" s="8" t="str">
        <f>IF(OR(B2501="",E2501=""),"",IF(E2501="No","Missed",IF(F2501="","",IF(F2501&lt;=Settings!$B$7,"On time","Late"))))</f>
        <v/>
      </c>
      <c r="H2501" s="15"/>
      <c r="I2501" s="16"/>
      <c r="J2501" s="16"/>
      <c r="K2501" s="17" t="str">
        <f>IF(J2501="","",ROUND(J2501*Settings!$B$8,2))</f>
        <v/>
      </c>
      <c r="L2501" s="16"/>
      <c r="M2501" s="8" t="str">
        <f t="shared" ref="M2501:M2564" si="39">IF(L2501="","",IF(L2501&lt;=0,"Yes","No"))</f>
        <v/>
      </c>
      <c r="N2501" s="9"/>
    </row>
    <row r="2502" spans="1:14" ht="15.75">
      <c r="A2502" s="11"/>
      <c r="B2502" s="9"/>
      <c r="C2502" s="12" t="str">
        <f>IF(B2502="","",IFERROR(INDEX('Cashier Roster'!$C$5:$C$64,MATCH(B2502,'Cashier Roster'!$B$5:$B$64,0)),"Not on roster"))</f>
        <v/>
      </c>
      <c r="D2502" s="12" t="str">
        <f>IF(B2502="","",IFERROR(INDEX('Cashier Roster'!$D$5:$D$64,MATCH(B2502,'Cashier Roster'!$B$5:$B$64,0)),""))</f>
        <v/>
      </c>
      <c r="E2502" s="13"/>
      <c r="F2502" s="14"/>
      <c r="G2502" s="8" t="str">
        <f>IF(OR(B2502="",E2502=""),"",IF(E2502="No","Missed",IF(F2502="","",IF(F2502&lt;=Settings!$B$7,"On time","Late"))))</f>
        <v/>
      </c>
      <c r="H2502" s="15"/>
      <c r="I2502" s="16"/>
      <c r="J2502" s="16"/>
      <c r="K2502" s="17" t="str">
        <f>IF(J2502="","",ROUND(J2502*Settings!$B$8,2))</f>
        <v/>
      </c>
      <c r="L2502" s="16"/>
      <c r="M2502" s="8" t="str">
        <f t="shared" si="39"/>
        <v/>
      </c>
      <c r="N2502" s="9"/>
    </row>
    <row r="2503" spans="1:14" ht="15.75">
      <c r="A2503" s="11"/>
      <c r="B2503" s="9"/>
      <c r="C2503" s="12" t="str">
        <f>IF(B2503="","",IFERROR(INDEX('Cashier Roster'!$C$5:$C$64,MATCH(B2503,'Cashier Roster'!$B$5:$B$64,0)),"Not on roster"))</f>
        <v/>
      </c>
      <c r="D2503" s="12" t="str">
        <f>IF(B2503="","",IFERROR(INDEX('Cashier Roster'!$D$5:$D$64,MATCH(B2503,'Cashier Roster'!$B$5:$B$64,0)),""))</f>
        <v/>
      </c>
      <c r="E2503" s="13"/>
      <c r="F2503" s="14"/>
      <c r="G2503" s="8" t="str">
        <f>IF(OR(B2503="",E2503=""),"",IF(E2503="No","Missed",IF(F2503="","",IF(F2503&lt;=Settings!$B$7,"On time","Late"))))</f>
        <v/>
      </c>
      <c r="H2503" s="15"/>
      <c r="I2503" s="16"/>
      <c r="J2503" s="16"/>
      <c r="K2503" s="17" t="str">
        <f>IF(J2503="","",ROUND(J2503*Settings!$B$8,2))</f>
        <v/>
      </c>
      <c r="L2503" s="16"/>
      <c r="M2503" s="8" t="str">
        <f t="shared" si="39"/>
        <v/>
      </c>
      <c r="N2503" s="9"/>
    </row>
    <row r="2504" spans="1:14" ht="15.75">
      <c r="A2504" s="11"/>
      <c r="B2504" s="9"/>
      <c r="C2504" s="12" t="str">
        <f>IF(B2504="","",IFERROR(INDEX('Cashier Roster'!$C$5:$C$64,MATCH(B2504,'Cashier Roster'!$B$5:$B$64,0)),"Not on roster"))</f>
        <v/>
      </c>
      <c r="D2504" s="12" t="str">
        <f>IF(B2504="","",IFERROR(INDEX('Cashier Roster'!$D$5:$D$64,MATCH(B2504,'Cashier Roster'!$B$5:$B$64,0)),""))</f>
        <v/>
      </c>
      <c r="E2504" s="13"/>
      <c r="F2504" s="14"/>
      <c r="G2504" s="8" t="str">
        <f>IF(OR(B2504="",E2504=""),"",IF(E2504="No","Missed",IF(F2504="","",IF(F2504&lt;=Settings!$B$7,"On time","Late"))))</f>
        <v/>
      </c>
      <c r="H2504" s="15"/>
      <c r="I2504" s="16"/>
      <c r="J2504" s="16"/>
      <c r="K2504" s="17" t="str">
        <f>IF(J2504="","",ROUND(J2504*Settings!$B$8,2))</f>
        <v/>
      </c>
      <c r="L2504" s="16"/>
      <c r="M2504" s="8" t="str">
        <f t="shared" si="39"/>
        <v/>
      </c>
      <c r="N2504" s="9"/>
    </row>
    <row r="2505" spans="1:14" ht="15.75">
      <c r="A2505" s="11"/>
      <c r="B2505" s="9"/>
      <c r="C2505" s="12" t="str">
        <f>IF(B2505="","",IFERROR(INDEX('Cashier Roster'!$C$5:$C$64,MATCH(B2505,'Cashier Roster'!$B$5:$B$64,0)),"Not on roster"))</f>
        <v/>
      </c>
      <c r="D2505" s="12" t="str">
        <f>IF(B2505="","",IFERROR(INDEX('Cashier Roster'!$D$5:$D$64,MATCH(B2505,'Cashier Roster'!$B$5:$B$64,0)),""))</f>
        <v/>
      </c>
      <c r="E2505" s="13"/>
      <c r="F2505" s="14"/>
      <c r="G2505" s="8" t="str">
        <f>IF(OR(B2505="",E2505=""),"",IF(E2505="No","Missed",IF(F2505="","",IF(F2505&lt;=Settings!$B$7,"On time","Late"))))</f>
        <v/>
      </c>
      <c r="H2505" s="15"/>
      <c r="I2505" s="16"/>
      <c r="J2505" s="16"/>
      <c r="K2505" s="17" t="str">
        <f>IF(J2505="","",ROUND(J2505*Settings!$B$8,2))</f>
        <v/>
      </c>
      <c r="L2505" s="16"/>
      <c r="M2505" s="8" t="str">
        <f t="shared" si="39"/>
        <v/>
      </c>
      <c r="N2505" s="9"/>
    </row>
    <row r="2506" spans="1:14" ht="15.75">
      <c r="A2506" s="11"/>
      <c r="B2506" s="9"/>
      <c r="C2506" s="12" t="str">
        <f>IF(B2506="","",IFERROR(INDEX('Cashier Roster'!$C$5:$C$64,MATCH(B2506,'Cashier Roster'!$B$5:$B$64,0)),"Not on roster"))</f>
        <v/>
      </c>
      <c r="D2506" s="12" t="str">
        <f>IF(B2506="","",IFERROR(INDEX('Cashier Roster'!$D$5:$D$64,MATCH(B2506,'Cashier Roster'!$B$5:$B$64,0)),""))</f>
        <v/>
      </c>
      <c r="E2506" s="13"/>
      <c r="F2506" s="14"/>
      <c r="G2506" s="8" t="str">
        <f>IF(OR(B2506="",E2506=""),"",IF(E2506="No","Missed",IF(F2506="","",IF(F2506&lt;=Settings!$B$7,"On time","Late"))))</f>
        <v/>
      </c>
      <c r="H2506" s="15"/>
      <c r="I2506" s="16"/>
      <c r="J2506" s="16"/>
      <c r="K2506" s="17" t="str">
        <f>IF(J2506="","",ROUND(J2506*Settings!$B$8,2))</f>
        <v/>
      </c>
      <c r="L2506" s="16"/>
      <c r="M2506" s="8" t="str">
        <f t="shared" si="39"/>
        <v/>
      </c>
      <c r="N2506" s="9"/>
    </row>
    <row r="2507" spans="1:14" ht="15.75">
      <c r="A2507" s="11"/>
      <c r="B2507" s="9"/>
      <c r="C2507" s="12" t="str">
        <f>IF(B2507="","",IFERROR(INDEX('Cashier Roster'!$C$5:$C$64,MATCH(B2507,'Cashier Roster'!$B$5:$B$64,0)),"Not on roster"))</f>
        <v/>
      </c>
      <c r="D2507" s="12" t="str">
        <f>IF(B2507="","",IFERROR(INDEX('Cashier Roster'!$D$5:$D$64,MATCH(B2507,'Cashier Roster'!$B$5:$B$64,0)),""))</f>
        <v/>
      </c>
      <c r="E2507" s="13"/>
      <c r="F2507" s="14"/>
      <c r="G2507" s="8" t="str">
        <f>IF(OR(B2507="",E2507=""),"",IF(E2507="No","Missed",IF(F2507="","",IF(F2507&lt;=Settings!$B$7,"On time","Late"))))</f>
        <v/>
      </c>
      <c r="H2507" s="15"/>
      <c r="I2507" s="16"/>
      <c r="J2507" s="16"/>
      <c r="K2507" s="17" t="str">
        <f>IF(J2507="","",ROUND(J2507*Settings!$B$8,2))</f>
        <v/>
      </c>
      <c r="L2507" s="16"/>
      <c r="M2507" s="8" t="str">
        <f t="shared" si="39"/>
        <v/>
      </c>
      <c r="N2507" s="9"/>
    </row>
    <row r="2508" spans="1:14" ht="15.75">
      <c r="A2508" s="11"/>
      <c r="B2508" s="9"/>
      <c r="C2508" s="12" t="str">
        <f>IF(B2508="","",IFERROR(INDEX('Cashier Roster'!$C$5:$C$64,MATCH(B2508,'Cashier Roster'!$B$5:$B$64,0)),"Not on roster"))</f>
        <v/>
      </c>
      <c r="D2508" s="12" t="str">
        <f>IF(B2508="","",IFERROR(INDEX('Cashier Roster'!$D$5:$D$64,MATCH(B2508,'Cashier Roster'!$B$5:$B$64,0)),""))</f>
        <v/>
      </c>
      <c r="E2508" s="13"/>
      <c r="F2508" s="14"/>
      <c r="G2508" s="8" t="str">
        <f>IF(OR(B2508="",E2508=""),"",IF(E2508="No","Missed",IF(F2508="","",IF(F2508&lt;=Settings!$B$7,"On time","Late"))))</f>
        <v/>
      </c>
      <c r="H2508" s="15"/>
      <c r="I2508" s="16"/>
      <c r="J2508" s="16"/>
      <c r="K2508" s="17" t="str">
        <f>IF(J2508="","",ROUND(J2508*Settings!$B$8,2))</f>
        <v/>
      </c>
      <c r="L2508" s="16"/>
      <c r="M2508" s="8" t="str">
        <f t="shared" si="39"/>
        <v/>
      </c>
      <c r="N2508" s="9"/>
    </row>
    <row r="2509" spans="1:14" ht="15.75">
      <c r="A2509" s="11"/>
      <c r="B2509" s="9"/>
      <c r="C2509" s="12" t="str">
        <f>IF(B2509="","",IFERROR(INDEX('Cashier Roster'!$C$5:$C$64,MATCH(B2509,'Cashier Roster'!$B$5:$B$64,0)),"Not on roster"))</f>
        <v/>
      </c>
      <c r="D2509" s="12" t="str">
        <f>IF(B2509="","",IFERROR(INDEX('Cashier Roster'!$D$5:$D$64,MATCH(B2509,'Cashier Roster'!$B$5:$B$64,0)),""))</f>
        <v/>
      </c>
      <c r="E2509" s="13"/>
      <c r="F2509" s="14"/>
      <c r="G2509" s="8" t="str">
        <f>IF(OR(B2509="",E2509=""),"",IF(E2509="No","Missed",IF(F2509="","",IF(F2509&lt;=Settings!$B$7,"On time","Late"))))</f>
        <v/>
      </c>
      <c r="H2509" s="15"/>
      <c r="I2509" s="16"/>
      <c r="J2509" s="16"/>
      <c r="K2509" s="17" t="str">
        <f>IF(J2509="","",ROUND(J2509*Settings!$B$8,2))</f>
        <v/>
      </c>
      <c r="L2509" s="16"/>
      <c r="M2509" s="8" t="str">
        <f t="shared" si="39"/>
        <v/>
      </c>
      <c r="N2509" s="9"/>
    </row>
    <row r="2510" spans="1:14" ht="15.75">
      <c r="A2510" s="11"/>
      <c r="B2510" s="9"/>
      <c r="C2510" s="12" t="str">
        <f>IF(B2510="","",IFERROR(INDEX('Cashier Roster'!$C$5:$C$64,MATCH(B2510,'Cashier Roster'!$B$5:$B$64,0)),"Not on roster"))</f>
        <v/>
      </c>
      <c r="D2510" s="12" t="str">
        <f>IF(B2510="","",IFERROR(INDEX('Cashier Roster'!$D$5:$D$64,MATCH(B2510,'Cashier Roster'!$B$5:$B$64,0)),""))</f>
        <v/>
      </c>
      <c r="E2510" s="13"/>
      <c r="F2510" s="14"/>
      <c r="G2510" s="8" t="str">
        <f>IF(OR(B2510="",E2510=""),"",IF(E2510="No","Missed",IF(F2510="","",IF(F2510&lt;=Settings!$B$7,"On time","Late"))))</f>
        <v/>
      </c>
      <c r="H2510" s="15"/>
      <c r="I2510" s="16"/>
      <c r="J2510" s="16"/>
      <c r="K2510" s="17" t="str">
        <f>IF(J2510="","",ROUND(J2510*Settings!$B$8,2))</f>
        <v/>
      </c>
      <c r="L2510" s="16"/>
      <c r="M2510" s="8" t="str">
        <f t="shared" si="39"/>
        <v/>
      </c>
      <c r="N2510" s="9"/>
    </row>
    <row r="2511" spans="1:14" ht="15.75">
      <c r="A2511" s="11"/>
      <c r="B2511" s="9"/>
      <c r="C2511" s="12" t="str">
        <f>IF(B2511="","",IFERROR(INDEX('Cashier Roster'!$C$5:$C$64,MATCH(B2511,'Cashier Roster'!$B$5:$B$64,0)),"Not on roster"))</f>
        <v/>
      </c>
      <c r="D2511" s="12" t="str">
        <f>IF(B2511="","",IFERROR(INDEX('Cashier Roster'!$D$5:$D$64,MATCH(B2511,'Cashier Roster'!$B$5:$B$64,0)),""))</f>
        <v/>
      </c>
      <c r="E2511" s="13"/>
      <c r="F2511" s="14"/>
      <c r="G2511" s="8" t="str">
        <f>IF(OR(B2511="",E2511=""),"",IF(E2511="No","Missed",IF(F2511="","",IF(F2511&lt;=Settings!$B$7,"On time","Late"))))</f>
        <v/>
      </c>
      <c r="H2511" s="15"/>
      <c r="I2511" s="16"/>
      <c r="J2511" s="16"/>
      <c r="K2511" s="17" t="str">
        <f>IF(J2511="","",ROUND(J2511*Settings!$B$8,2))</f>
        <v/>
      </c>
      <c r="L2511" s="16"/>
      <c r="M2511" s="8" t="str">
        <f t="shared" si="39"/>
        <v/>
      </c>
      <c r="N2511" s="9"/>
    </row>
    <row r="2512" spans="1:14" ht="15.75">
      <c r="A2512" s="11"/>
      <c r="B2512" s="9"/>
      <c r="C2512" s="12" t="str">
        <f>IF(B2512="","",IFERROR(INDEX('Cashier Roster'!$C$5:$C$64,MATCH(B2512,'Cashier Roster'!$B$5:$B$64,0)),"Not on roster"))</f>
        <v/>
      </c>
      <c r="D2512" s="12" t="str">
        <f>IF(B2512="","",IFERROR(INDEX('Cashier Roster'!$D$5:$D$64,MATCH(B2512,'Cashier Roster'!$B$5:$B$64,0)),""))</f>
        <v/>
      </c>
      <c r="E2512" s="13"/>
      <c r="F2512" s="14"/>
      <c r="G2512" s="8" t="str">
        <f>IF(OR(B2512="",E2512=""),"",IF(E2512="No","Missed",IF(F2512="","",IF(F2512&lt;=Settings!$B$7,"On time","Late"))))</f>
        <v/>
      </c>
      <c r="H2512" s="15"/>
      <c r="I2512" s="16"/>
      <c r="J2512" s="16"/>
      <c r="K2512" s="17" t="str">
        <f>IF(J2512="","",ROUND(J2512*Settings!$B$8,2))</f>
        <v/>
      </c>
      <c r="L2512" s="16"/>
      <c r="M2512" s="8" t="str">
        <f t="shared" si="39"/>
        <v/>
      </c>
      <c r="N2512" s="9"/>
    </row>
    <row r="2513" spans="1:14" ht="15.75">
      <c r="A2513" s="11"/>
      <c r="B2513" s="9"/>
      <c r="C2513" s="12" t="str">
        <f>IF(B2513="","",IFERROR(INDEX('Cashier Roster'!$C$5:$C$64,MATCH(B2513,'Cashier Roster'!$B$5:$B$64,0)),"Not on roster"))</f>
        <v/>
      </c>
      <c r="D2513" s="12" t="str">
        <f>IF(B2513="","",IFERROR(INDEX('Cashier Roster'!$D$5:$D$64,MATCH(B2513,'Cashier Roster'!$B$5:$B$64,0)),""))</f>
        <v/>
      </c>
      <c r="E2513" s="13"/>
      <c r="F2513" s="14"/>
      <c r="G2513" s="8" t="str">
        <f>IF(OR(B2513="",E2513=""),"",IF(E2513="No","Missed",IF(F2513="","",IF(F2513&lt;=Settings!$B$7,"On time","Late"))))</f>
        <v/>
      </c>
      <c r="H2513" s="15"/>
      <c r="I2513" s="16"/>
      <c r="J2513" s="16"/>
      <c r="K2513" s="17" t="str">
        <f>IF(J2513="","",ROUND(J2513*Settings!$B$8,2))</f>
        <v/>
      </c>
      <c r="L2513" s="16"/>
      <c r="M2513" s="8" t="str">
        <f t="shared" si="39"/>
        <v/>
      </c>
      <c r="N2513" s="9"/>
    </row>
    <row r="2514" spans="1:14" ht="15.75">
      <c r="A2514" s="11"/>
      <c r="B2514" s="9"/>
      <c r="C2514" s="12" t="str">
        <f>IF(B2514="","",IFERROR(INDEX('Cashier Roster'!$C$5:$C$64,MATCH(B2514,'Cashier Roster'!$B$5:$B$64,0)),"Not on roster"))</f>
        <v/>
      </c>
      <c r="D2514" s="12" t="str">
        <f>IF(B2514="","",IFERROR(INDEX('Cashier Roster'!$D$5:$D$64,MATCH(B2514,'Cashier Roster'!$B$5:$B$64,0)),""))</f>
        <v/>
      </c>
      <c r="E2514" s="13"/>
      <c r="F2514" s="14"/>
      <c r="G2514" s="8" t="str">
        <f>IF(OR(B2514="",E2514=""),"",IF(E2514="No","Missed",IF(F2514="","",IF(F2514&lt;=Settings!$B$7,"On time","Late"))))</f>
        <v/>
      </c>
      <c r="H2514" s="15"/>
      <c r="I2514" s="16"/>
      <c r="J2514" s="16"/>
      <c r="K2514" s="17" t="str">
        <f>IF(J2514="","",ROUND(J2514*Settings!$B$8,2))</f>
        <v/>
      </c>
      <c r="L2514" s="16"/>
      <c r="M2514" s="8" t="str">
        <f t="shared" si="39"/>
        <v/>
      </c>
      <c r="N2514" s="9"/>
    </row>
    <row r="2515" spans="1:14" ht="15.75">
      <c r="A2515" s="11"/>
      <c r="B2515" s="9"/>
      <c r="C2515" s="12" t="str">
        <f>IF(B2515="","",IFERROR(INDEX('Cashier Roster'!$C$5:$C$64,MATCH(B2515,'Cashier Roster'!$B$5:$B$64,0)),"Not on roster"))</f>
        <v/>
      </c>
      <c r="D2515" s="12" t="str">
        <f>IF(B2515="","",IFERROR(INDEX('Cashier Roster'!$D$5:$D$64,MATCH(B2515,'Cashier Roster'!$B$5:$B$64,0)),""))</f>
        <v/>
      </c>
      <c r="E2515" s="13"/>
      <c r="F2515" s="14"/>
      <c r="G2515" s="8" t="str">
        <f>IF(OR(B2515="",E2515=""),"",IF(E2515="No","Missed",IF(F2515="","",IF(F2515&lt;=Settings!$B$7,"On time","Late"))))</f>
        <v/>
      </c>
      <c r="H2515" s="15"/>
      <c r="I2515" s="16"/>
      <c r="J2515" s="16"/>
      <c r="K2515" s="17" t="str">
        <f>IF(J2515="","",ROUND(J2515*Settings!$B$8,2))</f>
        <v/>
      </c>
      <c r="L2515" s="16"/>
      <c r="M2515" s="8" t="str">
        <f t="shared" si="39"/>
        <v/>
      </c>
      <c r="N2515" s="9"/>
    </row>
    <row r="2516" spans="1:14" ht="15.75">
      <c r="A2516" s="11"/>
      <c r="B2516" s="9"/>
      <c r="C2516" s="12" t="str">
        <f>IF(B2516="","",IFERROR(INDEX('Cashier Roster'!$C$5:$C$64,MATCH(B2516,'Cashier Roster'!$B$5:$B$64,0)),"Not on roster"))</f>
        <v/>
      </c>
      <c r="D2516" s="12" t="str">
        <f>IF(B2516="","",IFERROR(INDEX('Cashier Roster'!$D$5:$D$64,MATCH(B2516,'Cashier Roster'!$B$5:$B$64,0)),""))</f>
        <v/>
      </c>
      <c r="E2516" s="13"/>
      <c r="F2516" s="14"/>
      <c r="G2516" s="8" t="str">
        <f>IF(OR(B2516="",E2516=""),"",IF(E2516="No","Missed",IF(F2516="","",IF(F2516&lt;=Settings!$B$7,"On time","Late"))))</f>
        <v/>
      </c>
      <c r="H2516" s="15"/>
      <c r="I2516" s="16"/>
      <c r="J2516" s="16"/>
      <c r="K2516" s="17" t="str">
        <f>IF(J2516="","",ROUND(J2516*Settings!$B$8,2))</f>
        <v/>
      </c>
      <c r="L2516" s="16"/>
      <c r="M2516" s="8" t="str">
        <f t="shared" si="39"/>
        <v/>
      </c>
      <c r="N2516" s="9"/>
    </row>
    <row r="2517" spans="1:14" ht="15.75">
      <c r="A2517" s="11"/>
      <c r="B2517" s="9"/>
      <c r="C2517" s="12" t="str">
        <f>IF(B2517="","",IFERROR(INDEX('Cashier Roster'!$C$5:$C$64,MATCH(B2517,'Cashier Roster'!$B$5:$B$64,0)),"Not on roster"))</f>
        <v/>
      </c>
      <c r="D2517" s="12" t="str">
        <f>IF(B2517="","",IFERROR(INDEX('Cashier Roster'!$D$5:$D$64,MATCH(B2517,'Cashier Roster'!$B$5:$B$64,0)),""))</f>
        <v/>
      </c>
      <c r="E2517" s="13"/>
      <c r="F2517" s="14"/>
      <c r="G2517" s="8" t="str">
        <f>IF(OR(B2517="",E2517=""),"",IF(E2517="No","Missed",IF(F2517="","",IF(F2517&lt;=Settings!$B$7,"On time","Late"))))</f>
        <v/>
      </c>
      <c r="H2517" s="15"/>
      <c r="I2517" s="16"/>
      <c r="J2517" s="16"/>
      <c r="K2517" s="17" t="str">
        <f>IF(J2517="","",ROUND(J2517*Settings!$B$8,2))</f>
        <v/>
      </c>
      <c r="L2517" s="16"/>
      <c r="M2517" s="8" t="str">
        <f t="shared" si="39"/>
        <v/>
      </c>
      <c r="N2517" s="9"/>
    </row>
    <row r="2518" spans="1:14" ht="15.75">
      <c r="A2518" s="11"/>
      <c r="B2518" s="9"/>
      <c r="C2518" s="12" t="str">
        <f>IF(B2518="","",IFERROR(INDEX('Cashier Roster'!$C$5:$C$64,MATCH(B2518,'Cashier Roster'!$B$5:$B$64,0)),"Not on roster"))</f>
        <v/>
      </c>
      <c r="D2518" s="12" t="str">
        <f>IF(B2518="","",IFERROR(INDEX('Cashier Roster'!$D$5:$D$64,MATCH(B2518,'Cashier Roster'!$B$5:$B$64,0)),""))</f>
        <v/>
      </c>
      <c r="E2518" s="13"/>
      <c r="F2518" s="14"/>
      <c r="G2518" s="8" t="str">
        <f>IF(OR(B2518="",E2518=""),"",IF(E2518="No","Missed",IF(F2518="","",IF(F2518&lt;=Settings!$B$7,"On time","Late"))))</f>
        <v/>
      </c>
      <c r="H2518" s="15"/>
      <c r="I2518" s="16"/>
      <c r="J2518" s="16"/>
      <c r="K2518" s="17" t="str">
        <f>IF(J2518="","",ROUND(J2518*Settings!$B$8,2))</f>
        <v/>
      </c>
      <c r="L2518" s="16"/>
      <c r="M2518" s="8" t="str">
        <f t="shared" si="39"/>
        <v/>
      </c>
      <c r="N2518" s="9"/>
    </row>
    <row r="2519" spans="1:14" ht="15.75">
      <c r="A2519" s="11"/>
      <c r="B2519" s="9"/>
      <c r="C2519" s="12" t="str">
        <f>IF(B2519="","",IFERROR(INDEX('Cashier Roster'!$C$5:$C$64,MATCH(B2519,'Cashier Roster'!$B$5:$B$64,0)),"Not on roster"))</f>
        <v/>
      </c>
      <c r="D2519" s="12" t="str">
        <f>IF(B2519="","",IFERROR(INDEX('Cashier Roster'!$D$5:$D$64,MATCH(B2519,'Cashier Roster'!$B$5:$B$64,0)),""))</f>
        <v/>
      </c>
      <c r="E2519" s="13"/>
      <c r="F2519" s="14"/>
      <c r="G2519" s="8" t="str">
        <f>IF(OR(B2519="",E2519=""),"",IF(E2519="No","Missed",IF(F2519="","",IF(F2519&lt;=Settings!$B$7,"On time","Late"))))</f>
        <v/>
      </c>
      <c r="H2519" s="15"/>
      <c r="I2519" s="16"/>
      <c r="J2519" s="16"/>
      <c r="K2519" s="17" t="str">
        <f>IF(J2519="","",ROUND(J2519*Settings!$B$8,2))</f>
        <v/>
      </c>
      <c r="L2519" s="16"/>
      <c r="M2519" s="8" t="str">
        <f t="shared" si="39"/>
        <v/>
      </c>
      <c r="N2519" s="9"/>
    </row>
    <row r="2520" spans="1:14" ht="15.75">
      <c r="A2520" s="11"/>
      <c r="B2520" s="9"/>
      <c r="C2520" s="12" t="str">
        <f>IF(B2520="","",IFERROR(INDEX('Cashier Roster'!$C$5:$C$64,MATCH(B2520,'Cashier Roster'!$B$5:$B$64,0)),"Not on roster"))</f>
        <v/>
      </c>
      <c r="D2520" s="12" t="str">
        <f>IF(B2520="","",IFERROR(INDEX('Cashier Roster'!$D$5:$D$64,MATCH(B2520,'Cashier Roster'!$B$5:$B$64,0)),""))</f>
        <v/>
      </c>
      <c r="E2520" s="13"/>
      <c r="F2520" s="14"/>
      <c r="G2520" s="8" t="str">
        <f>IF(OR(B2520="",E2520=""),"",IF(E2520="No","Missed",IF(F2520="","",IF(F2520&lt;=Settings!$B$7,"On time","Late"))))</f>
        <v/>
      </c>
      <c r="H2520" s="15"/>
      <c r="I2520" s="16"/>
      <c r="J2520" s="16"/>
      <c r="K2520" s="17" t="str">
        <f>IF(J2520="","",ROUND(J2520*Settings!$B$8,2))</f>
        <v/>
      </c>
      <c r="L2520" s="16"/>
      <c r="M2520" s="8" t="str">
        <f t="shared" si="39"/>
        <v/>
      </c>
      <c r="N2520" s="9"/>
    </row>
    <row r="2521" spans="1:14" ht="15.75">
      <c r="A2521" s="11"/>
      <c r="B2521" s="9"/>
      <c r="C2521" s="12" t="str">
        <f>IF(B2521="","",IFERROR(INDEX('Cashier Roster'!$C$5:$C$64,MATCH(B2521,'Cashier Roster'!$B$5:$B$64,0)),"Not on roster"))</f>
        <v/>
      </c>
      <c r="D2521" s="12" t="str">
        <f>IF(B2521="","",IFERROR(INDEX('Cashier Roster'!$D$5:$D$64,MATCH(B2521,'Cashier Roster'!$B$5:$B$64,0)),""))</f>
        <v/>
      </c>
      <c r="E2521" s="13"/>
      <c r="F2521" s="14"/>
      <c r="G2521" s="8" t="str">
        <f>IF(OR(B2521="",E2521=""),"",IF(E2521="No","Missed",IF(F2521="","",IF(F2521&lt;=Settings!$B$7,"On time","Late"))))</f>
        <v/>
      </c>
      <c r="H2521" s="15"/>
      <c r="I2521" s="16"/>
      <c r="J2521" s="16"/>
      <c r="K2521" s="17" t="str">
        <f>IF(J2521="","",ROUND(J2521*Settings!$B$8,2))</f>
        <v/>
      </c>
      <c r="L2521" s="16"/>
      <c r="M2521" s="8" t="str">
        <f t="shared" si="39"/>
        <v/>
      </c>
      <c r="N2521" s="9"/>
    </row>
    <row r="2522" spans="1:14" ht="15.75">
      <c r="A2522" s="11"/>
      <c r="B2522" s="9"/>
      <c r="C2522" s="12" t="str">
        <f>IF(B2522="","",IFERROR(INDEX('Cashier Roster'!$C$5:$C$64,MATCH(B2522,'Cashier Roster'!$B$5:$B$64,0)),"Not on roster"))</f>
        <v/>
      </c>
      <c r="D2522" s="12" t="str">
        <f>IF(B2522="","",IFERROR(INDEX('Cashier Roster'!$D$5:$D$64,MATCH(B2522,'Cashier Roster'!$B$5:$B$64,0)),""))</f>
        <v/>
      </c>
      <c r="E2522" s="13"/>
      <c r="F2522" s="14"/>
      <c r="G2522" s="8" t="str">
        <f>IF(OR(B2522="",E2522=""),"",IF(E2522="No","Missed",IF(F2522="","",IF(F2522&lt;=Settings!$B$7,"On time","Late"))))</f>
        <v/>
      </c>
      <c r="H2522" s="15"/>
      <c r="I2522" s="16"/>
      <c r="J2522" s="16"/>
      <c r="K2522" s="17" t="str">
        <f>IF(J2522="","",ROUND(J2522*Settings!$B$8,2))</f>
        <v/>
      </c>
      <c r="L2522" s="16"/>
      <c r="M2522" s="8" t="str">
        <f t="shared" si="39"/>
        <v/>
      </c>
      <c r="N2522" s="9"/>
    </row>
    <row r="2523" spans="1:14" ht="15.75">
      <c r="A2523" s="11"/>
      <c r="B2523" s="9"/>
      <c r="C2523" s="12" t="str">
        <f>IF(B2523="","",IFERROR(INDEX('Cashier Roster'!$C$5:$C$64,MATCH(B2523,'Cashier Roster'!$B$5:$B$64,0)),"Not on roster"))</f>
        <v/>
      </c>
      <c r="D2523" s="12" t="str">
        <f>IF(B2523="","",IFERROR(INDEX('Cashier Roster'!$D$5:$D$64,MATCH(B2523,'Cashier Roster'!$B$5:$B$64,0)),""))</f>
        <v/>
      </c>
      <c r="E2523" s="13"/>
      <c r="F2523" s="14"/>
      <c r="G2523" s="8" t="str">
        <f>IF(OR(B2523="",E2523=""),"",IF(E2523="No","Missed",IF(F2523="","",IF(F2523&lt;=Settings!$B$7,"On time","Late"))))</f>
        <v/>
      </c>
      <c r="H2523" s="15"/>
      <c r="I2523" s="16"/>
      <c r="J2523" s="16"/>
      <c r="K2523" s="17" t="str">
        <f>IF(J2523="","",ROUND(J2523*Settings!$B$8,2))</f>
        <v/>
      </c>
      <c r="L2523" s="16"/>
      <c r="M2523" s="8" t="str">
        <f t="shared" si="39"/>
        <v/>
      </c>
      <c r="N2523" s="9"/>
    </row>
    <row r="2524" spans="1:14" ht="15.75">
      <c r="A2524" s="11"/>
      <c r="B2524" s="9"/>
      <c r="C2524" s="12" t="str">
        <f>IF(B2524="","",IFERROR(INDEX('Cashier Roster'!$C$5:$C$64,MATCH(B2524,'Cashier Roster'!$B$5:$B$64,0)),"Not on roster"))</f>
        <v/>
      </c>
      <c r="D2524" s="12" t="str">
        <f>IF(B2524="","",IFERROR(INDEX('Cashier Roster'!$D$5:$D$64,MATCH(B2524,'Cashier Roster'!$B$5:$B$64,0)),""))</f>
        <v/>
      </c>
      <c r="E2524" s="13"/>
      <c r="F2524" s="14"/>
      <c r="G2524" s="8" t="str">
        <f>IF(OR(B2524="",E2524=""),"",IF(E2524="No","Missed",IF(F2524="","",IF(F2524&lt;=Settings!$B$7,"On time","Late"))))</f>
        <v/>
      </c>
      <c r="H2524" s="15"/>
      <c r="I2524" s="16"/>
      <c r="J2524" s="16"/>
      <c r="K2524" s="17" t="str">
        <f>IF(J2524="","",ROUND(J2524*Settings!$B$8,2))</f>
        <v/>
      </c>
      <c r="L2524" s="16"/>
      <c r="M2524" s="8" t="str">
        <f t="shared" si="39"/>
        <v/>
      </c>
      <c r="N2524" s="9"/>
    </row>
    <row r="2525" spans="1:14" ht="15.75">
      <c r="A2525" s="11"/>
      <c r="B2525" s="9"/>
      <c r="C2525" s="12" t="str">
        <f>IF(B2525="","",IFERROR(INDEX('Cashier Roster'!$C$5:$C$64,MATCH(B2525,'Cashier Roster'!$B$5:$B$64,0)),"Not on roster"))</f>
        <v/>
      </c>
      <c r="D2525" s="12" t="str">
        <f>IF(B2525="","",IFERROR(INDEX('Cashier Roster'!$D$5:$D$64,MATCH(B2525,'Cashier Roster'!$B$5:$B$64,0)),""))</f>
        <v/>
      </c>
      <c r="E2525" s="13"/>
      <c r="F2525" s="14"/>
      <c r="G2525" s="8" t="str">
        <f>IF(OR(B2525="",E2525=""),"",IF(E2525="No","Missed",IF(F2525="","",IF(F2525&lt;=Settings!$B$7,"On time","Late"))))</f>
        <v/>
      </c>
      <c r="H2525" s="15"/>
      <c r="I2525" s="16"/>
      <c r="J2525" s="16"/>
      <c r="K2525" s="17" t="str">
        <f>IF(J2525="","",ROUND(J2525*Settings!$B$8,2))</f>
        <v/>
      </c>
      <c r="L2525" s="16"/>
      <c r="M2525" s="8" t="str">
        <f t="shared" si="39"/>
        <v/>
      </c>
      <c r="N2525" s="9"/>
    </row>
    <row r="2526" spans="1:14" ht="15.75">
      <c r="A2526" s="11"/>
      <c r="B2526" s="9"/>
      <c r="C2526" s="12" t="str">
        <f>IF(B2526="","",IFERROR(INDEX('Cashier Roster'!$C$5:$C$64,MATCH(B2526,'Cashier Roster'!$B$5:$B$64,0)),"Not on roster"))</f>
        <v/>
      </c>
      <c r="D2526" s="12" t="str">
        <f>IF(B2526="","",IFERROR(INDEX('Cashier Roster'!$D$5:$D$64,MATCH(B2526,'Cashier Roster'!$B$5:$B$64,0)),""))</f>
        <v/>
      </c>
      <c r="E2526" s="13"/>
      <c r="F2526" s="14"/>
      <c r="G2526" s="8" t="str">
        <f>IF(OR(B2526="",E2526=""),"",IF(E2526="No","Missed",IF(F2526="","",IF(F2526&lt;=Settings!$B$7,"On time","Late"))))</f>
        <v/>
      </c>
      <c r="H2526" s="15"/>
      <c r="I2526" s="16"/>
      <c r="J2526" s="16"/>
      <c r="K2526" s="17" t="str">
        <f>IF(J2526="","",ROUND(J2526*Settings!$B$8,2))</f>
        <v/>
      </c>
      <c r="L2526" s="16"/>
      <c r="M2526" s="8" t="str">
        <f t="shared" si="39"/>
        <v/>
      </c>
      <c r="N2526" s="9"/>
    </row>
    <row r="2527" spans="1:14" ht="15.75">
      <c r="A2527" s="11"/>
      <c r="B2527" s="9"/>
      <c r="C2527" s="12" t="str">
        <f>IF(B2527="","",IFERROR(INDEX('Cashier Roster'!$C$5:$C$64,MATCH(B2527,'Cashier Roster'!$B$5:$B$64,0)),"Not on roster"))</f>
        <v/>
      </c>
      <c r="D2527" s="12" t="str">
        <f>IF(B2527="","",IFERROR(INDEX('Cashier Roster'!$D$5:$D$64,MATCH(B2527,'Cashier Roster'!$B$5:$B$64,0)),""))</f>
        <v/>
      </c>
      <c r="E2527" s="13"/>
      <c r="F2527" s="14"/>
      <c r="G2527" s="8" t="str">
        <f>IF(OR(B2527="",E2527=""),"",IF(E2527="No","Missed",IF(F2527="","",IF(F2527&lt;=Settings!$B$7,"On time","Late"))))</f>
        <v/>
      </c>
      <c r="H2527" s="15"/>
      <c r="I2527" s="16"/>
      <c r="J2527" s="16"/>
      <c r="K2527" s="17" t="str">
        <f>IF(J2527="","",ROUND(J2527*Settings!$B$8,2))</f>
        <v/>
      </c>
      <c r="L2527" s="16"/>
      <c r="M2527" s="8" t="str">
        <f t="shared" si="39"/>
        <v/>
      </c>
      <c r="N2527" s="9"/>
    </row>
    <row r="2528" spans="1:14" ht="15.75">
      <c r="A2528" s="11"/>
      <c r="B2528" s="9"/>
      <c r="C2528" s="12" t="str">
        <f>IF(B2528="","",IFERROR(INDEX('Cashier Roster'!$C$5:$C$64,MATCH(B2528,'Cashier Roster'!$B$5:$B$64,0)),"Not on roster"))</f>
        <v/>
      </c>
      <c r="D2528" s="12" t="str">
        <f>IF(B2528="","",IFERROR(INDEX('Cashier Roster'!$D$5:$D$64,MATCH(B2528,'Cashier Roster'!$B$5:$B$64,0)),""))</f>
        <v/>
      </c>
      <c r="E2528" s="13"/>
      <c r="F2528" s="14"/>
      <c r="G2528" s="8" t="str">
        <f>IF(OR(B2528="",E2528=""),"",IF(E2528="No","Missed",IF(F2528="","",IF(F2528&lt;=Settings!$B$7,"On time","Late"))))</f>
        <v/>
      </c>
      <c r="H2528" s="15"/>
      <c r="I2528" s="16"/>
      <c r="J2528" s="16"/>
      <c r="K2528" s="17" t="str">
        <f>IF(J2528="","",ROUND(J2528*Settings!$B$8,2))</f>
        <v/>
      </c>
      <c r="L2528" s="16"/>
      <c r="M2528" s="8" t="str">
        <f t="shared" si="39"/>
        <v/>
      </c>
      <c r="N2528" s="9"/>
    </row>
    <row r="2529" spans="1:14" ht="15.75">
      <c r="A2529" s="11"/>
      <c r="B2529" s="9"/>
      <c r="C2529" s="12" t="str">
        <f>IF(B2529="","",IFERROR(INDEX('Cashier Roster'!$C$5:$C$64,MATCH(B2529,'Cashier Roster'!$B$5:$B$64,0)),"Not on roster"))</f>
        <v/>
      </c>
      <c r="D2529" s="12" t="str">
        <f>IF(B2529="","",IFERROR(INDEX('Cashier Roster'!$D$5:$D$64,MATCH(B2529,'Cashier Roster'!$B$5:$B$64,0)),""))</f>
        <v/>
      </c>
      <c r="E2529" s="13"/>
      <c r="F2529" s="14"/>
      <c r="G2529" s="8" t="str">
        <f>IF(OR(B2529="",E2529=""),"",IF(E2529="No","Missed",IF(F2529="","",IF(F2529&lt;=Settings!$B$7,"On time","Late"))))</f>
        <v/>
      </c>
      <c r="H2529" s="15"/>
      <c r="I2529" s="16"/>
      <c r="J2529" s="16"/>
      <c r="K2529" s="17" t="str">
        <f>IF(J2529="","",ROUND(J2529*Settings!$B$8,2))</f>
        <v/>
      </c>
      <c r="L2529" s="16"/>
      <c r="M2529" s="8" t="str">
        <f t="shared" si="39"/>
        <v/>
      </c>
      <c r="N2529" s="9"/>
    </row>
    <row r="2530" spans="1:14" ht="15.75">
      <c r="A2530" s="11"/>
      <c r="B2530" s="9"/>
      <c r="C2530" s="12" t="str">
        <f>IF(B2530="","",IFERROR(INDEX('Cashier Roster'!$C$5:$C$64,MATCH(B2530,'Cashier Roster'!$B$5:$B$64,0)),"Not on roster"))</f>
        <v/>
      </c>
      <c r="D2530" s="12" t="str">
        <f>IF(B2530="","",IFERROR(INDEX('Cashier Roster'!$D$5:$D$64,MATCH(B2530,'Cashier Roster'!$B$5:$B$64,0)),""))</f>
        <v/>
      </c>
      <c r="E2530" s="13"/>
      <c r="F2530" s="14"/>
      <c r="G2530" s="8" t="str">
        <f>IF(OR(B2530="",E2530=""),"",IF(E2530="No","Missed",IF(F2530="","",IF(F2530&lt;=Settings!$B$7,"On time","Late"))))</f>
        <v/>
      </c>
      <c r="H2530" s="15"/>
      <c r="I2530" s="16"/>
      <c r="J2530" s="16"/>
      <c r="K2530" s="17" t="str">
        <f>IF(J2530="","",ROUND(J2530*Settings!$B$8,2))</f>
        <v/>
      </c>
      <c r="L2530" s="16"/>
      <c r="M2530" s="8" t="str">
        <f t="shared" si="39"/>
        <v/>
      </c>
      <c r="N2530" s="9"/>
    </row>
    <row r="2531" spans="1:14" ht="15.75">
      <c r="A2531" s="11"/>
      <c r="B2531" s="9"/>
      <c r="C2531" s="12" t="str">
        <f>IF(B2531="","",IFERROR(INDEX('Cashier Roster'!$C$5:$C$64,MATCH(B2531,'Cashier Roster'!$B$5:$B$64,0)),"Not on roster"))</f>
        <v/>
      </c>
      <c r="D2531" s="12" t="str">
        <f>IF(B2531="","",IFERROR(INDEX('Cashier Roster'!$D$5:$D$64,MATCH(B2531,'Cashier Roster'!$B$5:$B$64,0)),""))</f>
        <v/>
      </c>
      <c r="E2531" s="13"/>
      <c r="F2531" s="14"/>
      <c r="G2531" s="8" t="str">
        <f>IF(OR(B2531="",E2531=""),"",IF(E2531="No","Missed",IF(F2531="","",IF(F2531&lt;=Settings!$B$7,"On time","Late"))))</f>
        <v/>
      </c>
      <c r="H2531" s="15"/>
      <c r="I2531" s="16"/>
      <c r="J2531" s="16"/>
      <c r="K2531" s="17" t="str">
        <f>IF(J2531="","",ROUND(J2531*Settings!$B$8,2))</f>
        <v/>
      </c>
      <c r="L2531" s="16"/>
      <c r="M2531" s="8" t="str">
        <f t="shared" si="39"/>
        <v/>
      </c>
      <c r="N2531" s="9"/>
    </row>
    <row r="2532" spans="1:14" ht="15.75">
      <c r="A2532" s="11"/>
      <c r="B2532" s="9"/>
      <c r="C2532" s="12" t="str">
        <f>IF(B2532="","",IFERROR(INDEX('Cashier Roster'!$C$5:$C$64,MATCH(B2532,'Cashier Roster'!$B$5:$B$64,0)),"Not on roster"))</f>
        <v/>
      </c>
      <c r="D2532" s="12" t="str">
        <f>IF(B2532="","",IFERROR(INDEX('Cashier Roster'!$D$5:$D$64,MATCH(B2532,'Cashier Roster'!$B$5:$B$64,0)),""))</f>
        <v/>
      </c>
      <c r="E2532" s="13"/>
      <c r="F2532" s="14"/>
      <c r="G2532" s="8" t="str">
        <f>IF(OR(B2532="",E2532=""),"",IF(E2532="No","Missed",IF(F2532="","",IF(F2532&lt;=Settings!$B$7,"On time","Late"))))</f>
        <v/>
      </c>
      <c r="H2532" s="15"/>
      <c r="I2532" s="16"/>
      <c r="J2532" s="16"/>
      <c r="K2532" s="17" t="str">
        <f>IF(J2532="","",ROUND(J2532*Settings!$B$8,2))</f>
        <v/>
      </c>
      <c r="L2532" s="16"/>
      <c r="M2532" s="8" t="str">
        <f t="shared" si="39"/>
        <v/>
      </c>
      <c r="N2532" s="9"/>
    </row>
    <row r="2533" spans="1:14" ht="15.75">
      <c r="A2533" s="11"/>
      <c r="B2533" s="9"/>
      <c r="C2533" s="12" t="str">
        <f>IF(B2533="","",IFERROR(INDEX('Cashier Roster'!$C$5:$C$64,MATCH(B2533,'Cashier Roster'!$B$5:$B$64,0)),"Not on roster"))</f>
        <v/>
      </c>
      <c r="D2533" s="12" t="str">
        <f>IF(B2533="","",IFERROR(INDEX('Cashier Roster'!$D$5:$D$64,MATCH(B2533,'Cashier Roster'!$B$5:$B$64,0)),""))</f>
        <v/>
      </c>
      <c r="E2533" s="13"/>
      <c r="F2533" s="14"/>
      <c r="G2533" s="8" t="str">
        <f>IF(OR(B2533="",E2533=""),"",IF(E2533="No","Missed",IF(F2533="","",IF(F2533&lt;=Settings!$B$7,"On time","Late"))))</f>
        <v/>
      </c>
      <c r="H2533" s="15"/>
      <c r="I2533" s="16"/>
      <c r="J2533" s="16"/>
      <c r="K2533" s="17" t="str">
        <f>IF(J2533="","",ROUND(J2533*Settings!$B$8,2))</f>
        <v/>
      </c>
      <c r="L2533" s="16"/>
      <c r="M2533" s="8" t="str">
        <f t="shared" si="39"/>
        <v/>
      </c>
      <c r="N2533" s="9"/>
    </row>
    <row r="2534" spans="1:14" ht="15.75">
      <c r="A2534" s="11"/>
      <c r="B2534" s="9"/>
      <c r="C2534" s="12" t="str">
        <f>IF(B2534="","",IFERROR(INDEX('Cashier Roster'!$C$5:$C$64,MATCH(B2534,'Cashier Roster'!$B$5:$B$64,0)),"Not on roster"))</f>
        <v/>
      </c>
      <c r="D2534" s="12" t="str">
        <f>IF(B2534="","",IFERROR(INDEX('Cashier Roster'!$D$5:$D$64,MATCH(B2534,'Cashier Roster'!$B$5:$B$64,0)),""))</f>
        <v/>
      </c>
      <c r="E2534" s="13"/>
      <c r="F2534" s="14"/>
      <c r="G2534" s="8" t="str">
        <f>IF(OR(B2534="",E2534=""),"",IF(E2534="No","Missed",IF(F2534="","",IF(F2534&lt;=Settings!$B$7,"On time","Late"))))</f>
        <v/>
      </c>
      <c r="H2534" s="15"/>
      <c r="I2534" s="16"/>
      <c r="J2534" s="16"/>
      <c r="K2534" s="17" t="str">
        <f>IF(J2534="","",ROUND(J2534*Settings!$B$8,2))</f>
        <v/>
      </c>
      <c r="L2534" s="16"/>
      <c r="M2534" s="8" t="str">
        <f t="shared" si="39"/>
        <v/>
      </c>
      <c r="N2534" s="9"/>
    </row>
    <row r="2535" spans="1:14" ht="15.75">
      <c r="A2535" s="11"/>
      <c r="B2535" s="9"/>
      <c r="C2535" s="12" t="str">
        <f>IF(B2535="","",IFERROR(INDEX('Cashier Roster'!$C$5:$C$64,MATCH(B2535,'Cashier Roster'!$B$5:$B$64,0)),"Not on roster"))</f>
        <v/>
      </c>
      <c r="D2535" s="12" t="str">
        <f>IF(B2535="","",IFERROR(INDEX('Cashier Roster'!$D$5:$D$64,MATCH(B2535,'Cashier Roster'!$B$5:$B$64,0)),""))</f>
        <v/>
      </c>
      <c r="E2535" s="13"/>
      <c r="F2535" s="14"/>
      <c r="G2535" s="8" t="str">
        <f>IF(OR(B2535="",E2535=""),"",IF(E2535="No","Missed",IF(F2535="","",IF(F2535&lt;=Settings!$B$7,"On time","Late"))))</f>
        <v/>
      </c>
      <c r="H2535" s="15"/>
      <c r="I2535" s="16"/>
      <c r="J2535" s="16"/>
      <c r="K2535" s="17" t="str">
        <f>IF(J2535="","",ROUND(J2535*Settings!$B$8,2))</f>
        <v/>
      </c>
      <c r="L2535" s="16"/>
      <c r="M2535" s="8" t="str">
        <f t="shared" si="39"/>
        <v/>
      </c>
      <c r="N2535" s="9"/>
    </row>
    <row r="2536" spans="1:14" ht="15.75">
      <c r="A2536" s="11"/>
      <c r="B2536" s="9"/>
      <c r="C2536" s="12" t="str">
        <f>IF(B2536="","",IFERROR(INDEX('Cashier Roster'!$C$5:$C$64,MATCH(B2536,'Cashier Roster'!$B$5:$B$64,0)),"Not on roster"))</f>
        <v/>
      </c>
      <c r="D2536" s="12" t="str">
        <f>IF(B2536="","",IFERROR(INDEX('Cashier Roster'!$D$5:$D$64,MATCH(B2536,'Cashier Roster'!$B$5:$B$64,0)),""))</f>
        <v/>
      </c>
      <c r="E2536" s="13"/>
      <c r="F2536" s="14"/>
      <c r="G2536" s="8" t="str">
        <f>IF(OR(B2536="",E2536=""),"",IF(E2536="No","Missed",IF(F2536="","",IF(F2536&lt;=Settings!$B$7,"On time","Late"))))</f>
        <v/>
      </c>
      <c r="H2536" s="15"/>
      <c r="I2536" s="16"/>
      <c r="J2536" s="16"/>
      <c r="K2536" s="17" t="str">
        <f>IF(J2536="","",ROUND(J2536*Settings!$B$8,2))</f>
        <v/>
      </c>
      <c r="L2536" s="16"/>
      <c r="M2536" s="8" t="str">
        <f t="shared" si="39"/>
        <v/>
      </c>
      <c r="N2536" s="9"/>
    </row>
    <row r="2537" spans="1:14" ht="15.75">
      <c r="A2537" s="11"/>
      <c r="B2537" s="9"/>
      <c r="C2537" s="12" t="str">
        <f>IF(B2537="","",IFERROR(INDEX('Cashier Roster'!$C$5:$C$64,MATCH(B2537,'Cashier Roster'!$B$5:$B$64,0)),"Not on roster"))</f>
        <v/>
      </c>
      <c r="D2537" s="12" t="str">
        <f>IF(B2537="","",IFERROR(INDEX('Cashier Roster'!$D$5:$D$64,MATCH(B2537,'Cashier Roster'!$B$5:$B$64,0)),""))</f>
        <v/>
      </c>
      <c r="E2537" s="13"/>
      <c r="F2537" s="14"/>
      <c r="G2537" s="8" t="str">
        <f>IF(OR(B2537="",E2537=""),"",IF(E2537="No","Missed",IF(F2537="","",IF(F2537&lt;=Settings!$B$7,"On time","Late"))))</f>
        <v/>
      </c>
      <c r="H2537" s="15"/>
      <c r="I2537" s="16"/>
      <c r="J2537" s="16"/>
      <c r="K2537" s="17" t="str">
        <f>IF(J2537="","",ROUND(J2537*Settings!$B$8,2))</f>
        <v/>
      </c>
      <c r="L2537" s="16"/>
      <c r="M2537" s="8" t="str">
        <f t="shared" si="39"/>
        <v/>
      </c>
      <c r="N2537" s="9"/>
    </row>
    <row r="2538" spans="1:14" ht="15.75">
      <c r="A2538" s="11"/>
      <c r="B2538" s="9"/>
      <c r="C2538" s="12" t="str">
        <f>IF(B2538="","",IFERROR(INDEX('Cashier Roster'!$C$5:$C$64,MATCH(B2538,'Cashier Roster'!$B$5:$B$64,0)),"Not on roster"))</f>
        <v/>
      </c>
      <c r="D2538" s="12" t="str">
        <f>IF(B2538="","",IFERROR(INDEX('Cashier Roster'!$D$5:$D$64,MATCH(B2538,'Cashier Roster'!$B$5:$B$64,0)),""))</f>
        <v/>
      </c>
      <c r="E2538" s="13"/>
      <c r="F2538" s="14"/>
      <c r="G2538" s="8" t="str">
        <f>IF(OR(B2538="",E2538=""),"",IF(E2538="No","Missed",IF(F2538="","",IF(F2538&lt;=Settings!$B$7,"On time","Late"))))</f>
        <v/>
      </c>
      <c r="H2538" s="15"/>
      <c r="I2538" s="16"/>
      <c r="J2538" s="16"/>
      <c r="K2538" s="17" t="str">
        <f>IF(J2538="","",ROUND(J2538*Settings!$B$8,2))</f>
        <v/>
      </c>
      <c r="L2538" s="16"/>
      <c r="M2538" s="8" t="str">
        <f t="shared" si="39"/>
        <v/>
      </c>
      <c r="N2538" s="9"/>
    </row>
    <row r="2539" spans="1:14" ht="15.75">
      <c r="A2539" s="11"/>
      <c r="B2539" s="9"/>
      <c r="C2539" s="12" t="str">
        <f>IF(B2539="","",IFERROR(INDEX('Cashier Roster'!$C$5:$C$64,MATCH(B2539,'Cashier Roster'!$B$5:$B$64,0)),"Not on roster"))</f>
        <v/>
      </c>
      <c r="D2539" s="12" t="str">
        <f>IF(B2539="","",IFERROR(INDEX('Cashier Roster'!$D$5:$D$64,MATCH(B2539,'Cashier Roster'!$B$5:$B$64,0)),""))</f>
        <v/>
      </c>
      <c r="E2539" s="13"/>
      <c r="F2539" s="14"/>
      <c r="G2539" s="8" t="str">
        <f>IF(OR(B2539="",E2539=""),"",IF(E2539="No","Missed",IF(F2539="","",IF(F2539&lt;=Settings!$B$7,"On time","Late"))))</f>
        <v/>
      </c>
      <c r="H2539" s="15"/>
      <c r="I2539" s="16"/>
      <c r="J2539" s="16"/>
      <c r="K2539" s="17" t="str">
        <f>IF(J2539="","",ROUND(J2539*Settings!$B$8,2))</f>
        <v/>
      </c>
      <c r="L2539" s="16"/>
      <c r="M2539" s="8" t="str">
        <f t="shared" si="39"/>
        <v/>
      </c>
      <c r="N2539" s="9"/>
    </row>
    <row r="2540" spans="1:14" ht="15.75">
      <c r="A2540" s="11"/>
      <c r="B2540" s="9"/>
      <c r="C2540" s="12" t="str">
        <f>IF(B2540="","",IFERROR(INDEX('Cashier Roster'!$C$5:$C$64,MATCH(B2540,'Cashier Roster'!$B$5:$B$64,0)),"Not on roster"))</f>
        <v/>
      </c>
      <c r="D2540" s="12" t="str">
        <f>IF(B2540="","",IFERROR(INDEX('Cashier Roster'!$D$5:$D$64,MATCH(B2540,'Cashier Roster'!$B$5:$B$64,0)),""))</f>
        <v/>
      </c>
      <c r="E2540" s="13"/>
      <c r="F2540" s="14"/>
      <c r="G2540" s="8" t="str">
        <f>IF(OR(B2540="",E2540=""),"",IF(E2540="No","Missed",IF(F2540="","",IF(F2540&lt;=Settings!$B$7,"On time","Late"))))</f>
        <v/>
      </c>
      <c r="H2540" s="15"/>
      <c r="I2540" s="16"/>
      <c r="J2540" s="16"/>
      <c r="K2540" s="17" t="str">
        <f>IF(J2540="","",ROUND(J2540*Settings!$B$8,2))</f>
        <v/>
      </c>
      <c r="L2540" s="16"/>
      <c r="M2540" s="8" t="str">
        <f t="shared" si="39"/>
        <v/>
      </c>
      <c r="N2540" s="9"/>
    </row>
    <row r="2541" spans="1:14" ht="15.75">
      <c r="A2541" s="11"/>
      <c r="B2541" s="9"/>
      <c r="C2541" s="12" t="str">
        <f>IF(B2541="","",IFERROR(INDEX('Cashier Roster'!$C$5:$C$64,MATCH(B2541,'Cashier Roster'!$B$5:$B$64,0)),"Not on roster"))</f>
        <v/>
      </c>
      <c r="D2541" s="12" t="str">
        <f>IF(B2541="","",IFERROR(INDEX('Cashier Roster'!$D$5:$D$64,MATCH(B2541,'Cashier Roster'!$B$5:$B$64,0)),""))</f>
        <v/>
      </c>
      <c r="E2541" s="13"/>
      <c r="F2541" s="14"/>
      <c r="G2541" s="8" t="str">
        <f>IF(OR(B2541="",E2541=""),"",IF(E2541="No","Missed",IF(F2541="","",IF(F2541&lt;=Settings!$B$7,"On time","Late"))))</f>
        <v/>
      </c>
      <c r="H2541" s="15"/>
      <c r="I2541" s="16"/>
      <c r="J2541" s="16"/>
      <c r="K2541" s="17" t="str">
        <f>IF(J2541="","",ROUND(J2541*Settings!$B$8,2))</f>
        <v/>
      </c>
      <c r="L2541" s="16"/>
      <c r="M2541" s="8" t="str">
        <f t="shared" si="39"/>
        <v/>
      </c>
      <c r="N2541" s="9"/>
    </row>
    <row r="2542" spans="1:14" ht="15.75">
      <c r="A2542" s="11"/>
      <c r="B2542" s="9"/>
      <c r="C2542" s="12" t="str">
        <f>IF(B2542="","",IFERROR(INDEX('Cashier Roster'!$C$5:$C$64,MATCH(B2542,'Cashier Roster'!$B$5:$B$64,0)),"Not on roster"))</f>
        <v/>
      </c>
      <c r="D2542" s="12" t="str">
        <f>IF(B2542="","",IFERROR(INDEX('Cashier Roster'!$D$5:$D$64,MATCH(B2542,'Cashier Roster'!$B$5:$B$64,0)),""))</f>
        <v/>
      </c>
      <c r="E2542" s="13"/>
      <c r="F2542" s="14"/>
      <c r="G2542" s="8" t="str">
        <f>IF(OR(B2542="",E2542=""),"",IF(E2542="No","Missed",IF(F2542="","",IF(F2542&lt;=Settings!$B$7,"On time","Late"))))</f>
        <v/>
      </c>
      <c r="H2542" s="15"/>
      <c r="I2542" s="16"/>
      <c r="J2542" s="16"/>
      <c r="K2542" s="17" t="str">
        <f>IF(J2542="","",ROUND(J2542*Settings!$B$8,2))</f>
        <v/>
      </c>
      <c r="L2542" s="16"/>
      <c r="M2542" s="8" t="str">
        <f t="shared" si="39"/>
        <v/>
      </c>
      <c r="N2542" s="9"/>
    </row>
    <row r="2543" spans="1:14" ht="15.75">
      <c r="A2543" s="11"/>
      <c r="B2543" s="9"/>
      <c r="C2543" s="12" t="str">
        <f>IF(B2543="","",IFERROR(INDEX('Cashier Roster'!$C$5:$C$64,MATCH(B2543,'Cashier Roster'!$B$5:$B$64,0)),"Not on roster"))</f>
        <v/>
      </c>
      <c r="D2543" s="12" t="str">
        <f>IF(B2543="","",IFERROR(INDEX('Cashier Roster'!$D$5:$D$64,MATCH(B2543,'Cashier Roster'!$B$5:$B$64,0)),""))</f>
        <v/>
      </c>
      <c r="E2543" s="13"/>
      <c r="F2543" s="14"/>
      <c r="G2543" s="8" t="str">
        <f>IF(OR(B2543="",E2543=""),"",IF(E2543="No","Missed",IF(F2543="","",IF(F2543&lt;=Settings!$B$7,"On time","Late"))))</f>
        <v/>
      </c>
      <c r="H2543" s="15"/>
      <c r="I2543" s="16"/>
      <c r="J2543" s="16"/>
      <c r="K2543" s="17" t="str">
        <f>IF(J2543="","",ROUND(J2543*Settings!$B$8,2))</f>
        <v/>
      </c>
      <c r="L2543" s="16"/>
      <c r="M2543" s="8" t="str">
        <f t="shared" si="39"/>
        <v/>
      </c>
      <c r="N2543" s="9"/>
    </row>
    <row r="2544" spans="1:14" ht="15.75">
      <c r="A2544" s="11"/>
      <c r="B2544" s="9"/>
      <c r="C2544" s="12" t="str">
        <f>IF(B2544="","",IFERROR(INDEX('Cashier Roster'!$C$5:$C$64,MATCH(B2544,'Cashier Roster'!$B$5:$B$64,0)),"Not on roster"))</f>
        <v/>
      </c>
      <c r="D2544" s="12" t="str">
        <f>IF(B2544="","",IFERROR(INDEX('Cashier Roster'!$D$5:$D$64,MATCH(B2544,'Cashier Roster'!$B$5:$B$64,0)),""))</f>
        <v/>
      </c>
      <c r="E2544" s="13"/>
      <c r="F2544" s="14"/>
      <c r="G2544" s="8" t="str">
        <f>IF(OR(B2544="",E2544=""),"",IF(E2544="No","Missed",IF(F2544="","",IF(F2544&lt;=Settings!$B$7,"On time","Late"))))</f>
        <v/>
      </c>
      <c r="H2544" s="15"/>
      <c r="I2544" s="16"/>
      <c r="J2544" s="16"/>
      <c r="K2544" s="17" t="str">
        <f>IF(J2544="","",ROUND(J2544*Settings!$B$8,2))</f>
        <v/>
      </c>
      <c r="L2544" s="16"/>
      <c r="M2544" s="8" t="str">
        <f t="shared" si="39"/>
        <v/>
      </c>
      <c r="N2544" s="9"/>
    </row>
    <row r="2545" spans="1:14" ht="15.75">
      <c r="A2545" s="11"/>
      <c r="B2545" s="9"/>
      <c r="C2545" s="12" t="str">
        <f>IF(B2545="","",IFERROR(INDEX('Cashier Roster'!$C$5:$C$64,MATCH(B2545,'Cashier Roster'!$B$5:$B$64,0)),"Not on roster"))</f>
        <v/>
      </c>
      <c r="D2545" s="12" t="str">
        <f>IF(B2545="","",IFERROR(INDEX('Cashier Roster'!$D$5:$D$64,MATCH(B2545,'Cashier Roster'!$B$5:$B$64,0)),""))</f>
        <v/>
      </c>
      <c r="E2545" s="13"/>
      <c r="F2545" s="14"/>
      <c r="G2545" s="8" t="str">
        <f>IF(OR(B2545="",E2545=""),"",IF(E2545="No","Missed",IF(F2545="","",IF(F2545&lt;=Settings!$B$7,"On time","Late"))))</f>
        <v/>
      </c>
      <c r="H2545" s="15"/>
      <c r="I2545" s="16"/>
      <c r="J2545" s="16"/>
      <c r="K2545" s="17" t="str">
        <f>IF(J2545="","",ROUND(J2545*Settings!$B$8,2))</f>
        <v/>
      </c>
      <c r="L2545" s="16"/>
      <c r="M2545" s="8" t="str">
        <f t="shared" si="39"/>
        <v/>
      </c>
      <c r="N2545" s="9"/>
    </row>
    <row r="2546" spans="1:14" ht="15.75">
      <c r="A2546" s="11"/>
      <c r="B2546" s="9"/>
      <c r="C2546" s="12" t="str">
        <f>IF(B2546="","",IFERROR(INDEX('Cashier Roster'!$C$5:$C$64,MATCH(B2546,'Cashier Roster'!$B$5:$B$64,0)),"Not on roster"))</f>
        <v/>
      </c>
      <c r="D2546" s="12" t="str">
        <f>IF(B2546="","",IFERROR(INDEX('Cashier Roster'!$D$5:$D$64,MATCH(B2546,'Cashier Roster'!$B$5:$B$64,0)),""))</f>
        <v/>
      </c>
      <c r="E2546" s="13"/>
      <c r="F2546" s="14"/>
      <c r="G2546" s="8" t="str">
        <f>IF(OR(B2546="",E2546=""),"",IF(E2546="No","Missed",IF(F2546="","",IF(F2546&lt;=Settings!$B$7,"On time","Late"))))</f>
        <v/>
      </c>
      <c r="H2546" s="15"/>
      <c r="I2546" s="16"/>
      <c r="J2546" s="16"/>
      <c r="K2546" s="17" t="str">
        <f>IF(J2546="","",ROUND(J2546*Settings!$B$8,2))</f>
        <v/>
      </c>
      <c r="L2546" s="16"/>
      <c r="M2546" s="8" t="str">
        <f t="shared" si="39"/>
        <v/>
      </c>
      <c r="N2546" s="9"/>
    </row>
    <row r="2547" spans="1:14" ht="15.75">
      <c r="A2547" s="11"/>
      <c r="B2547" s="9"/>
      <c r="C2547" s="12" t="str">
        <f>IF(B2547="","",IFERROR(INDEX('Cashier Roster'!$C$5:$C$64,MATCH(B2547,'Cashier Roster'!$B$5:$B$64,0)),"Not on roster"))</f>
        <v/>
      </c>
      <c r="D2547" s="12" t="str">
        <f>IF(B2547="","",IFERROR(INDEX('Cashier Roster'!$D$5:$D$64,MATCH(B2547,'Cashier Roster'!$B$5:$B$64,0)),""))</f>
        <v/>
      </c>
      <c r="E2547" s="13"/>
      <c r="F2547" s="14"/>
      <c r="G2547" s="8" t="str">
        <f>IF(OR(B2547="",E2547=""),"",IF(E2547="No","Missed",IF(F2547="","",IF(F2547&lt;=Settings!$B$7,"On time","Late"))))</f>
        <v/>
      </c>
      <c r="H2547" s="15"/>
      <c r="I2547" s="16"/>
      <c r="J2547" s="16"/>
      <c r="K2547" s="17" t="str">
        <f>IF(J2547="","",ROUND(J2547*Settings!$B$8,2))</f>
        <v/>
      </c>
      <c r="L2547" s="16"/>
      <c r="M2547" s="8" t="str">
        <f t="shared" si="39"/>
        <v/>
      </c>
      <c r="N2547" s="9"/>
    </row>
    <row r="2548" spans="1:14" ht="15.75">
      <c r="A2548" s="11"/>
      <c r="B2548" s="9"/>
      <c r="C2548" s="12" t="str">
        <f>IF(B2548="","",IFERROR(INDEX('Cashier Roster'!$C$5:$C$64,MATCH(B2548,'Cashier Roster'!$B$5:$B$64,0)),"Not on roster"))</f>
        <v/>
      </c>
      <c r="D2548" s="12" t="str">
        <f>IF(B2548="","",IFERROR(INDEX('Cashier Roster'!$D$5:$D$64,MATCH(B2548,'Cashier Roster'!$B$5:$B$64,0)),""))</f>
        <v/>
      </c>
      <c r="E2548" s="13"/>
      <c r="F2548" s="14"/>
      <c r="G2548" s="8" t="str">
        <f>IF(OR(B2548="",E2548=""),"",IF(E2548="No","Missed",IF(F2548="","",IF(F2548&lt;=Settings!$B$7,"On time","Late"))))</f>
        <v/>
      </c>
      <c r="H2548" s="15"/>
      <c r="I2548" s="16"/>
      <c r="J2548" s="16"/>
      <c r="K2548" s="17" t="str">
        <f>IF(J2548="","",ROUND(J2548*Settings!$B$8,2))</f>
        <v/>
      </c>
      <c r="L2548" s="16"/>
      <c r="M2548" s="8" t="str">
        <f t="shared" si="39"/>
        <v/>
      </c>
      <c r="N2548" s="9"/>
    </row>
    <row r="2549" spans="1:14" ht="15.75">
      <c r="A2549" s="11"/>
      <c r="B2549" s="9"/>
      <c r="C2549" s="12" t="str">
        <f>IF(B2549="","",IFERROR(INDEX('Cashier Roster'!$C$5:$C$64,MATCH(B2549,'Cashier Roster'!$B$5:$B$64,0)),"Not on roster"))</f>
        <v/>
      </c>
      <c r="D2549" s="12" t="str">
        <f>IF(B2549="","",IFERROR(INDEX('Cashier Roster'!$D$5:$D$64,MATCH(B2549,'Cashier Roster'!$B$5:$B$64,0)),""))</f>
        <v/>
      </c>
      <c r="E2549" s="13"/>
      <c r="F2549" s="14"/>
      <c r="G2549" s="8" t="str">
        <f>IF(OR(B2549="",E2549=""),"",IF(E2549="No","Missed",IF(F2549="","",IF(F2549&lt;=Settings!$B$7,"On time","Late"))))</f>
        <v/>
      </c>
      <c r="H2549" s="15"/>
      <c r="I2549" s="16"/>
      <c r="J2549" s="16"/>
      <c r="K2549" s="17" t="str">
        <f>IF(J2549="","",ROUND(J2549*Settings!$B$8,2))</f>
        <v/>
      </c>
      <c r="L2549" s="16"/>
      <c r="M2549" s="8" t="str">
        <f t="shared" si="39"/>
        <v/>
      </c>
      <c r="N2549" s="9"/>
    </row>
    <row r="2550" spans="1:14" ht="15.75">
      <c r="A2550" s="11"/>
      <c r="B2550" s="9"/>
      <c r="C2550" s="12" t="str">
        <f>IF(B2550="","",IFERROR(INDEX('Cashier Roster'!$C$5:$C$64,MATCH(B2550,'Cashier Roster'!$B$5:$B$64,0)),"Not on roster"))</f>
        <v/>
      </c>
      <c r="D2550" s="12" t="str">
        <f>IF(B2550="","",IFERROR(INDEX('Cashier Roster'!$D$5:$D$64,MATCH(B2550,'Cashier Roster'!$B$5:$B$64,0)),""))</f>
        <v/>
      </c>
      <c r="E2550" s="13"/>
      <c r="F2550" s="14"/>
      <c r="G2550" s="8" t="str">
        <f>IF(OR(B2550="",E2550=""),"",IF(E2550="No","Missed",IF(F2550="","",IF(F2550&lt;=Settings!$B$7,"On time","Late"))))</f>
        <v/>
      </c>
      <c r="H2550" s="15"/>
      <c r="I2550" s="16"/>
      <c r="J2550" s="16"/>
      <c r="K2550" s="17" t="str">
        <f>IF(J2550="","",ROUND(J2550*Settings!$B$8,2))</f>
        <v/>
      </c>
      <c r="L2550" s="16"/>
      <c r="M2550" s="8" t="str">
        <f t="shared" si="39"/>
        <v/>
      </c>
      <c r="N2550" s="9"/>
    </row>
    <row r="2551" spans="1:14" ht="15.75">
      <c r="A2551" s="11"/>
      <c r="B2551" s="9"/>
      <c r="C2551" s="12" t="str">
        <f>IF(B2551="","",IFERROR(INDEX('Cashier Roster'!$C$5:$C$64,MATCH(B2551,'Cashier Roster'!$B$5:$B$64,0)),"Not on roster"))</f>
        <v/>
      </c>
      <c r="D2551" s="12" t="str">
        <f>IF(B2551="","",IFERROR(INDEX('Cashier Roster'!$D$5:$D$64,MATCH(B2551,'Cashier Roster'!$B$5:$B$64,0)),""))</f>
        <v/>
      </c>
      <c r="E2551" s="13"/>
      <c r="F2551" s="14"/>
      <c r="G2551" s="8" t="str">
        <f>IF(OR(B2551="",E2551=""),"",IF(E2551="No","Missed",IF(F2551="","",IF(F2551&lt;=Settings!$B$7,"On time","Late"))))</f>
        <v/>
      </c>
      <c r="H2551" s="15"/>
      <c r="I2551" s="16"/>
      <c r="J2551" s="16"/>
      <c r="K2551" s="17" t="str">
        <f>IF(J2551="","",ROUND(J2551*Settings!$B$8,2))</f>
        <v/>
      </c>
      <c r="L2551" s="16"/>
      <c r="M2551" s="8" t="str">
        <f t="shared" si="39"/>
        <v/>
      </c>
      <c r="N2551" s="9"/>
    </row>
    <row r="2552" spans="1:14" ht="15.75">
      <c r="A2552" s="11"/>
      <c r="B2552" s="9"/>
      <c r="C2552" s="12" t="str">
        <f>IF(B2552="","",IFERROR(INDEX('Cashier Roster'!$C$5:$C$64,MATCH(B2552,'Cashier Roster'!$B$5:$B$64,0)),"Not on roster"))</f>
        <v/>
      </c>
      <c r="D2552" s="12" t="str">
        <f>IF(B2552="","",IFERROR(INDEX('Cashier Roster'!$D$5:$D$64,MATCH(B2552,'Cashier Roster'!$B$5:$B$64,0)),""))</f>
        <v/>
      </c>
      <c r="E2552" s="13"/>
      <c r="F2552" s="14"/>
      <c r="G2552" s="8" t="str">
        <f>IF(OR(B2552="",E2552=""),"",IF(E2552="No","Missed",IF(F2552="","",IF(F2552&lt;=Settings!$B$7,"On time","Late"))))</f>
        <v/>
      </c>
      <c r="H2552" s="15"/>
      <c r="I2552" s="16"/>
      <c r="J2552" s="16"/>
      <c r="K2552" s="17" t="str">
        <f>IF(J2552="","",ROUND(J2552*Settings!$B$8,2))</f>
        <v/>
      </c>
      <c r="L2552" s="16"/>
      <c r="M2552" s="8" t="str">
        <f t="shared" si="39"/>
        <v/>
      </c>
      <c r="N2552" s="9"/>
    </row>
    <row r="2553" spans="1:14" ht="15.75">
      <c r="A2553" s="11"/>
      <c r="B2553" s="9"/>
      <c r="C2553" s="12" t="str">
        <f>IF(B2553="","",IFERROR(INDEX('Cashier Roster'!$C$5:$C$64,MATCH(B2553,'Cashier Roster'!$B$5:$B$64,0)),"Not on roster"))</f>
        <v/>
      </c>
      <c r="D2553" s="12" t="str">
        <f>IF(B2553="","",IFERROR(INDEX('Cashier Roster'!$D$5:$D$64,MATCH(B2553,'Cashier Roster'!$B$5:$B$64,0)),""))</f>
        <v/>
      </c>
      <c r="E2553" s="13"/>
      <c r="F2553" s="14"/>
      <c r="G2553" s="8" t="str">
        <f>IF(OR(B2553="",E2553=""),"",IF(E2553="No","Missed",IF(F2553="","",IF(F2553&lt;=Settings!$B$7,"On time","Late"))))</f>
        <v/>
      </c>
      <c r="H2553" s="15"/>
      <c r="I2553" s="16"/>
      <c r="J2553" s="16"/>
      <c r="K2553" s="17" t="str">
        <f>IF(J2553="","",ROUND(J2553*Settings!$B$8,2))</f>
        <v/>
      </c>
      <c r="L2553" s="16"/>
      <c r="M2553" s="8" t="str">
        <f t="shared" si="39"/>
        <v/>
      </c>
      <c r="N2553" s="9"/>
    </row>
    <row r="2554" spans="1:14" ht="15.75">
      <c r="A2554" s="11"/>
      <c r="B2554" s="9"/>
      <c r="C2554" s="12" t="str">
        <f>IF(B2554="","",IFERROR(INDEX('Cashier Roster'!$C$5:$C$64,MATCH(B2554,'Cashier Roster'!$B$5:$B$64,0)),"Not on roster"))</f>
        <v/>
      </c>
      <c r="D2554" s="12" t="str">
        <f>IF(B2554="","",IFERROR(INDEX('Cashier Roster'!$D$5:$D$64,MATCH(B2554,'Cashier Roster'!$B$5:$B$64,0)),""))</f>
        <v/>
      </c>
      <c r="E2554" s="13"/>
      <c r="F2554" s="14"/>
      <c r="G2554" s="8" t="str">
        <f>IF(OR(B2554="",E2554=""),"",IF(E2554="No","Missed",IF(F2554="","",IF(F2554&lt;=Settings!$B$7,"On time","Late"))))</f>
        <v/>
      </c>
      <c r="H2554" s="15"/>
      <c r="I2554" s="16"/>
      <c r="J2554" s="16"/>
      <c r="K2554" s="17" t="str">
        <f>IF(J2554="","",ROUND(J2554*Settings!$B$8,2))</f>
        <v/>
      </c>
      <c r="L2554" s="16"/>
      <c r="M2554" s="8" t="str">
        <f t="shared" si="39"/>
        <v/>
      </c>
      <c r="N2554" s="9"/>
    </row>
    <row r="2555" spans="1:14" ht="15.75">
      <c r="A2555" s="11"/>
      <c r="B2555" s="9"/>
      <c r="C2555" s="12" t="str">
        <f>IF(B2555="","",IFERROR(INDEX('Cashier Roster'!$C$5:$C$64,MATCH(B2555,'Cashier Roster'!$B$5:$B$64,0)),"Not on roster"))</f>
        <v/>
      </c>
      <c r="D2555" s="12" t="str">
        <f>IF(B2555="","",IFERROR(INDEX('Cashier Roster'!$D$5:$D$64,MATCH(B2555,'Cashier Roster'!$B$5:$B$64,0)),""))</f>
        <v/>
      </c>
      <c r="E2555" s="13"/>
      <c r="F2555" s="14"/>
      <c r="G2555" s="8" t="str">
        <f>IF(OR(B2555="",E2555=""),"",IF(E2555="No","Missed",IF(F2555="","",IF(F2555&lt;=Settings!$B$7,"On time","Late"))))</f>
        <v/>
      </c>
      <c r="H2555" s="15"/>
      <c r="I2555" s="16"/>
      <c r="J2555" s="16"/>
      <c r="K2555" s="17" t="str">
        <f>IF(J2555="","",ROUND(J2555*Settings!$B$8,2))</f>
        <v/>
      </c>
      <c r="L2555" s="16"/>
      <c r="M2555" s="8" t="str">
        <f t="shared" si="39"/>
        <v/>
      </c>
      <c r="N2555" s="9"/>
    </row>
    <row r="2556" spans="1:14" ht="15.75">
      <c r="A2556" s="11"/>
      <c r="B2556" s="9"/>
      <c r="C2556" s="12" t="str">
        <f>IF(B2556="","",IFERROR(INDEX('Cashier Roster'!$C$5:$C$64,MATCH(B2556,'Cashier Roster'!$B$5:$B$64,0)),"Not on roster"))</f>
        <v/>
      </c>
      <c r="D2556" s="12" t="str">
        <f>IF(B2556="","",IFERROR(INDEX('Cashier Roster'!$D$5:$D$64,MATCH(B2556,'Cashier Roster'!$B$5:$B$64,0)),""))</f>
        <v/>
      </c>
      <c r="E2556" s="13"/>
      <c r="F2556" s="14"/>
      <c r="G2556" s="8" t="str">
        <f>IF(OR(B2556="",E2556=""),"",IF(E2556="No","Missed",IF(F2556="","",IF(F2556&lt;=Settings!$B$7,"On time","Late"))))</f>
        <v/>
      </c>
      <c r="H2556" s="15"/>
      <c r="I2556" s="16"/>
      <c r="J2556" s="16"/>
      <c r="K2556" s="17" t="str">
        <f>IF(J2556="","",ROUND(J2556*Settings!$B$8,2))</f>
        <v/>
      </c>
      <c r="L2556" s="16"/>
      <c r="M2556" s="8" t="str">
        <f t="shared" si="39"/>
        <v/>
      </c>
      <c r="N2556" s="9"/>
    </row>
    <row r="2557" spans="1:14" ht="15.75">
      <c r="A2557" s="11"/>
      <c r="B2557" s="9"/>
      <c r="C2557" s="12" t="str">
        <f>IF(B2557="","",IFERROR(INDEX('Cashier Roster'!$C$5:$C$64,MATCH(B2557,'Cashier Roster'!$B$5:$B$64,0)),"Not on roster"))</f>
        <v/>
      </c>
      <c r="D2557" s="12" t="str">
        <f>IF(B2557="","",IFERROR(INDEX('Cashier Roster'!$D$5:$D$64,MATCH(B2557,'Cashier Roster'!$B$5:$B$64,0)),""))</f>
        <v/>
      </c>
      <c r="E2557" s="13"/>
      <c r="F2557" s="14"/>
      <c r="G2557" s="8" t="str">
        <f>IF(OR(B2557="",E2557=""),"",IF(E2557="No","Missed",IF(F2557="","",IF(F2557&lt;=Settings!$B$7,"On time","Late"))))</f>
        <v/>
      </c>
      <c r="H2557" s="15"/>
      <c r="I2557" s="16"/>
      <c r="J2557" s="16"/>
      <c r="K2557" s="17" t="str">
        <f>IF(J2557="","",ROUND(J2557*Settings!$B$8,2))</f>
        <v/>
      </c>
      <c r="L2557" s="16"/>
      <c r="M2557" s="8" t="str">
        <f t="shared" si="39"/>
        <v/>
      </c>
      <c r="N2557" s="9"/>
    </row>
    <row r="2558" spans="1:14" ht="15.75">
      <c r="A2558" s="11"/>
      <c r="B2558" s="9"/>
      <c r="C2558" s="12" t="str">
        <f>IF(B2558="","",IFERROR(INDEX('Cashier Roster'!$C$5:$C$64,MATCH(B2558,'Cashier Roster'!$B$5:$B$64,0)),"Not on roster"))</f>
        <v/>
      </c>
      <c r="D2558" s="12" t="str">
        <f>IF(B2558="","",IFERROR(INDEX('Cashier Roster'!$D$5:$D$64,MATCH(B2558,'Cashier Roster'!$B$5:$B$64,0)),""))</f>
        <v/>
      </c>
      <c r="E2558" s="13"/>
      <c r="F2558" s="14"/>
      <c r="G2558" s="8" t="str">
        <f>IF(OR(B2558="",E2558=""),"",IF(E2558="No","Missed",IF(F2558="","",IF(F2558&lt;=Settings!$B$7,"On time","Late"))))</f>
        <v/>
      </c>
      <c r="H2558" s="15"/>
      <c r="I2558" s="16"/>
      <c r="J2558" s="16"/>
      <c r="K2558" s="17" t="str">
        <f>IF(J2558="","",ROUND(J2558*Settings!$B$8,2))</f>
        <v/>
      </c>
      <c r="L2558" s="16"/>
      <c r="M2558" s="8" t="str">
        <f t="shared" si="39"/>
        <v/>
      </c>
      <c r="N2558" s="9"/>
    </row>
    <row r="2559" spans="1:14" ht="15.75">
      <c r="A2559" s="11"/>
      <c r="B2559" s="9"/>
      <c r="C2559" s="12" t="str">
        <f>IF(B2559="","",IFERROR(INDEX('Cashier Roster'!$C$5:$C$64,MATCH(B2559,'Cashier Roster'!$B$5:$B$64,0)),"Not on roster"))</f>
        <v/>
      </c>
      <c r="D2559" s="12" t="str">
        <f>IF(B2559="","",IFERROR(INDEX('Cashier Roster'!$D$5:$D$64,MATCH(B2559,'Cashier Roster'!$B$5:$B$64,0)),""))</f>
        <v/>
      </c>
      <c r="E2559" s="13"/>
      <c r="F2559" s="14"/>
      <c r="G2559" s="8" t="str">
        <f>IF(OR(B2559="",E2559=""),"",IF(E2559="No","Missed",IF(F2559="","",IF(F2559&lt;=Settings!$B$7,"On time","Late"))))</f>
        <v/>
      </c>
      <c r="H2559" s="15"/>
      <c r="I2559" s="16"/>
      <c r="J2559" s="16"/>
      <c r="K2559" s="17" t="str">
        <f>IF(J2559="","",ROUND(J2559*Settings!$B$8,2))</f>
        <v/>
      </c>
      <c r="L2559" s="16"/>
      <c r="M2559" s="8" t="str">
        <f t="shared" si="39"/>
        <v/>
      </c>
      <c r="N2559" s="9"/>
    </row>
    <row r="2560" spans="1:14" ht="15.75">
      <c r="A2560" s="11"/>
      <c r="B2560" s="9"/>
      <c r="C2560" s="12" t="str">
        <f>IF(B2560="","",IFERROR(INDEX('Cashier Roster'!$C$5:$C$64,MATCH(B2560,'Cashier Roster'!$B$5:$B$64,0)),"Not on roster"))</f>
        <v/>
      </c>
      <c r="D2560" s="12" t="str">
        <f>IF(B2560="","",IFERROR(INDEX('Cashier Roster'!$D$5:$D$64,MATCH(B2560,'Cashier Roster'!$B$5:$B$64,0)),""))</f>
        <v/>
      </c>
      <c r="E2560" s="13"/>
      <c r="F2560" s="14"/>
      <c r="G2560" s="8" t="str">
        <f>IF(OR(B2560="",E2560=""),"",IF(E2560="No","Missed",IF(F2560="","",IF(F2560&lt;=Settings!$B$7,"On time","Late"))))</f>
        <v/>
      </c>
      <c r="H2560" s="15"/>
      <c r="I2560" s="16"/>
      <c r="J2560" s="16"/>
      <c r="K2560" s="17" t="str">
        <f>IF(J2560="","",ROUND(J2560*Settings!$B$8,2))</f>
        <v/>
      </c>
      <c r="L2560" s="16"/>
      <c r="M2560" s="8" t="str">
        <f t="shared" si="39"/>
        <v/>
      </c>
      <c r="N2560" s="9"/>
    </row>
    <row r="2561" spans="1:14" ht="15.75">
      <c r="A2561" s="11"/>
      <c r="B2561" s="9"/>
      <c r="C2561" s="12" t="str">
        <f>IF(B2561="","",IFERROR(INDEX('Cashier Roster'!$C$5:$C$64,MATCH(B2561,'Cashier Roster'!$B$5:$B$64,0)),"Not on roster"))</f>
        <v/>
      </c>
      <c r="D2561" s="12" t="str">
        <f>IF(B2561="","",IFERROR(INDEX('Cashier Roster'!$D$5:$D$64,MATCH(B2561,'Cashier Roster'!$B$5:$B$64,0)),""))</f>
        <v/>
      </c>
      <c r="E2561" s="13"/>
      <c r="F2561" s="14"/>
      <c r="G2561" s="8" t="str">
        <f>IF(OR(B2561="",E2561=""),"",IF(E2561="No","Missed",IF(F2561="","",IF(F2561&lt;=Settings!$B$7,"On time","Late"))))</f>
        <v/>
      </c>
      <c r="H2561" s="15"/>
      <c r="I2561" s="16"/>
      <c r="J2561" s="16"/>
      <c r="K2561" s="17" t="str">
        <f>IF(J2561="","",ROUND(J2561*Settings!$B$8,2))</f>
        <v/>
      </c>
      <c r="L2561" s="16"/>
      <c r="M2561" s="8" t="str">
        <f t="shared" si="39"/>
        <v/>
      </c>
      <c r="N2561" s="9"/>
    </row>
    <row r="2562" spans="1:14" ht="15.75">
      <c r="A2562" s="11"/>
      <c r="B2562" s="9"/>
      <c r="C2562" s="12" t="str">
        <f>IF(B2562="","",IFERROR(INDEX('Cashier Roster'!$C$5:$C$64,MATCH(B2562,'Cashier Roster'!$B$5:$B$64,0)),"Not on roster"))</f>
        <v/>
      </c>
      <c r="D2562" s="12" t="str">
        <f>IF(B2562="","",IFERROR(INDEX('Cashier Roster'!$D$5:$D$64,MATCH(B2562,'Cashier Roster'!$B$5:$B$64,0)),""))</f>
        <v/>
      </c>
      <c r="E2562" s="13"/>
      <c r="F2562" s="14"/>
      <c r="G2562" s="8" t="str">
        <f>IF(OR(B2562="",E2562=""),"",IF(E2562="No","Missed",IF(F2562="","",IF(F2562&lt;=Settings!$B$7,"On time","Late"))))</f>
        <v/>
      </c>
      <c r="H2562" s="15"/>
      <c r="I2562" s="16"/>
      <c r="J2562" s="16"/>
      <c r="K2562" s="17" t="str">
        <f>IF(J2562="","",ROUND(J2562*Settings!$B$8,2))</f>
        <v/>
      </c>
      <c r="L2562" s="16"/>
      <c r="M2562" s="8" t="str">
        <f t="shared" si="39"/>
        <v/>
      </c>
      <c r="N2562" s="9"/>
    </row>
    <row r="2563" spans="1:14" ht="15.75">
      <c r="A2563" s="11"/>
      <c r="B2563" s="9"/>
      <c r="C2563" s="12" t="str">
        <f>IF(B2563="","",IFERROR(INDEX('Cashier Roster'!$C$5:$C$64,MATCH(B2563,'Cashier Roster'!$B$5:$B$64,0)),"Not on roster"))</f>
        <v/>
      </c>
      <c r="D2563" s="12" t="str">
        <f>IF(B2563="","",IFERROR(INDEX('Cashier Roster'!$D$5:$D$64,MATCH(B2563,'Cashier Roster'!$B$5:$B$64,0)),""))</f>
        <v/>
      </c>
      <c r="E2563" s="13"/>
      <c r="F2563" s="14"/>
      <c r="G2563" s="8" t="str">
        <f>IF(OR(B2563="",E2563=""),"",IF(E2563="No","Missed",IF(F2563="","",IF(F2563&lt;=Settings!$B$7,"On time","Late"))))</f>
        <v/>
      </c>
      <c r="H2563" s="15"/>
      <c r="I2563" s="16"/>
      <c r="J2563" s="16"/>
      <c r="K2563" s="17" t="str">
        <f>IF(J2563="","",ROUND(J2563*Settings!$B$8,2))</f>
        <v/>
      </c>
      <c r="L2563" s="16"/>
      <c r="M2563" s="8" t="str">
        <f t="shared" si="39"/>
        <v/>
      </c>
      <c r="N2563" s="9"/>
    </row>
    <row r="2564" spans="1:14" ht="15.75">
      <c r="A2564" s="11"/>
      <c r="B2564" s="9"/>
      <c r="C2564" s="12" t="str">
        <f>IF(B2564="","",IFERROR(INDEX('Cashier Roster'!$C$5:$C$64,MATCH(B2564,'Cashier Roster'!$B$5:$B$64,0)),"Not on roster"))</f>
        <v/>
      </c>
      <c r="D2564" s="12" t="str">
        <f>IF(B2564="","",IFERROR(INDEX('Cashier Roster'!$D$5:$D$64,MATCH(B2564,'Cashier Roster'!$B$5:$B$64,0)),""))</f>
        <v/>
      </c>
      <c r="E2564" s="13"/>
      <c r="F2564" s="14"/>
      <c r="G2564" s="8" t="str">
        <f>IF(OR(B2564="",E2564=""),"",IF(E2564="No","Missed",IF(F2564="","",IF(F2564&lt;=Settings!$B$7,"On time","Late"))))</f>
        <v/>
      </c>
      <c r="H2564" s="15"/>
      <c r="I2564" s="16"/>
      <c r="J2564" s="16"/>
      <c r="K2564" s="17" t="str">
        <f>IF(J2564="","",ROUND(J2564*Settings!$B$8,2))</f>
        <v/>
      </c>
      <c r="L2564" s="16"/>
      <c r="M2564" s="8" t="str">
        <f t="shared" si="39"/>
        <v/>
      </c>
      <c r="N2564" s="9"/>
    </row>
    <row r="2565" spans="1:14" ht="15.75">
      <c r="A2565" s="11"/>
      <c r="B2565" s="9"/>
      <c r="C2565" s="12" t="str">
        <f>IF(B2565="","",IFERROR(INDEX('Cashier Roster'!$C$5:$C$64,MATCH(B2565,'Cashier Roster'!$B$5:$B$64,0)),"Not on roster"))</f>
        <v/>
      </c>
      <c r="D2565" s="12" t="str">
        <f>IF(B2565="","",IFERROR(INDEX('Cashier Roster'!$D$5:$D$64,MATCH(B2565,'Cashier Roster'!$B$5:$B$64,0)),""))</f>
        <v/>
      </c>
      <c r="E2565" s="13"/>
      <c r="F2565" s="14"/>
      <c r="G2565" s="8" t="str">
        <f>IF(OR(B2565="",E2565=""),"",IF(E2565="No","Missed",IF(F2565="","",IF(F2565&lt;=Settings!$B$7,"On time","Late"))))</f>
        <v/>
      </c>
      <c r="H2565" s="15"/>
      <c r="I2565" s="16"/>
      <c r="J2565" s="16"/>
      <c r="K2565" s="17" t="str">
        <f>IF(J2565="","",ROUND(J2565*Settings!$B$8,2))</f>
        <v/>
      </c>
      <c r="L2565" s="16"/>
      <c r="M2565" s="8" t="str">
        <f t="shared" ref="M2565:M2628" si="40">IF(L2565="","",IF(L2565&lt;=0,"Yes","No"))</f>
        <v/>
      </c>
      <c r="N2565" s="9"/>
    </row>
    <row r="2566" spans="1:14" ht="15.75">
      <c r="A2566" s="11"/>
      <c r="B2566" s="9"/>
      <c r="C2566" s="12" t="str">
        <f>IF(B2566="","",IFERROR(INDEX('Cashier Roster'!$C$5:$C$64,MATCH(B2566,'Cashier Roster'!$B$5:$B$64,0)),"Not on roster"))</f>
        <v/>
      </c>
      <c r="D2566" s="12" t="str">
        <f>IF(B2566="","",IFERROR(INDEX('Cashier Roster'!$D$5:$D$64,MATCH(B2566,'Cashier Roster'!$B$5:$B$64,0)),""))</f>
        <v/>
      </c>
      <c r="E2566" s="13"/>
      <c r="F2566" s="14"/>
      <c r="G2566" s="8" t="str">
        <f>IF(OR(B2566="",E2566=""),"",IF(E2566="No","Missed",IF(F2566="","",IF(F2566&lt;=Settings!$B$7,"On time","Late"))))</f>
        <v/>
      </c>
      <c r="H2566" s="15"/>
      <c r="I2566" s="16"/>
      <c r="J2566" s="16"/>
      <c r="K2566" s="17" t="str">
        <f>IF(J2566="","",ROUND(J2566*Settings!$B$8,2))</f>
        <v/>
      </c>
      <c r="L2566" s="16"/>
      <c r="M2566" s="8" t="str">
        <f t="shared" si="40"/>
        <v/>
      </c>
      <c r="N2566" s="9"/>
    </row>
    <row r="2567" spans="1:14" ht="15.75">
      <c r="A2567" s="11"/>
      <c r="B2567" s="9"/>
      <c r="C2567" s="12" t="str">
        <f>IF(B2567="","",IFERROR(INDEX('Cashier Roster'!$C$5:$C$64,MATCH(B2567,'Cashier Roster'!$B$5:$B$64,0)),"Not on roster"))</f>
        <v/>
      </c>
      <c r="D2567" s="12" t="str">
        <f>IF(B2567="","",IFERROR(INDEX('Cashier Roster'!$D$5:$D$64,MATCH(B2567,'Cashier Roster'!$B$5:$B$64,0)),""))</f>
        <v/>
      </c>
      <c r="E2567" s="13"/>
      <c r="F2567" s="14"/>
      <c r="G2567" s="8" t="str">
        <f>IF(OR(B2567="",E2567=""),"",IF(E2567="No","Missed",IF(F2567="","",IF(F2567&lt;=Settings!$B$7,"On time","Late"))))</f>
        <v/>
      </c>
      <c r="H2567" s="15"/>
      <c r="I2567" s="16"/>
      <c r="J2567" s="16"/>
      <c r="K2567" s="17" t="str">
        <f>IF(J2567="","",ROUND(J2567*Settings!$B$8,2))</f>
        <v/>
      </c>
      <c r="L2567" s="16"/>
      <c r="M2567" s="8" t="str">
        <f t="shared" si="40"/>
        <v/>
      </c>
      <c r="N2567" s="9"/>
    </row>
    <row r="2568" spans="1:14" ht="15.75">
      <c r="A2568" s="11"/>
      <c r="B2568" s="9"/>
      <c r="C2568" s="12" t="str">
        <f>IF(B2568="","",IFERROR(INDEX('Cashier Roster'!$C$5:$C$64,MATCH(B2568,'Cashier Roster'!$B$5:$B$64,0)),"Not on roster"))</f>
        <v/>
      </c>
      <c r="D2568" s="12" t="str">
        <f>IF(B2568="","",IFERROR(INDEX('Cashier Roster'!$D$5:$D$64,MATCH(B2568,'Cashier Roster'!$B$5:$B$64,0)),""))</f>
        <v/>
      </c>
      <c r="E2568" s="13"/>
      <c r="F2568" s="14"/>
      <c r="G2568" s="8" t="str">
        <f>IF(OR(B2568="",E2568=""),"",IF(E2568="No","Missed",IF(F2568="","",IF(F2568&lt;=Settings!$B$7,"On time","Late"))))</f>
        <v/>
      </c>
      <c r="H2568" s="15"/>
      <c r="I2568" s="16"/>
      <c r="J2568" s="16"/>
      <c r="K2568" s="17" t="str">
        <f>IF(J2568="","",ROUND(J2568*Settings!$B$8,2))</f>
        <v/>
      </c>
      <c r="L2568" s="16"/>
      <c r="M2568" s="8" t="str">
        <f t="shared" si="40"/>
        <v/>
      </c>
      <c r="N2568" s="9"/>
    </row>
    <row r="2569" spans="1:14" ht="15.75">
      <c r="A2569" s="11"/>
      <c r="B2569" s="9"/>
      <c r="C2569" s="12" t="str">
        <f>IF(B2569="","",IFERROR(INDEX('Cashier Roster'!$C$5:$C$64,MATCH(B2569,'Cashier Roster'!$B$5:$B$64,0)),"Not on roster"))</f>
        <v/>
      </c>
      <c r="D2569" s="12" t="str">
        <f>IF(B2569="","",IFERROR(INDEX('Cashier Roster'!$D$5:$D$64,MATCH(B2569,'Cashier Roster'!$B$5:$B$64,0)),""))</f>
        <v/>
      </c>
      <c r="E2569" s="13"/>
      <c r="F2569" s="14"/>
      <c r="G2569" s="8" t="str">
        <f>IF(OR(B2569="",E2569=""),"",IF(E2569="No","Missed",IF(F2569="","",IF(F2569&lt;=Settings!$B$7,"On time","Late"))))</f>
        <v/>
      </c>
      <c r="H2569" s="15"/>
      <c r="I2569" s="16"/>
      <c r="J2569" s="16"/>
      <c r="K2569" s="17" t="str">
        <f>IF(J2569="","",ROUND(J2569*Settings!$B$8,2))</f>
        <v/>
      </c>
      <c r="L2569" s="16"/>
      <c r="M2569" s="8" t="str">
        <f t="shared" si="40"/>
        <v/>
      </c>
      <c r="N2569" s="9"/>
    </row>
    <row r="2570" spans="1:14" ht="15.75">
      <c r="A2570" s="11"/>
      <c r="B2570" s="9"/>
      <c r="C2570" s="12" t="str">
        <f>IF(B2570="","",IFERROR(INDEX('Cashier Roster'!$C$5:$C$64,MATCH(B2570,'Cashier Roster'!$B$5:$B$64,0)),"Not on roster"))</f>
        <v/>
      </c>
      <c r="D2570" s="12" t="str">
        <f>IF(B2570="","",IFERROR(INDEX('Cashier Roster'!$D$5:$D$64,MATCH(B2570,'Cashier Roster'!$B$5:$B$64,0)),""))</f>
        <v/>
      </c>
      <c r="E2570" s="13"/>
      <c r="F2570" s="14"/>
      <c r="G2570" s="8" t="str">
        <f>IF(OR(B2570="",E2570=""),"",IF(E2570="No","Missed",IF(F2570="","",IF(F2570&lt;=Settings!$B$7,"On time","Late"))))</f>
        <v/>
      </c>
      <c r="H2570" s="15"/>
      <c r="I2570" s="16"/>
      <c r="J2570" s="16"/>
      <c r="K2570" s="17" t="str">
        <f>IF(J2570="","",ROUND(J2570*Settings!$B$8,2))</f>
        <v/>
      </c>
      <c r="L2570" s="16"/>
      <c r="M2570" s="8" t="str">
        <f t="shared" si="40"/>
        <v/>
      </c>
      <c r="N2570" s="9"/>
    </row>
    <row r="2571" spans="1:14" ht="15.75">
      <c r="A2571" s="11"/>
      <c r="B2571" s="9"/>
      <c r="C2571" s="12" t="str">
        <f>IF(B2571="","",IFERROR(INDEX('Cashier Roster'!$C$5:$C$64,MATCH(B2571,'Cashier Roster'!$B$5:$B$64,0)),"Not on roster"))</f>
        <v/>
      </c>
      <c r="D2571" s="12" t="str">
        <f>IF(B2571="","",IFERROR(INDEX('Cashier Roster'!$D$5:$D$64,MATCH(B2571,'Cashier Roster'!$B$5:$B$64,0)),""))</f>
        <v/>
      </c>
      <c r="E2571" s="13"/>
      <c r="F2571" s="14"/>
      <c r="G2571" s="8" t="str">
        <f>IF(OR(B2571="",E2571=""),"",IF(E2571="No","Missed",IF(F2571="","",IF(F2571&lt;=Settings!$B$7,"On time","Late"))))</f>
        <v/>
      </c>
      <c r="H2571" s="15"/>
      <c r="I2571" s="16"/>
      <c r="J2571" s="16"/>
      <c r="K2571" s="17" t="str">
        <f>IF(J2571="","",ROUND(J2571*Settings!$B$8,2))</f>
        <v/>
      </c>
      <c r="L2571" s="16"/>
      <c r="M2571" s="8" t="str">
        <f t="shared" si="40"/>
        <v/>
      </c>
      <c r="N2571" s="9"/>
    </row>
    <row r="2572" spans="1:14" ht="15.75">
      <c r="A2572" s="11"/>
      <c r="B2572" s="9"/>
      <c r="C2572" s="12" t="str">
        <f>IF(B2572="","",IFERROR(INDEX('Cashier Roster'!$C$5:$C$64,MATCH(B2572,'Cashier Roster'!$B$5:$B$64,0)),"Not on roster"))</f>
        <v/>
      </c>
      <c r="D2572" s="12" t="str">
        <f>IF(B2572="","",IFERROR(INDEX('Cashier Roster'!$D$5:$D$64,MATCH(B2572,'Cashier Roster'!$B$5:$B$64,0)),""))</f>
        <v/>
      </c>
      <c r="E2572" s="13"/>
      <c r="F2572" s="14"/>
      <c r="G2572" s="8" t="str">
        <f>IF(OR(B2572="",E2572=""),"",IF(E2572="No","Missed",IF(F2572="","",IF(F2572&lt;=Settings!$B$7,"On time","Late"))))</f>
        <v/>
      </c>
      <c r="H2572" s="15"/>
      <c r="I2572" s="16"/>
      <c r="J2572" s="16"/>
      <c r="K2572" s="17" t="str">
        <f>IF(J2572="","",ROUND(J2572*Settings!$B$8,2))</f>
        <v/>
      </c>
      <c r="L2572" s="16"/>
      <c r="M2572" s="8" t="str">
        <f t="shared" si="40"/>
        <v/>
      </c>
      <c r="N2572" s="9"/>
    </row>
    <row r="2573" spans="1:14" ht="15.75">
      <c r="A2573" s="11"/>
      <c r="B2573" s="9"/>
      <c r="C2573" s="12" t="str">
        <f>IF(B2573="","",IFERROR(INDEX('Cashier Roster'!$C$5:$C$64,MATCH(B2573,'Cashier Roster'!$B$5:$B$64,0)),"Not on roster"))</f>
        <v/>
      </c>
      <c r="D2573" s="12" t="str">
        <f>IF(B2573="","",IFERROR(INDEX('Cashier Roster'!$D$5:$D$64,MATCH(B2573,'Cashier Roster'!$B$5:$B$64,0)),""))</f>
        <v/>
      </c>
      <c r="E2573" s="13"/>
      <c r="F2573" s="14"/>
      <c r="G2573" s="8" t="str">
        <f>IF(OR(B2573="",E2573=""),"",IF(E2573="No","Missed",IF(F2573="","",IF(F2573&lt;=Settings!$B$7,"On time","Late"))))</f>
        <v/>
      </c>
      <c r="H2573" s="15"/>
      <c r="I2573" s="16"/>
      <c r="J2573" s="16"/>
      <c r="K2573" s="17" t="str">
        <f>IF(J2573="","",ROUND(J2573*Settings!$B$8,2))</f>
        <v/>
      </c>
      <c r="L2573" s="16"/>
      <c r="M2573" s="8" t="str">
        <f t="shared" si="40"/>
        <v/>
      </c>
      <c r="N2573" s="9"/>
    </row>
    <row r="2574" spans="1:14" ht="15.75">
      <c r="A2574" s="11"/>
      <c r="B2574" s="9"/>
      <c r="C2574" s="12" t="str">
        <f>IF(B2574="","",IFERROR(INDEX('Cashier Roster'!$C$5:$C$64,MATCH(B2574,'Cashier Roster'!$B$5:$B$64,0)),"Not on roster"))</f>
        <v/>
      </c>
      <c r="D2574" s="12" t="str">
        <f>IF(B2574="","",IFERROR(INDEX('Cashier Roster'!$D$5:$D$64,MATCH(B2574,'Cashier Roster'!$B$5:$B$64,0)),""))</f>
        <v/>
      </c>
      <c r="E2574" s="13"/>
      <c r="F2574" s="14"/>
      <c r="G2574" s="8" t="str">
        <f>IF(OR(B2574="",E2574=""),"",IF(E2574="No","Missed",IF(F2574="","",IF(F2574&lt;=Settings!$B$7,"On time","Late"))))</f>
        <v/>
      </c>
      <c r="H2574" s="15"/>
      <c r="I2574" s="16"/>
      <c r="J2574" s="16"/>
      <c r="K2574" s="17" t="str">
        <f>IF(J2574="","",ROUND(J2574*Settings!$B$8,2))</f>
        <v/>
      </c>
      <c r="L2574" s="16"/>
      <c r="M2574" s="8" t="str">
        <f t="shared" si="40"/>
        <v/>
      </c>
      <c r="N2574" s="9"/>
    </row>
    <row r="2575" spans="1:14" ht="15.75">
      <c r="A2575" s="11"/>
      <c r="B2575" s="9"/>
      <c r="C2575" s="12" t="str">
        <f>IF(B2575="","",IFERROR(INDEX('Cashier Roster'!$C$5:$C$64,MATCH(B2575,'Cashier Roster'!$B$5:$B$64,0)),"Not on roster"))</f>
        <v/>
      </c>
      <c r="D2575" s="12" t="str">
        <f>IF(B2575="","",IFERROR(INDEX('Cashier Roster'!$D$5:$D$64,MATCH(B2575,'Cashier Roster'!$B$5:$B$64,0)),""))</f>
        <v/>
      </c>
      <c r="E2575" s="13"/>
      <c r="F2575" s="14"/>
      <c r="G2575" s="8" t="str">
        <f>IF(OR(B2575="",E2575=""),"",IF(E2575="No","Missed",IF(F2575="","",IF(F2575&lt;=Settings!$B$7,"On time","Late"))))</f>
        <v/>
      </c>
      <c r="H2575" s="15"/>
      <c r="I2575" s="16"/>
      <c r="J2575" s="16"/>
      <c r="K2575" s="17" t="str">
        <f>IF(J2575="","",ROUND(J2575*Settings!$B$8,2))</f>
        <v/>
      </c>
      <c r="L2575" s="16"/>
      <c r="M2575" s="8" t="str">
        <f t="shared" si="40"/>
        <v/>
      </c>
      <c r="N2575" s="9"/>
    </row>
    <row r="2576" spans="1:14" ht="15.75">
      <c r="A2576" s="11"/>
      <c r="B2576" s="9"/>
      <c r="C2576" s="12" t="str">
        <f>IF(B2576="","",IFERROR(INDEX('Cashier Roster'!$C$5:$C$64,MATCH(B2576,'Cashier Roster'!$B$5:$B$64,0)),"Not on roster"))</f>
        <v/>
      </c>
      <c r="D2576" s="12" t="str">
        <f>IF(B2576="","",IFERROR(INDEX('Cashier Roster'!$D$5:$D$64,MATCH(B2576,'Cashier Roster'!$B$5:$B$64,0)),""))</f>
        <v/>
      </c>
      <c r="E2576" s="13"/>
      <c r="F2576" s="14"/>
      <c r="G2576" s="8" t="str">
        <f>IF(OR(B2576="",E2576=""),"",IF(E2576="No","Missed",IF(F2576="","",IF(F2576&lt;=Settings!$B$7,"On time","Late"))))</f>
        <v/>
      </c>
      <c r="H2576" s="15"/>
      <c r="I2576" s="16"/>
      <c r="J2576" s="16"/>
      <c r="K2576" s="17" t="str">
        <f>IF(J2576="","",ROUND(J2576*Settings!$B$8,2))</f>
        <v/>
      </c>
      <c r="L2576" s="16"/>
      <c r="M2576" s="8" t="str">
        <f t="shared" si="40"/>
        <v/>
      </c>
      <c r="N2576" s="9"/>
    </row>
    <row r="2577" spans="1:14" ht="15.75">
      <c r="A2577" s="11"/>
      <c r="B2577" s="9"/>
      <c r="C2577" s="12" t="str">
        <f>IF(B2577="","",IFERROR(INDEX('Cashier Roster'!$C$5:$C$64,MATCH(B2577,'Cashier Roster'!$B$5:$B$64,0)),"Not on roster"))</f>
        <v/>
      </c>
      <c r="D2577" s="12" t="str">
        <f>IF(B2577="","",IFERROR(INDEX('Cashier Roster'!$D$5:$D$64,MATCH(B2577,'Cashier Roster'!$B$5:$B$64,0)),""))</f>
        <v/>
      </c>
      <c r="E2577" s="13"/>
      <c r="F2577" s="14"/>
      <c r="G2577" s="8" t="str">
        <f>IF(OR(B2577="",E2577=""),"",IF(E2577="No","Missed",IF(F2577="","",IF(F2577&lt;=Settings!$B$7,"On time","Late"))))</f>
        <v/>
      </c>
      <c r="H2577" s="15"/>
      <c r="I2577" s="16"/>
      <c r="J2577" s="16"/>
      <c r="K2577" s="17" t="str">
        <f>IF(J2577="","",ROUND(J2577*Settings!$B$8,2))</f>
        <v/>
      </c>
      <c r="L2577" s="16"/>
      <c r="M2577" s="8" t="str">
        <f t="shared" si="40"/>
        <v/>
      </c>
      <c r="N2577" s="9"/>
    </row>
    <row r="2578" spans="1:14" ht="15.75">
      <c r="A2578" s="11"/>
      <c r="B2578" s="9"/>
      <c r="C2578" s="12" t="str">
        <f>IF(B2578="","",IFERROR(INDEX('Cashier Roster'!$C$5:$C$64,MATCH(B2578,'Cashier Roster'!$B$5:$B$64,0)),"Not on roster"))</f>
        <v/>
      </c>
      <c r="D2578" s="12" t="str">
        <f>IF(B2578="","",IFERROR(INDEX('Cashier Roster'!$D$5:$D$64,MATCH(B2578,'Cashier Roster'!$B$5:$B$64,0)),""))</f>
        <v/>
      </c>
      <c r="E2578" s="13"/>
      <c r="F2578" s="14"/>
      <c r="G2578" s="8" t="str">
        <f>IF(OR(B2578="",E2578=""),"",IF(E2578="No","Missed",IF(F2578="","",IF(F2578&lt;=Settings!$B$7,"On time","Late"))))</f>
        <v/>
      </c>
      <c r="H2578" s="15"/>
      <c r="I2578" s="16"/>
      <c r="J2578" s="16"/>
      <c r="K2578" s="17" t="str">
        <f>IF(J2578="","",ROUND(J2578*Settings!$B$8,2))</f>
        <v/>
      </c>
      <c r="L2578" s="16"/>
      <c r="M2578" s="8" t="str">
        <f t="shared" si="40"/>
        <v/>
      </c>
      <c r="N2578" s="9"/>
    </row>
    <row r="2579" spans="1:14" ht="15.75">
      <c r="A2579" s="11"/>
      <c r="B2579" s="9"/>
      <c r="C2579" s="12" t="str">
        <f>IF(B2579="","",IFERROR(INDEX('Cashier Roster'!$C$5:$C$64,MATCH(B2579,'Cashier Roster'!$B$5:$B$64,0)),"Not on roster"))</f>
        <v/>
      </c>
      <c r="D2579" s="12" t="str">
        <f>IF(B2579="","",IFERROR(INDEX('Cashier Roster'!$D$5:$D$64,MATCH(B2579,'Cashier Roster'!$B$5:$B$64,0)),""))</f>
        <v/>
      </c>
      <c r="E2579" s="13"/>
      <c r="F2579" s="14"/>
      <c r="G2579" s="8" t="str">
        <f>IF(OR(B2579="",E2579=""),"",IF(E2579="No","Missed",IF(F2579="","",IF(F2579&lt;=Settings!$B$7,"On time","Late"))))</f>
        <v/>
      </c>
      <c r="H2579" s="15"/>
      <c r="I2579" s="16"/>
      <c r="J2579" s="16"/>
      <c r="K2579" s="17" t="str">
        <f>IF(J2579="","",ROUND(J2579*Settings!$B$8,2))</f>
        <v/>
      </c>
      <c r="L2579" s="16"/>
      <c r="M2579" s="8" t="str">
        <f t="shared" si="40"/>
        <v/>
      </c>
      <c r="N2579" s="9"/>
    </row>
    <row r="2580" spans="1:14" ht="15.75">
      <c r="A2580" s="11"/>
      <c r="B2580" s="9"/>
      <c r="C2580" s="12" t="str">
        <f>IF(B2580="","",IFERROR(INDEX('Cashier Roster'!$C$5:$C$64,MATCH(B2580,'Cashier Roster'!$B$5:$B$64,0)),"Not on roster"))</f>
        <v/>
      </c>
      <c r="D2580" s="12" t="str">
        <f>IF(B2580="","",IFERROR(INDEX('Cashier Roster'!$D$5:$D$64,MATCH(B2580,'Cashier Roster'!$B$5:$B$64,0)),""))</f>
        <v/>
      </c>
      <c r="E2580" s="13"/>
      <c r="F2580" s="14"/>
      <c r="G2580" s="8" t="str">
        <f>IF(OR(B2580="",E2580=""),"",IF(E2580="No","Missed",IF(F2580="","",IF(F2580&lt;=Settings!$B$7,"On time","Late"))))</f>
        <v/>
      </c>
      <c r="H2580" s="15"/>
      <c r="I2580" s="16"/>
      <c r="J2580" s="16"/>
      <c r="K2580" s="17" t="str">
        <f>IF(J2580="","",ROUND(J2580*Settings!$B$8,2))</f>
        <v/>
      </c>
      <c r="L2580" s="16"/>
      <c r="M2580" s="8" t="str">
        <f t="shared" si="40"/>
        <v/>
      </c>
      <c r="N2580" s="9"/>
    </row>
    <row r="2581" spans="1:14" ht="15.75">
      <c r="A2581" s="11"/>
      <c r="B2581" s="9"/>
      <c r="C2581" s="12" t="str">
        <f>IF(B2581="","",IFERROR(INDEX('Cashier Roster'!$C$5:$C$64,MATCH(B2581,'Cashier Roster'!$B$5:$B$64,0)),"Not on roster"))</f>
        <v/>
      </c>
      <c r="D2581" s="12" t="str">
        <f>IF(B2581="","",IFERROR(INDEX('Cashier Roster'!$D$5:$D$64,MATCH(B2581,'Cashier Roster'!$B$5:$B$64,0)),""))</f>
        <v/>
      </c>
      <c r="E2581" s="13"/>
      <c r="F2581" s="14"/>
      <c r="G2581" s="8" t="str">
        <f>IF(OR(B2581="",E2581=""),"",IF(E2581="No","Missed",IF(F2581="","",IF(F2581&lt;=Settings!$B$7,"On time","Late"))))</f>
        <v/>
      </c>
      <c r="H2581" s="15"/>
      <c r="I2581" s="16"/>
      <c r="J2581" s="16"/>
      <c r="K2581" s="17" t="str">
        <f>IF(J2581="","",ROUND(J2581*Settings!$B$8,2))</f>
        <v/>
      </c>
      <c r="L2581" s="16"/>
      <c r="M2581" s="8" t="str">
        <f t="shared" si="40"/>
        <v/>
      </c>
      <c r="N2581" s="9"/>
    </row>
    <row r="2582" spans="1:14" ht="15.75">
      <c r="A2582" s="11"/>
      <c r="B2582" s="9"/>
      <c r="C2582" s="12" t="str">
        <f>IF(B2582="","",IFERROR(INDEX('Cashier Roster'!$C$5:$C$64,MATCH(B2582,'Cashier Roster'!$B$5:$B$64,0)),"Not on roster"))</f>
        <v/>
      </c>
      <c r="D2582" s="12" t="str">
        <f>IF(B2582="","",IFERROR(INDEX('Cashier Roster'!$D$5:$D$64,MATCH(B2582,'Cashier Roster'!$B$5:$B$64,0)),""))</f>
        <v/>
      </c>
      <c r="E2582" s="13"/>
      <c r="F2582" s="14"/>
      <c r="G2582" s="8" t="str">
        <f>IF(OR(B2582="",E2582=""),"",IF(E2582="No","Missed",IF(F2582="","",IF(F2582&lt;=Settings!$B$7,"On time","Late"))))</f>
        <v/>
      </c>
      <c r="H2582" s="15"/>
      <c r="I2582" s="16"/>
      <c r="J2582" s="16"/>
      <c r="K2582" s="17" t="str">
        <f>IF(J2582="","",ROUND(J2582*Settings!$B$8,2))</f>
        <v/>
      </c>
      <c r="L2582" s="16"/>
      <c r="M2582" s="8" t="str">
        <f t="shared" si="40"/>
        <v/>
      </c>
      <c r="N2582" s="9"/>
    </row>
    <row r="2583" spans="1:14" ht="15.75">
      <c r="A2583" s="11"/>
      <c r="B2583" s="9"/>
      <c r="C2583" s="12" t="str">
        <f>IF(B2583="","",IFERROR(INDEX('Cashier Roster'!$C$5:$C$64,MATCH(B2583,'Cashier Roster'!$B$5:$B$64,0)),"Not on roster"))</f>
        <v/>
      </c>
      <c r="D2583" s="12" t="str">
        <f>IF(B2583="","",IFERROR(INDEX('Cashier Roster'!$D$5:$D$64,MATCH(B2583,'Cashier Roster'!$B$5:$B$64,0)),""))</f>
        <v/>
      </c>
      <c r="E2583" s="13"/>
      <c r="F2583" s="14"/>
      <c r="G2583" s="8" t="str">
        <f>IF(OR(B2583="",E2583=""),"",IF(E2583="No","Missed",IF(F2583="","",IF(F2583&lt;=Settings!$B$7,"On time","Late"))))</f>
        <v/>
      </c>
      <c r="H2583" s="15"/>
      <c r="I2583" s="16"/>
      <c r="J2583" s="16"/>
      <c r="K2583" s="17" t="str">
        <f>IF(J2583="","",ROUND(J2583*Settings!$B$8,2))</f>
        <v/>
      </c>
      <c r="L2583" s="16"/>
      <c r="M2583" s="8" t="str">
        <f t="shared" si="40"/>
        <v/>
      </c>
      <c r="N2583" s="9"/>
    </row>
    <row r="2584" spans="1:14" ht="15.75">
      <c r="A2584" s="11"/>
      <c r="B2584" s="9"/>
      <c r="C2584" s="12" t="str">
        <f>IF(B2584="","",IFERROR(INDEX('Cashier Roster'!$C$5:$C$64,MATCH(B2584,'Cashier Roster'!$B$5:$B$64,0)),"Not on roster"))</f>
        <v/>
      </c>
      <c r="D2584" s="12" t="str">
        <f>IF(B2584="","",IFERROR(INDEX('Cashier Roster'!$D$5:$D$64,MATCH(B2584,'Cashier Roster'!$B$5:$B$64,0)),""))</f>
        <v/>
      </c>
      <c r="E2584" s="13"/>
      <c r="F2584" s="14"/>
      <c r="G2584" s="8" t="str">
        <f>IF(OR(B2584="",E2584=""),"",IF(E2584="No","Missed",IF(F2584="","",IF(F2584&lt;=Settings!$B$7,"On time","Late"))))</f>
        <v/>
      </c>
      <c r="H2584" s="15"/>
      <c r="I2584" s="16"/>
      <c r="J2584" s="16"/>
      <c r="K2584" s="17" t="str">
        <f>IF(J2584="","",ROUND(J2584*Settings!$B$8,2))</f>
        <v/>
      </c>
      <c r="L2584" s="16"/>
      <c r="M2584" s="8" t="str">
        <f t="shared" si="40"/>
        <v/>
      </c>
      <c r="N2584" s="9"/>
    </row>
    <row r="2585" spans="1:14" ht="15.75">
      <c r="A2585" s="11"/>
      <c r="B2585" s="9"/>
      <c r="C2585" s="12" t="str">
        <f>IF(B2585="","",IFERROR(INDEX('Cashier Roster'!$C$5:$C$64,MATCH(B2585,'Cashier Roster'!$B$5:$B$64,0)),"Not on roster"))</f>
        <v/>
      </c>
      <c r="D2585" s="12" t="str">
        <f>IF(B2585="","",IFERROR(INDEX('Cashier Roster'!$D$5:$D$64,MATCH(B2585,'Cashier Roster'!$B$5:$B$64,0)),""))</f>
        <v/>
      </c>
      <c r="E2585" s="13"/>
      <c r="F2585" s="14"/>
      <c r="G2585" s="8" t="str">
        <f>IF(OR(B2585="",E2585=""),"",IF(E2585="No","Missed",IF(F2585="","",IF(F2585&lt;=Settings!$B$7,"On time","Late"))))</f>
        <v/>
      </c>
      <c r="H2585" s="15"/>
      <c r="I2585" s="16"/>
      <c r="J2585" s="16"/>
      <c r="K2585" s="17" t="str">
        <f>IF(J2585="","",ROUND(J2585*Settings!$B$8,2))</f>
        <v/>
      </c>
      <c r="L2585" s="16"/>
      <c r="M2585" s="8" t="str">
        <f t="shared" si="40"/>
        <v/>
      </c>
      <c r="N2585" s="9"/>
    </row>
    <row r="2586" spans="1:14" ht="15.75">
      <c r="A2586" s="11"/>
      <c r="B2586" s="9"/>
      <c r="C2586" s="12" t="str">
        <f>IF(B2586="","",IFERROR(INDEX('Cashier Roster'!$C$5:$C$64,MATCH(B2586,'Cashier Roster'!$B$5:$B$64,0)),"Not on roster"))</f>
        <v/>
      </c>
      <c r="D2586" s="12" t="str">
        <f>IF(B2586="","",IFERROR(INDEX('Cashier Roster'!$D$5:$D$64,MATCH(B2586,'Cashier Roster'!$B$5:$B$64,0)),""))</f>
        <v/>
      </c>
      <c r="E2586" s="13"/>
      <c r="F2586" s="14"/>
      <c r="G2586" s="8" t="str">
        <f>IF(OR(B2586="",E2586=""),"",IF(E2586="No","Missed",IF(F2586="","",IF(F2586&lt;=Settings!$B$7,"On time","Late"))))</f>
        <v/>
      </c>
      <c r="H2586" s="15"/>
      <c r="I2586" s="16"/>
      <c r="J2586" s="16"/>
      <c r="K2586" s="17" t="str">
        <f>IF(J2586="","",ROUND(J2586*Settings!$B$8,2))</f>
        <v/>
      </c>
      <c r="L2586" s="16"/>
      <c r="M2586" s="8" t="str">
        <f t="shared" si="40"/>
        <v/>
      </c>
      <c r="N2586" s="9"/>
    </row>
    <row r="2587" spans="1:14" ht="15.75">
      <c r="A2587" s="11"/>
      <c r="B2587" s="9"/>
      <c r="C2587" s="12" t="str">
        <f>IF(B2587="","",IFERROR(INDEX('Cashier Roster'!$C$5:$C$64,MATCH(B2587,'Cashier Roster'!$B$5:$B$64,0)),"Not on roster"))</f>
        <v/>
      </c>
      <c r="D2587" s="12" t="str">
        <f>IF(B2587="","",IFERROR(INDEX('Cashier Roster'!$D$5:$D$64,MATCH(B2587,'Cashier Roster'!$B$5:$B$64,0)),""))</f>
        <v/>
      </c>
      <c r="E2587" s="13"/>
      <c r="F2587" s="14"/>
      <c r="G2587" s="8" t="str">
        <f>IF(OR(B2587="",E2587=""),"",IF(E2587="No","Missed",IF(F2587="","",IF(F2587&lt;=Settings!$B$7,"On time","Late"))))</f>
        <v/>
      </c>
      <c r="H2587" s="15"/>
      <c r="I2587" s="16"/>
      <c r="J2587" s="16"/>
      <c r="K2587" s="17" t="str">
        <f>IF(J2587="","",ROUND(J2587*Settings!$B$8,2))</f>
        <v/>
      </c>
      <c r="L2587" s="16"/>
      <c r="M2587" s="8" t="str">
        <f t="shared" si="40"/>
        <v/>
      </c>
      <c r="N2587" s="9"/>
    </row>
    <row r="2588" spans="1:14" ht="15.75">
      <c r="A2588" s="11"/>
      <c r="B2588" s="9"/>
      <c r="C2588" s="12" t="str">
        <f>IF(B2588="","",IFERROR(INDEX('Cashier Roster'!$C$5:$C$64,MATCH(B2588,'Cashier Roster'!$B$5:$B$64,0)),"Not on roster"))</f>
        <v/>
      </c>
      <c r="D2588" s="12" t="str">
        <f>IF(B2588="","",IFERROR(INDEX('Cashier Roster'!$D$5:$D$64,MATCH(B2588,'Cashier Roster'!$B$5:$B$64,0)),""))</f>
        <v/>
      </c>
      <c r="E2588" s="13"/>
      <c r="F2588" s="14"/>
      <c r="G2588" s="8" t="str">
        <f>IF(OR(B2588="",E2588=""),"",IF(E2588="No","Missed",IF(F2588="","",IF(F2588&lt;=Settings!$B$7,"On time","Late"))))</f>
        <v/>
      </c>
      <c r="H2588" s="15"/>
      <c r="I2588" s="16"/>
      <c r="J2588" s="16"/>
      <c r="K2588" s="17" t="str">
        <f>IF(J2588="","",ROUND(J2588*Settings!$B$8,2))</f>
        <v/>
      </c>
      <c r="L2588" s="16"/>
      <c r="M2588" s="8" t="str">
        <f t="shared" si="40"/>
        <v/>
      </c>
      <c r="N2588" s="9"/>
    </row>
    <row r="2589" spans="1:14" ht="15.75">
      <c r="A2589" s="11"/>
      <c r="B2589" s="9"/>
      <c r="C2589" s="12" t="str">
        <f>IF(B2589="","",IFERROR(INDEX('Cashier Roster'!$C$5:$C$64,MATCH(B2589,'Cashier Roster'!$B$5:$B$64,0)),"Not on roster"))</f>
        <v/>
      </c>
      <c r="D2589" s="12" t="str">
        <f>IF(B2589="","",IFERROR(INDEX('Cashier Roster'!$D$5:$D$64,MATCH(B2589,'Cashier Roster'!$B$5:$B$64,0)),""))</f>
        <v/>
      </c>
      <c r="E2589" s="13"/>
      <c r="F2589" s="14"/>
      <c r="G2589" s="8" t="str">
        <f>IF(OR(B2589="",E2589=""),"",IF(E2589="No","Missed",IF(F2589="","",IF(F2589&lt;=Settings!$B$7,"On time","Late"))))</f>
        <v/>
      </c>
      <c r="H2589" s="15"/>
      <c r="I2589" s="16"/>
      <c r="J2589" s="16"/>
      <c r="K2589" s="17" t="str">
        <f>IF(J2589="","",ROUND(J2589*Settings!$B$8,2))</f>
        <v/>
      </c>
      <c r="L2589" s="16"/>
      <c r="M2589" s="8" t="str">
        <f t="shared" si="40"/>
        <v/>
      </c>
      <c r="N2589" s="9"/>
    </row>
    <row r="2590" spans="1:14" ht="15.75">
      <c r="A2590" s="11"/>
      <c r="B2590" s="9"/>
      <c r="C2590" s="12" t="str">
        <f>IF(B2590="","",IFERROR(INDEX('Cashier Roster'!$C$5:$C$64,MATCH(B2590,'Cashier Roster'!$B$5:$B$64,0)),"Not on roster"))</f>
        <v/>
      </c>
      <c r="D2590" s="12" t="str">
        <f>IF(B2590="","",IFERROR(INDEX('Cashier Roster'!$D$5:$D$64,MATCH(B2590,'Cashier Roster'!$B$5:$B$64,0)),""))</f>
        <v/>
      </c>
      <c r="E2590" s="13"/>
      <c r="F2590" s="14"/>
      <c r="G2590" s="8" t="str">
        <f>IF(OR(B2590="",E2590=""),"",IF(E2590="No","Missed",IF(F2590="","",IF(F2590&lt;=Settings!$B$7,"On time","Late"))))</f>
        <v/>
      </c>
      <c r="H2590" s="15"/>
      <c r="I2590" s="16"/>
      <c r="J2590" s="16"/>
      <c r="K2590" s="17" t="str">
        <f>IF(J2590="","",ROUND(J2590*Settings!$B$8,2))</f>
        <v/>
      </c>
      <c r="L2590" s="16"/>
      <c r="M2590" s="8" t="str">
        <f t="shared" si="40"/>
        <v/>
      </c>
      <c r="N2590" s="9"/>
    </row>
    <row r="2591" spans="1:14" ht="15.75">
      <c r="A2591" s="11"/>
      <c r="B2591" s="9"/>
      <c r="C2591" s="12" t="str">
        <f>IF(B2591="","",IFERROR(INDEX('Cashier Roster'!$C$5:$C$64,MATCH(B2591,'Cashier Roster'!$B$5:$B$64,0)),"Not on roster"))</f>
        <v/>
      </c>
      <c r="D2591" s="12" t="str">
        <f>IF(B2591="","",IFERROR(INDEX('Cashier Roster'!$D$5:$D$64,MATCH(B2591,'Cashier Roster'!$B$5:$B$64,0)),""))</f>
        <v/>
      </c>
      <c r="E2591" s="13"/>
      <c r="F2591" s="14"/>
      <c r="G2591" s="8" t="str">
        <f>IF(OR(B2591="",E2591=""),"",IF(E2591="No","Missed",IF(F2591="","",IF(F2591&lt;=Settings!$B$7,"On time","Late"))))</f>
        <v/>
      </c>
      <c r="H2591" s="15"/>
      <c r="I2591" s="16"/>
      <c r="J2591" s="16"/>
      <c r="K2591" s="17" t="str">
        <f>IF(J2591="","",ROUND(J2591*Settings!$B$8,2))</f>
        <v/>
      </c>
      <c r="L2591" s="16"/>
      <c r="M2591" s="8" t="str">
        <f t="shared" si="40"/>
        <v/>
      </c>
      <c r="N2591" s="9"/>
    </row>
    <row r="2592" spans="1:14" ht="15.75">
      <c r="A2592" s="11"/>
      <c r="B2592" s="9"/>
      <c r="C2592" s="12" t="str">
        <f>IF(B2592="","",IFERROR(INDEX('Cashier Roster'!$C$5:$C$64,MATCH(B2592,'Cashier Roster'!$B$5:$B$64,0)),"Not on roster"))</f>
        <v/>
      </c>
      <c r="D2592" s="12" t="str">
        <f>IF(B2592="","",IFERROR(INDEX('Cashier Roster'!$D$5:$D$64,MATCH(B2592,'Cashier Roster'!$B$5:$B$64,0)),""))</f>
        <v/>
      </c>
      <c r="E2592" s="13"/>
      <c r="F2592" s="14"/>
      <c r="G2592" s="8" t="str">
        <f>IF(OR(B2592="",E2592=""),"",IF(E2592="No","Missed",IF(F2592="","",IF(F2592&lt;=Settings!$B$7,"On time","Late"))))</f>
        <v/>
      </c>
      <c r="H2592" s="15"/>
      <c r="I2592" s="16"/>
      <c r="J2592" s="16"/>
      <c r="K2592" s="17" t="str">
        <f>IF(J2592="","",ROUND(J2592*Settings!$B$8,2))</f>
        <v/>
      </c>
      <c r="L2592" s="16"/>
      <c r="M2592" s="8" t="str">
        <f t="shared" si="40"/>
        <v/>
      </c>
      <c r="N2592" s="9"/>
    </row>
    <row r="2593" spans="1:14" ht="15.75">
      <c r="A2593" s="11"/>
      <c r="B2593" s="9"/>
      <c r="C2593" s="12" t="str">
        <f>IF(B2593="","",IFERROR(INDEX('Cashier Roster'!$C$5:$C$64,MATCH(B2593,'Cashier Roster'!$B$5:$B$64,0)),"Not on roster"))</f>
        <v/>
      </c>
      <c r="D2593" s="12" t="str">
        <f>IF(B2593="","",IFERROR(INDEX('Cashier Roster'!$D$5:$D$64,MATCH(B2593,'Cashier Roster'!$B$5:$B$64,0)),""))</f>
        <v/>
      </c>
      <c r="E2593" s="13"/>
      <c r="F2593" s="14"/>
      <c r="G2593" s="8" t="str">
        <f>IF(OR(B2593="",E2593=""),"",IF(E2593="No","Missed",IF(F2593="","",IF(F2593&lt;=Settings!$B$7,"On time","Late"))))</f>
        <v/>
      </c>
      <c r="H2593" s="15"/>
      <c r="I2593" s="16"/>
      <c r="J2593" s="16"/>
      <c r="K2593" s="17" t="str">
        <f>IF(J2593="","",ROUND(J2593*Settings!$B$8,2))</f>
        <v/>
      </c>
      <c r="L2593" s="16"/>
      <c r="M2593" s="8" t="str">
        <f t="shared" si="40"/>
        <v/>
      </c>
      <c r="N2593" s="9"/>
    </row>
    <row r="2594" spans="1:14" ht="15.75">
      <c r="A2594" s="11"/>
      <c r="B2594" s="9"/>
      <c r="C2594" s="12" t="str">
        <f>IF(B2594="","",IFERROR(INDEX('Cashier Roster'!$C$5:$C$64,MATCH(B2594,'Cashier Roster'!$B$5:$B$64,0)),"Not on roster"))</f>
        <v/>
      </c>
      <c r="D2594" s="12" t="str">
        <f>IF(B2594="","",IFERROR(INDEX('Cashier Roster'!$D$5:$D$64,MATCH(B2594,'Cashier Roster'!$B$5:$B$64,0)),""))</f>
        <v/>
      </c>
      <c r="E2594" s="13"/>
      <c r="F2594" s="14"/>
      <c r="G2594" s="8" t="str">
        <f>IF(OR(B2594="",E2594=""),"",IF(E2594="No","Missed",IF(F2594="","",IF(F2594&lt;=Settings!$B$7,"On time","Late"))))</f>
        <v/>
      </c>
      <c r="H2594" s="15"/>
      <c r="I2594" s="16"/>
      <c r="J2594" s="16"/>
      <c r="K2594" s="17" t="str">
        <f>IF(J2594="","",ROUND(J2594*Settings!$B$8,2))</f>
        <v/>
      </c>
      <c r="L2594" s="16"/>
      <c r="M2594" s="8" t="str">
        <f t="shared" si="40"/>
        <v/>
      </c>
      <c r="N2594" s="9"/>
    </row>
    <row r="2595" spans="1:14" ht="15.75">
      <c r="A2595" s="11"/>
      <c r="B2595" s="9"/>
      <c r="C2595" s="12" t="str">
        <f>IF(B2595="","",IFERROR(INDEX('Cashier Roster'!$C$5:$C$64,MATCH(B2595,'Cashier Roster'!$B$5:$B$64,0)),"Not on roster"))</f>
        <v/>
      </c>
      <c r="D2595" s="12" t="str">
        <f>IF(B2595="","",IFERROR(INDEX('Cashier Roster'!$D$5:$D$64,MATCH(B2595,'Cashier Roster'!$B$5:$B$64,0)),""))</f>
        <v/>
      </c>
      <c r="E2595" s="13"/>
      <c r="F2595" s="14"/>
      <c r="G2595" s="8" t="str">
        <f>IF(OR(B2595="",E2595=""),"",IF(E2595="No","Missed",IF(F2595="","",IF(F2595&lt;=Settings!$B$7,"On time","Late"))))</f>
        <v/>
      </c>
      <c r="H2595" s="15"/>
      <c r="I2595" s="16"/>
      <c r="J2595" s="16"/>
      <c r="K2595" s="17" t="str">
        <f>IF(J2595="","",ROUND(J2595*Settings!$B$8,2))</f>
        <v/>
      </c>
      <c r="L2595" s="16"/>
      <c r="M2595" s="8" t="str">
        <f t="shared" si="40"/>
        <v/>
      </c>
      <c r="N2595" s="9"/>
    </row>
    <row r="2596" spans="1:14" ht="15.75">
      <c r="A2596" s="11"/>
      <c r="B2596" s="9"/>
      <c r="C2596" s="12" t="str">
        <f>IF(B2596="","",IFERROR(INDEX('Cashier Roster'!$C$5:$C$64,MATCH(B2596,'Cashier Roster'!$B$5:$B$64,0)),"Not on roster"))</f>
        <v/>
      </c>
      <c r="D2596" s="12" t="str">
        <f>IF(B2596="","",IFERROR(INDEX('Cashier Roster'!$D$5:$D$64,MATCH(B2596,'Cashier Roster'!$B$5:$B$64,0)),""))</f>
        <v/>
      </c>
      <c r="E2596" s="13"/>
      <c r="F2596" s="14"/>
      <c r="G2596" s="8" t="str">
        <f>IF(OR(B2596="",E2596=""),"",IF(E2596="No","Missed",IF(F2596="","",IF(F2596&lt;=Settings!$B$7,"On time","Late"))))</f>
        <v/>
      </c>
      <c r="H2596" s="15"/>
      <c r="I2596" s="16"/>
      <c r="J2596" s="16"/>
      <c r="K2596" s="17" t="str">
        <f>IF(J2596="","",ROUND(J2596*Settings!$B$8,2))</f>
        <v/>
      </c>
      <c r="L2596" s="16"/>
      <c r="M2596" s="8" t="str">
        <f t="shared" si="40"/>
        <v/>
      </c>
      <c r="N2596" s="9"/>
    </row>
    <row r="2597" spans="1:14" ht="15.75">
      <c r="A2597" s="11"/>
      <c r="B2597" s="9"/>
      <c r="C2597" s="12" t="str">
        <f>IF(B2597="","",IFERROR(INDEX('Cashier Roster'!$C$5:$C$64,MATCH(B2597,'Cashier Roster'!$B$5:$B$64,0)),"Not on roster"))</f>
        <v/>
      </c>
      <c r="D2597" s="12" t="str">
        <f>IF(B2597="","",IFERROR(INDEX('Cashier Roster'!$D$5:$D$64,MATCH(B2597,'Cashier Roster'!$B$5:$B$64,0)),""))</f>
        <v/>
      </c>
      <c r="E2597" s="13"/>
      <c r="F2597" s="14"/>
      <c r="G2597" s="8" t="str">
        <f>IF(OR(B2597="",E2597=""),"",IF(E2597="No","Missed",IF(F2597="","",IF(F2597&lt;=Settings!$B$7,"On time","Late"))))</f>
        <v/>
      </c>
      <c r="H2597" s="15"/>
      <c r="I2597" s="16"/>
      <c r="J2597" s="16"/>
      <c r="K2597" s="17" t="str">
        <f>IF(J2597="","",ROUND(J2597*Settings!$B$8,2))</f>
        <v/>
      </c>
      <c r="L2597" s="16"/>
      <c r="M2597" s="8" t="str">
        <f t="shared" si="40"/>
        <v/>
      </c>
      <c r="N2597" s="9"/>
    </row>
    <row r="2598" spans="1:14" ht="15.75">
      <c r="A2598" s="11"/>
      <c r="B2598" s="9"/>
      <c r="C2598" s="12" t="str">
        <f>IF(B2598="","",IFERROR(INDEX('Cashier Roster'!$C$5:$C$64,MATCH(B2598,'Cashier Roster'!$B$5:$B$64,0)),"Not on roster"))</f>
        <v/>
      </c>
      <c r="D2598" s="12" t="str">
        <f>IF(B2598="","",IFERROR(INDEX('Cashier Roster'!$D$5:$D$64,MATCH(B2598,'Cashier Roster'!$B$5:$B$64,0)),""))</f>
        <v/>
      </c>
      <c r="E2598" s="13"/>
      <c r="F2598" s="14"/>
      <c r="G2598" s="8" t="str">
        <f>IF(OR(B2598="",E2598=""),"",IF(E2598="No","Missed",IF(F2598="","",IF(F2598&lt;=Settings!$B$7,"On time","Late"))))</f>
        <v/>
      </c>
      <c r="H2598" s="15"/>
      <c r="I2598" s="16"/>
      <c r="J2598" s="16"/>
      <c r="K2598" s="17" t="str">
        <f>IF(J2598="","",ROUND(J2598*Settings!$B$8,2))</f>
        <v/>
      </c>
      <c r="L2598" s="16"/>
      <c r="M2598" s="8" t="str">
        <f t="shared" si="40"/>
        <v/>
      </c>
      <c r="N2598" s="9"/>
    </row>
    <row r="2599" spans="1:14" ht="15.75">
      <c r="A2599" s="11"/>
      <c r="B2599" s="9"/>
      <c r="C2599" s="12" t="str">
        <f>IF(B2599="","",IFERROR(INDEX('Cashier Roster'!$C$5:$C$64,MATCH(B2599,'Cashier Roster'!$B$5:$B$64,0)),"Not on roster"))</f>
        <v/>
      </c>
      <c r="D2599" s="12" t="str">
        <f>IF(B2599="","",IFERROR(INDEX('Cashier Roster'!$D$5:$D$64,MATCH(B2599,'Cashier Roster'!$B$5:$B$64,0)),""))</f>
        <v/>
      </c>
      <c r="E2599" s="13"/>
      <c r="F2599" s="14"/>
      <c r="G2599" s="8" t="str">
        <f>IF(OR(B2599="",E2599=""),"",IF(E2599="No","Missed",IF(F2599="","",IF(F2599&lt;=Settings!$B$7,"On time","Late"))))</f>
        <v/>
      </c>
      <c r="H2599" s="15"/>
      <c r="I2599" s="16"/>
      <c r="J2599" s="16"/>
      <c r="K2599" s="17" t="str">
        <f>IF(J2599="","",ROUND(J2599*Settings!$B$8,2))</f>
        <v/>
      </c>
      <c r="L2599" s="16"/>
      <c r="M2599" s="8" t="str">
        <f t="shared" si="40"/>
        <v/>
      </c>
      <c r="N2599" s="9"/>
    </row>
    <row r="2600" spans="1:14" ht="15.75">
      <c r="A2600" s="11"/>
      <c r="B2600" s="9"/>
      <c r="C2600" s="12" t="str">
        <f>IF(B2600="","",IFERROR(INDEX('Cashier Roster'!$C$5:$C$64,MATCH(B2600,'Cashier Roster'!$B$5:$B$64,0)),"Not on roster"))</f>
        <v/>
      </c>
      <c r="D2600" s="12" t="str">
        <f>IF(B2600="","",IFERROR(INDEX('Cashier Roster'!$D$5:$D$64,MATCH(B2600,'Cashier Roster'!$B$5:$B$64,0)),""))</f>
        <v/>
      </c>
      <c r="E2600" s="13"/>
      <c r="F2600" s="14"/>
      <c r="G2600" s="8" t="str">
        <f>IF(OR(B2600="",E2600=""),"",IF(E2600="No","Missed",IF(F2600="","",IF(F2600&lt;=Settings!$B$7,"On time","Late"))))</f>
        <v/>
      </c>
      <c r="H2600" s="15"/>
      <c r="I2600" s="16"/>
      <c r="J2600" s="16"/>
      <c r="K2600" s="17" t="str">
        <f>IF(J2600="","",ROUND(J2600*Settings!$B$8,2))</f>
        <v/>
      </c>
      <c r="L2600" s="16"/>
      <c r="M2600" s="8" t="str">
        <f t="shared" si="40"/>
        <v/>
      </c>
      <c r="N2600" s="9"/>
    </row>
    <row r="2601" spans="1:14" ht="15.75">
      <c r="A2601" s="11"/>
      <c r="B2601" s="9"/>
      <c r="C2601" s="12" t="str">
        <f>IF(B2601="","",IFERROR(INDEX('Cashier Roster'!$C$5:$C$64,MATCH(B2601,'Cashier Roster'!$B$5:$B$64,0)),"Not on roster"))</f>
        <v/>
      </c>
      <c r="D2601" s="12" t="str">
        <f>IF(B2601="","",IFERROR(INDEX('Cashier Roster'!$D$5:$D$64,MATCH(B2601,'Cashier Roster'!$B$5:$B$64,0)),""))</f>
        <v/>
      </c>
      <c r="E2601" s="13"/>
      <c r="F2601" s="14"/>
      <c r="G2601" s="8" t="str">
        <f>IF(OR(B2601="",E2601=""),"",IF(E2601="No","Missed",IF(F2601="","",IF(F2601&lt;=Settings!$B$7,"On time","Late"))))</f>
        <v/>
      </c>
      <c r="H2601" s="15"/>
      <c r="I2601" s="16"/>
      <c r="J2601" s="16"/>
      <c r="K2601" s="17" t="str">
        <f>IF(J2601="","",ROUND(J2601*Settings!$B$8,2))</f>
        <v/>
      </c>
      <c r="L2601" s="16"/>
      <c r="M2601" s="8" t="str">
        <f t="shared" si="40"/>
        <v/>
      </c>
      <c r="N2601" s="9"/>
    </row>
    <row r="2602" spans="1:14" ht="15.75">
      <c r="A2602" s="11"/>
      <c r="B2602" s="9"/>
      <c r="C2602" s="12" t="str">
        <f>IF(B2602="","",IFERROR(INDEX('Cashier Roster'!$C$5:$C$64,MATCH(B2602,'Cashier Roster'!$B$5:$B$64,0)),"Not on roster"))</f>
        <v/>
      </c>
      <c r="D2602" s="12" t="str">
        <f>IF(B2602="","",IFERROR(INDEX('Cashier Roster'!$D$5:$D$64,MATCH(B2602,'Cashier Roster'!$B$5:$B$64,0)),""))</f>
        <v/>
      </c>
      <c r="E2602" s="13"/>
      <c r="F2602" s="14"/>
      <c r="G2602" s="8" t="str">
        <f>IF(OR(B2602="",E2602=""),"",IF(E2602="No","Missed",IF(F2602="","",IF(F2602&lt;=Settings!$B$7,"On time","Late"))))</f>
        <v/>
      </c>
      <c r="H2602" s="15"/>
      <c r="I2602" s="16"/>
      <c r="J2602" s="16"/>
      <c r="K2602" s="17" t="str">
        <f>IF(J2602="","",ROUND(J2602*Settings!$B$8,2))</f>
        <v/>
      </c>
      <c r="L2602" s="16"/>
      <c r="M2602" s="8" t="str">
        <f t="shared" si="40"/>
        <v/>
      </c>
      <c r="N2602" s="9"/>
    </row>
    <row r="2603" spans="1:14" ht="15.75">
      <c r="A2603" s="11"/>
      <c r="B2603" s="9"/>
      <c r="C2603" s="12" t="str">
        <f>IF(B2603="","",IFERROR(INDEX('Cashier Roster'!$C$5:$C$64,MATCH(B2603,'Cashier Roster'!$B$5:$B$64,0)),"Not on roster"))</f>
        <v/>
      </c>
      <c r="D2603" s="12" t="str">
        <f>IF(B2603="","",IFERROR(INDEX('Cashier Roster'!$D$5:$D$64,MATCH(B2603,'Cashier Roster'!$B$5:$B$64,0)),""))</f>
        <v/>
      </c>
      <c r="E2603" s="13"/>
      <c r="F2603" s="14"/>
      <c r="G2603" s="8" t="str">
        <f>IF(OR(B2603="",E2603=""),"",IF(E2603="No","Missed",IF(F2603="","",IF(F2603&lt;=Settings!$B$7,"On time","Late"))))</f>
        <v/>
      </c>
      <c r="H2603" s="15"/>
      <c r="I2603" s="16"/>
      <c r="J2603" s="16"/>
      <c r="K2603" s="17" t="str">
        <f>IF(J2603="","",ROUND(J2603*Settings!$B$8,2))</f>
        <v/>
      </c>
      <c r="L2603" s="16"/>
      <c r="M2603" s="8" t="str">
        <f t="shared" si="40"/>
        <v/>
      </c>
      <c r="N2603" s="9"/>
    </row>
    <row r="2604" spans="1:14" ht="15.75">
      <c r="A2604" s="11"/>
      <c r="B2604" s="9"/>
      <c r="C2604" s="12" t="str">
        <f>IF(B2604="","",IFERROR(INDEX('Cashier Roster'!$C$5:$C$64,MATCH(B2604,'Cashier Roster'!$B$5:$B$64,0)),"Not on roster"))</f>
        <v/>
      </c>
      <c r="D2604" s="12" t="str">
        <f>IF(B2604="","",IFERROR(INDEX('Cashier Roster'!$D$5:$D$64,MATCH(B2604,'Cashier Roster'!$B$5:$B$64,0)),""))</f>
        <v/>
      </c>
      <c r="E2604" s="13"/>
      <c r="F2604" s="14"/>
      <c r="G2604" s="8" t="str">
        <f>IF(OR(B2604="",E2604=""),"",IF(E2604="No","Missed",IF(F2604="","",IF(F2604&lt;=Settings!$B$7,"On time","Late"))))</f>
        <v/>
      </c>
      <c r="H2604" s="15"/>
      <c r="I2604" s="16"/>
      <c r="J2604" s="16"/>
      <c r="K2604" s="17" t="str">
        <f>IF(J2604="","",ROUND(J2604*Settings!$B$8,2))</f>
        <v/>
      </c>
      <c r="L2604" s="16"/>
      <c r="M2604" s="8" t="str">
        <f t="shared" si="40"/>
        <v/>
      </c>
      <c r="N2604" s="9"/>
    </row>
    <row r="2605" spans="1:14" ht="15.75">
      <c r="A2605" s="11"/>
      <c r="B2605" s="9"/>
      <c r="C2605" s="12" t="str">
        <f>IF(B2605="","",IFERROR(INDEX('Cashier Roster'!$C$5:$C$64,MATCH(B2605,'Cashier Roster'!$B$5:$B$64,0)),"Not on roster"))</f>
        <v/>
      </c>
      <c r="D2605" s="12" t="str">
        <f>IF(B2605="","",IFERROR(INDEX('Cashier Roster'!$D$5:$D$64,MATCH(B2605,'Cashier Roster'!$B$5:$B$64,0)),""))</f>
        <v/>
      </c>
      <c r="E2605" s="13"/>
      <c r="F2605" s="14"/>
      <c r="G2605" s="8" t="str">
        <f>IF(OR(B2605="",E2605=""),"",IF(E2605="No","Missed",IF(F2605="","",IF(F2605&lt;=Settings!$B$7,"On time","Late"))))</f>
        <v/>
      </c>
      <c r="H2605" s="15"/>
      <c r="I2605" s="16"/>
      <c r="J2605" s="16"/>
      <c r="K2605" s="17" t="str">
        <f>IF(J2605="","",ROUND(J2605*Settings!$B$8,2))</f>
        <v/>
      </c>
      <c r="L2605" s="16"/>
      <c r="M2605" s="8" t="str">
        <f t="shared" si="40"/>
        <v/>
      </c>
      <c r="N2605" s="9"/>
    </row>
    <row r="2606" spans="1:14" ht="15.75">
      <c r="A2606" s="11"/>
      <c r="B2606" s="9"/>
      <c r="C2606" s="12" t="str">
        <f>IF(B2606="","",IFERROR(INDEX('Cashier Roster'!$C$5:$C$64,MATCH(B2606,'Cashier Roster'!$B$5:$B$64,0)),"Not on roster"))</f>
        <v/>
      </c>
      <c r="D2606" s="12" t="str">
        <f>IF(B2606="","",IFERROR(INDEX('Cashier Roster'!$D$5:$D$64,MATCH(B2606,'Cashier Roster'!$B$5:$B$64,0)),""))</f>
        <v/>
      </c>
      <c r="E2606" s="13"/>
      <c r="F2606" s="14"/>
      <c r="G2606" s="8" t="str">
        <f>IF(OR(B2606="",E2606=""),"",IF(E2606="No","Missed",IF(F2606="","",IF(F2606&lt;=Settings!$B$7,"On time","Late"))))</f>
        <v/>
      </c>
      <c r="H2606" s="15"/>
      <c r="I2606" s="16"/>
      <c r="J2606" s="16"/>
      <c r="K2606" s="17" t="str">
        <f>IF(J2606="","",ROUND(J2606*Settings!$B$8,2))</f>
        <v/>
      </c>
      <c r="L2606" s="16"/>
      <c r="M2606" s="8" t="str">
        <f t="shared" si="40"/>
        <v/>
      </c>
      <c r="N2606" s="9"/>
    </row>
    <row r="2607" spans="1:14" ht="15.75">
      <c r="A2607" s="11"/>
      <c r="B2607" s="9"/>
      <c r="C2607" s="12" t="str">
        <f>IF(B2607="","",IFERROR(INDEX('Cashier Roster'!$C$5:$C$64,MATCH(B2607,'Cashier Roster'!$B$5:$B$64,0)),"Not on roster"))</f>
        <v/>
      </c>
      <c r="D2607" s="12" t="str">
        <f>IF(B2607="","",IFERROR(INDEX('Cashier Roster'!$D$5:$D$64,MATCH(B2607,'Cashier Roster'!$B$5:$B$64,0)),""))</f>
        <v/>
      </c>
      <c r="E2607" s="13"/>
      <c r="F2607" s="14"/>
      <c r="G2607" s="8" t="str">
        <f>IF(OR(B2607="",E2607=""),"",IF(E2607="No","Missed",IF(F2607="","",IF(F2607&lt;=Settings!$B$7,"On time","Late"))))</f>
        <v/>
      </c>
      <c r="H2607" s="15"/>
      <c r="I2607" s="16"/>
      <c r="J2607" s="16"/>
      <c r="K2607" s="17" t="str">
        <f>IF(J2607="","",ROUND(J2607*Settings!$B$8,2))</f>
        <v/>
      </c>
      <c r="L2607" s="16"/>
      <c r="M2607" s="8" t="str">
        <f t="shared" si="40"/>
        <v/>
      </c>
      <c r="N2607" s="9"/>
    </row>
    <row r="2608" spans="1:14" ht="15.75">
      <c r="A2608" s="11"/>
      <c r="B2608" s="9"/>
      <c r="C2608" s="12" t="str">
        <f>IF(B2608="","",IFERROR(INDEX('Cashier Roster'!$C$5:$C$64,MATCH(B2608,'Cashier Roster'!$B$5:$B$64,0)),"Not on roster"))</f>
        <v/>
      </c>
      <c r="D2608" s="12" t="str">
        <f>IF(B2608="","",IFERROR(INDEX('Cashier Roster'!$D$5:$D$64,MATCH(B2608,'Cashier Roster'!$B$5:$B$64,0)),""))</f>
        <v/>
      </c>
      <c r="E2608" s="13"/>
      <c r="F2608" s="14"/>
      <c r="G2608" s="8" t="str">
        <f>IF(OR(B2608="",E2608=""),"",IF(E2608="No","Missed",IF(F2608="","",IF(F2608&lt;=Settings!$B$7,"On time","Late"))))</f>
        <v/>
      </c>
      <c r="H2608" s="15"/>
      <c r="I2608" s="16"/>
      <c r="J2608" s="16"/>
      <c r="K2608" s="17" t="str">
        <f>IF(J2608="","",ROUND(J2608*Settings!$B$8,2))</f>
        <v/>
      </c>
      <c r="L2608" s="16"/>
      <c r="M2608" s="8" t="str">
        <f t="shared" si="40"/>
        <v/>
      </c>
      <c r="N2608" s="9"/>
    </row>
    <row r="2609" spans="1:14" ht="15.75">
      <c r="A2609" s="11"/>
      <c r="B2609" s="9"/>
      <c r="C2609" s="12" t="str">
        <f>IF(B2609="","",IFERROR(INDEX('Cashier Roster'!$C$5:$C$64,MATCH(B2609,'Cashier Roster'!$B$5:$B$64,0)),"Not on roster"))</f>
        <v/>
      </c>
      <c r="D2609" s="12" t="str">
        <f>IF(B2609="","",IFERROR(INDEX('Cashier Roster'!$D$5:$D$64,MATCH(B2609,'Cashier Roster'!$B$5:$B$64,0)),""))</f>
        <v/>
      </c>
      <c r="E2609" s="13"/>
      <c r="F2609" s="14"/>
      <c r="G2609" s="8" t="str">
        <f>IF(OR(B2609="",E2609=""),"",IF(E2609="No","Missed",IF(F2609="","",IF(F2609&lt;=Settings!$B$7,"On time","Late"))))</f>
        <v/>
      </c>
      <c r="H2609" s="15"/>
      <c r="I2609" s="16"/>
      <c r="J2609" s="16"/>
      <c r="K2609" s="17" t="str">
        <f>IF(J2609="","",ROUND(J2609*Settings!$B$8,2))</f>
        <v/>
      </c>
      <c r="L2609" s="16"/>
      <c r="M2609" s="8" t="str">
        <f t="shared" si="40"/>
        <v/>
      </c>
      <c r="N2609" s="9"/>
    </row>
    <row r="2610" spans="1:14" ht="15.75">
      <c r="A2610" s="11"/>
      <c r="B2610" s="9"/>
      <c r="C2610" s="12" t="str">
        <f>IF(B2610="","",IFERROR(INDEX('Cashier Roster'!$C$5:$C$64,MATCH(B2610,'Cashier Roster'!$B$5:$B$64,0)),"Not on roster"))</f>
        <v/>
      </c>
      <c r="D2610" s="12" t="str">
        <f>IF(B2610="","",IFERROR(INDEX('Cashier Roster'!$D$5:$D$64,MATCH(B2610,'Cashier Roster'!$B$5:$B$64,0)),""))</f>
        <v/>
      </c>
      <c r="E2610" s="13"/>
      <c r="F2610" s="14"/>
      <c r="G2610" s="8" t="str">
        <f>IF(OR(B2610="",E2610=""),"",IF(E2610="No","Missed",IF(F2610="","",IF(F2610&lt;=Settings!$B$7,"On time","Late"))))</f>
        <v/>
      </c>
      <c r="H2610" s="15"/>
      <c r="I2610" s="16"/>
      <c r="J2610" s="16"/>
      <c r="K2610" s="17" t="str">
        <f>IF(J2610="","",ROUND(J2610*Settings!$B$8,2))</f>
        <v/>
      </c>
      <c r="L2610" s="16"/>
      <c r="M2610" s="8" t="str">
        <f t="shared" si="40"/>
        <v/>
      </c>
      <c r="N2610" s="9"/>
    </row>
    <row r="2611" spans="1:14" ht="15.75">
      <c r="A2611" s="11"/>
      <c r="B2611" s="9"/>
      <c r="C2611" s="12" t="str">
        <f>IF(B2611="","",IFERROR(INDEX('Cashier Roster'!$C$5:$C$64,MATCH(B2611,'Cashier Roster'!$B$5:$B$64,0)),"Not on roster"))</f>
        <v/>
      </c>
      <c r="D2611" s="12" t="str">
        <f>IF(B2611="","",IFERROR(INDEX('Cashier Roster'!$D$5:$D$64,MATCH(B2611,'Cashier Roster'!$B$5:$B$64,0)),""))</f>
        <v/>
      </c>
      <c r="E2611" s="13"/>
      <c r="F2611" s="14"/>
      <c r="G2611" s="8" t="str">
        <f>IF(OR(B2611="",E2611=""),"",IF(E2611="No","Missed",IF(F2611="","",IF(F2611&lt;=Settings!$B$7,"On time","Late"))))</f>
        <v/>
      </c>
      <c r="H2611" s="15"/>
      <c r="I2611" s="16"/>
      <c r="J2611" s="16"/>
      <c r="K2611" s="17" t="str">
        <f>IF(J2611="","",ROUND(J2611*Settings!$B$8,2))</f>
        <v/>
      </c>
      <c r="L2611" s="16"/>
      <c r="M2611" s="8" t="str">
        <f t="shared" si="40"/>
        <v/>
      </c>
      <c r="N2611" s="9"/>
    </row>
    <row r="2612" spans="1:14" ht="15.75">
      <c r="A2612" s="11"/>
      <c r="B2612" s="9"/>
      <c r="C2612" s="12" t="str">
        <f>IF(B2612="","",IFERROR(INDEX('Cashier Roster'!$C$5:$C$64,MATCH(B2612,'Cashier Roster'!$B$5:$B$64,0)),"Not on roster"))</f>
        <v/>
      </c>
      <c r="D2612" s="12" t="str">
        <f>IF(B2612="","",IFERROR(INDEX('Cashier Roster'!$D$5:$D$64,MATCH(B2612,'Cashier Roster'!$B$5:$B$64,0)),""))</f>
        <v/>
      </c>
      <c r="E2612" s="13"/>
      <c r="F2612" s="14"/>
      <c r="G2612" s="8" t="str">
        <f>IF(OR(B2612="",E2612=""),"",IF(E2612="No","Missed",IF(F2612="","",IF(F2612&lt;=Settings!$B$7,"On time","Late"))))</f>
        <v/>
      </c>
      <c r="H2612" s="15"/>
      <c r="I2612" s="16"/>
      <c r="J2612" s="16"/>
      <c r="K2612" s="17" t="str">
        <f>IF(J2612="","",ROUND(J2612*Settings!$B$8,2))</f>
        <v/>
      </c>
      <c r="L2612" s="16"/>
      <c r="M2612" s="8" t="str">
        <f t="shared" si="40"/>
        <v/>
      </c>
      <c r="N2612" s="9"/>
    </row>
    <row r="2613" spans="1:14" ht="15.75">
      <c r="A2613" s="11"/>
      <c r="B2613" s="9"/>
      <c r="C2613" s="12" t="str">
        <f>IF(B2613="","",IFERROR(INDEX('Cashier Roster'!$C$5:$C$64,MATCH(B2613,'Cashier Roster'!$B$5:$B$64,0)),"Not on roster"))</f>
        <v/>
      </c>
      <c r="D2613" s="12" t="str">
        <f>IF(B2613="","",IFERROR(INDEX('Cashier Roster'!$D$5:$D$64,MATCH(B2613,'Cashier Roster'!$B$5:$B$64,0)),""))</f>
        <v/>
      </c>
      <c r="E2613" s="13"/>
      <c r="F2613" s="14"/>
      <c r="G2613" s="8" t="str">
        <f>IF(OR(B2613="",E2613=""),"",IF(E2613="No","Missed",IF(F2613="","",IF(F2613&lt;=Settings!$B$7,"On time","Late"))))</f>
        <v/>
      </c>
      <c r="H2613" s="15"/>
      <c r="I2613" s="16"/>
      <c r="J2613" s="16"/>
      <c r="K2613" s="17" t="str">
        <f>IF(J2613="","",ROUND(J2613*Settings!$B$8,2))</f>
        <v/>
      </c>
      <c r="L2613" s="16"/>
      <c r="M2613" s="8" t="str">
        <f t="shared" si="40"/>
        <v/>
      </c>
      <c r="N2613" s="9"/>
    </row>
    <row r="2614" spans="1:14" ht="15.75">
      <c r="A2614" s="11"/>
      <c r="B2614" s="9"/>
      <c r="C2614" s="12" t="str">
        <f>IF(B2614="","",IFERROR(INDEX('Cashier Roster'!$C$5:$C$64,MATCH(B2614,'Cashier Roster'!$B$5:$B$64,0)),"Not on roster"))</f>
        <v/>
      </c>
      <c r="D2614" s="12" t="str">
        <f>IF(B2614="","",IFERROR(INDEX('Cashier Roster'!$D$5:$D$64,MATCH(B2614,'Cashier Roster'!$B$5:$B$64,0)),""))</f>
        <v/>
      </c>
      <c r="E2614" s="13"/>
      <c r="F2614" s="14"/>
      <c r="G2614" s="8" t="str">
        <f>IF(OR(B2614="",E2614=""),"",IF(E2614="No","Missed",IF(F2614="","",IF(F2614&lt;=Settings!$B$7,"On time","Late"))))</f>
        <v/>
      </c>
      <c r="H2614" s="15"/>
      <c r="I2614" s="16"/>
      <c r="J2614" s="16"/>
      <c r="K2614" s="17" t="str">
        <f>IF(J2614="","",ROUND(J2614*Settings!$B$8,2))</f>
        <v/>
      </c>
      <c r="L2614" s="16"/>
      <c r="M2614" s="8" t="str">
        <f t="shared" si="40"/>
        <v/>
      </c>
      <c r="N2614" s="9"/>
    </row>
    <row r="2615" spans="1:14" ht="15.75">
      <c r="A2615" s="11"/>
      <c r="B2615" s="9"/>
      <c r="C2615" s="12" t="str">
        <f>IF(B2615="","",IFERROR(INDEX('Cashier Roster'!$C$5:$C$64,MATCH(B2615,'Cashier Roster'!$B$5:$B$64,0)),"Not on roster"))</f>
        <v/>
      </c>
      <c r="D2615" s="12" t="str">
        <f>IF(B2615="","",IFERROR(INDEX('Cashier Roster'!$D$5:$D$64,MATCH(B2615,'Cashier Roster'!$B$5:$B$64,0)),""))</f>
        <v/>
      </c>
      <c r="E2615" s="13"/>
      <c r="F2615" s="14"/>
      <c r="G2615" s="8" t="str">
        <f>IF(OR(B2615="",E2615=""),"",IF(E2615="No","Missed",IF(F2615="","",IF(F2615&lt;=Settings!$B$7,"On time","Late"))))</f>
        <v/>
      </c>
      <c r="H2615" s="15"/>
      <c r="I2615" s="16"/>
      <c r="J2615" s="16"/>
      <c r="K2615" s="17" t="str">
        <f>IF(J2615="","",ROUND(J2615*Settings!$B$8,2))</f>
        <v/>
      </c>
      <c r="L2615" s="16"/>
      <c r="M2615" s="8" t="str">
        <f t="shared" si="40"/>
        <v/>
      </c>
      <c r="N2615" s="9"/>
    </row>
    <row r="2616" spans="1:14" ht="15.75">
      <c r="A2616" s="11"/>
      <c r="B2616" s="9"/>
      <c r="C2616" s="12" t="str">
        <f>IF(B2616="","",IFERROR(INDEX('Cashier Roster'!$C$5:$C$64,MATCH(B2616,'Cashier Roster'!$B$5:$B$64,0)),"Not on roster"))</f>
        <v/>
      </c>
      <c r="D2616" s="12" t="str">
        <f>IF(B2616="","",IFERROR(INDEX('Cashier Roster'!$D$5:$D$64,MATCH(B2616,'Cashier Roster'!$B$5:$B$64,0)),""))</f>
        <v/>
      </c>
      <c r="E2616" s="13"/>
      <c r="F2616" s="14"/>
      <c r="G2616" s="8" t="str">
        <f>IF(OR(B2616="",E2616=""),"",IF(E2616="No","Missed",IF(F2616="","",IF(F2616&lt;=Settings!$B$7,"On time","Late"))))</f>
        <v/>
      </c>
      <c r="H2616" s="15"/>
      <c r="I2616" s="16"/>
      <c r="J2616" s="16"/>
      <c r="K2616" s="17" t="str">
        <f>IF(J2616="","",ROUND(J2616*Settings!$B$8,2))</f>
        <v/>
      </c>
      <c r="L2616" s="16"/>
      <c r="M2616" s="8" t="str">
        <f t="shared" si="40"/>
        <v/>
      </c>
      <c r="N2616" s="9"/>
    </row>
    <row r="2617" spans="1:14" ht="15.75">
      <c r="A2617" s="11"/>
      <c r="B2617" s="9"/>
      <c r="C2617" s="12" t="str">
        <f>IF(B2617="","",IFERROR(INDEX('Cashier Roster'!$C$5:$C$64,MATCH(B2617,'Cashier Roster'!$B$5:$B$64,0)),"Not on roster"))</f>
        <v/>
      </c>
      <c r="D2617" s="12" t="str">
        <f>IF(B2617="","",IFERROR(INDEX('Cashier Roster'!$D$5:$D$64,MATCH(B2617,'Cashier Roster'!$B$5:$B$64,0)),""))</f>
        <v/>
      </c>
      <c r="E2617" s="13"/>
      <c r="F2617" s="14"/>
      <c r="G2617" s="8" t="str">
        <f>IF(OR(B2617="",E2617=""),"",IF(E2617="No","Missed",IF(F2617="","",IF(F2617&lt;=Settings!$B$7,"On time","Late"))))</f>
        <v/>
      </c>
      <c r="H2617" s="15"/>
      <c r="I2617" s="16"/>
      <c r="J2617" s="16"/>
      <c r="K2617" s="17" t="str">
        <f>IF(J2617="","",ROUND(J2617*Settings!$B$8,2))</f>
        <v/>
      </c>
      <c r="L2617" s="16"/>
      <c r="M2617" s="8" t="str">
        <f t="shared" si="40"/>
        <v/>
      </c>
      <c r="N2617" s="9"/>
    </row>
    <row r="2618" spans="1:14" ht="15.75">
      <c r="A2618" s="11"/>
      <c r="B2618" s="9"/>
      <c r="C2618" s="12" t="str">
        <f>IF(B2618="","",IFERROR(INDEX('Cashier Roster'!$C$5:$C$64,MATCH(B2618,'Cashier Roster'!$B$5:$B$64,0)),"Not on roster"))</f>
        <v/>
      </c>
      <c r="D2618" s="12" t="str">
        <f>IF(B2618="","",IFERROR(INDEX('Cashier Roster'!$D$5:$D$64,MATCH(B2618,'Cashier Roster'!$B$5:$B$64,0)),""))</f>
        <v/>
      </c>
      <c r="E2618" s="13"/>
      <c r="F2618" s="14"/>
      <c r="G2618" s="8" t="str">
        <f>IF(OR(B2618="",E2618=""),"",IF(E2618="No","Missed",IF(F2618="","",IF(F2618&lt;=Settings!$B$7,"On time","Late"))))</f>
        <v/>
      </c>
      <c r="H2618" s="15"/>
      <c r="I2618" s="16"/>
      <c r="J2618" s="16"/>
      <c r="K2618" s="17" t="str">
        <f>IF(J2618="","",ROUND(J2618*Settings!$B$8,2))</f>
        <v/>
      </c>
      <c r="L2618" s="16"/>
      <c r="M2618" s="8" t="str">
        <f t="shared" si="40"/>
        <v/>
      </c>
      <c r="N2618" s="9"/>
    </row>
    <row r="2619" spans="1:14" ht="15.75">
      <c r="A2619" s="11"/>
      <c r="B2619" s="9"/>
      <c r="C2619" s="12" t="str">
        <f>IF(B2619="","",IFERROR(INDEX('Cashier Roster'!$C$5:$C$64,MATCH(B2619,'Cashier Roster'!$B$5:$B$64,0)),"Not on roster"))</f>
        <v/>
      </c>
      <c r="D2619" s="12" t="str">
        <f>IF(B2619="","",IFERROR(INDEX('Cashier Roster'!$D$5:$D$64,MATCH(B2619,'Cashier Roster'!$B$5:$B$64,0)),""))</f>
        <v/>
      </c>
      <c r="E2619" s="13"/>
      <c r="F2619" s="14"/>
      <c r="G2619" s="8" t="str">
        <f>IF(OR(B2619="",E2619=""),"",IF(E2619="No","Missed",IF(F2619="","",IF(F2619&lt;=Settings!$B$7,"On time","Late"))))</f>
        <v/>
      </c>
      <c r="H2619" s="15"/>
      <c r="I2619" s="16"/>
      <c r="J2619" s="16"/>
      <c r="K2619" s="17" t="str">
        <f>IF(J2619="","",ROUND(J2619*Settings!$B$8,2))</f>
        <v/>
      </c>
      <c r="L2619" s="16"/>
      <c r="M2619" s="8" t="str">
        <f t="shared" si="40"/>
        <v/>
      </c>
      <c r="N2619" s="9"/>
    </row>
    <row r="2620" spans="1:14" ht="15.75">
      <c r="A2620" s="11"/>
      <c r="B2620" s="9"/>
      <c r="C2620" s="12" t="str">
        <f>IF(B2620="","",IFERROR(INDEX('Cashier Roster'!$C$5:$C$64,MATCH(B2620,'Cashier Roster'!$B$5:$B$64,0)),"Not on roster"))</f>
        <v/>
      </c>
      <c r="D2620" s="12" t="str">
        <f>IF(B2620="","",IFERROR(INDEX('Cashier Roster'!$D$5:$D$64,MATCH(B2620,'Cashier Roster'!$B$5:$B$64,0)),""))</f>
        <v/>
      </c>
      <c r="E2620" s="13"/>
      <c r="F2620" s="14"/>
      <c r="G2620" s="8" t="str">
        <f>IF(OR(B2620="",E2620=""),"",IF(E2620="No","Missed",IF(F2620="","",IF(F2620&lt;=Settings!$B$7,"On time","Late"))))</f>
        <v/>
      </c>
      <c r="H2620" s="15"/>
      <c r="I2620" s="16"/>
      <c r="J2620" s="16"/>
      <c r="K2620" s="17" t="str">
        <f>IF(J2620="","",ROUND(J2620*Settings!$B$8,2))</f>
        <v/>
      </c>
      <c r="L2620" s="16"/>
      <c r="M2620" s="8" t="str">
        <f t="shared" si="40"/>
        <v/>
      </c>
      <c r="N2620" s="9"/>
    </row>
    <row r="2621" spans="1:14" ht="15.75">
      <c r="A2621" s="11"/>
      <c r="B2621" s="9"/>
      <c r="C2621" s="12" t="str">
        <f>IF(B2621="","",IFERROR(INDEX('Cashier Roster'!$C$5:$C$64,MATCH(B2621,'Cashier Roster'!$B$5:$B$64,0)),"Not on roster"))</f>
        <v/>
      </c>
      <c r="D2621" s="12" t="str">
        <f>IF(B2621="","",IFERROR(INDEX('Cashier Roster'!$D$5:$D$64,MATCH(B2621,'Cashier Roster'!$B$5:$B$64,0)),""))</f>
        <v/>
      </c>
      <c r="E2621" s="13"/>
      <c r="F2621" s="14"/>
      <c r="G2621" s="8" t="str">
        <f>IF(OR(B2621="",E2621=""),"",IF(E2621="No","Missed",IF(F2621="","",IF(F2621&lt;=Settings!$B$7,"On time","Late"))))</f>
        <v/>
      </c>
      <c r="H2621" s="15"/>
      <c r="I2621" s="16"/>
      <c r="J2621" s="16"/>
      <c r="K2621" s="17" t="str">
        <f>IF(J2621="","",ROUND(J2621*Settings!$B$8,2))</f>
        <v/>
      </c>
      <c r="L2621" s="16"/>
      <c r="M2621" s="8" t="str">
        <f t="shared" si="40"/>
        <v/>
      </c>
      <c r="N2621" s="9"/>
    </row>
    <row r="2622" spans="1:14" ht="15.75">
      <c r="A2622" s="11"/>
      <c r="B2622" s="9"/>
      <c r="C2622" s="12" t="str">
        <f>IF(B2622="","",IFERROR(INDEX('Cashier Roster'!$C$5:$C$64,MATCH(B2622,'Cashier Roster'!$B$5:$B$64,0)),"Not on roster"))</f>
        <v/>
      </c>
      <c r="D2622" s="12" t="str">
        <f>IF(B2622="","",IFERROR(INDEX('Cashier Roster'!$D$5:$D$64,MATCH(B2622,'Cashier Roster'!$B$5:$B$64,0)),""))</f>
        <v/>
      </c>
      <c r="E2622" s="13"/>
      <c r="F2622" s="14"/>
      <c r="G2622" s="8" t="str">
        <f>IF(OR(B2622="",E2622=""),"",IF(E2622="No","Missed",IF(F2622="","",IF(F2622&lt;=Settings!$B$7,"On time","Late"))))</f>
        <v/>
      </c>
      <c r="H2622" s="15"/>
      <c r="I2622" s="16"/>
      <c r="J2622" s="16"/>
      <c r="K2622" s="17" t="str">
        <f>IF(J2622="","",ROUND(J2622*Settings!$B$8,2))</f>
        <v/>
      </c>
      <c r="L2622" s="16"/>
      <c r="M2622" s="8" t="str">
        <f t="shared" si="40"/>
        <v/>
      </c>
      <c r="N2622" s="9"/>
    </row>
    <row r="2623" spans="1:14" ht="15.75">
      <c r="A2623" s="11"/>
      <c r="B2623" s="9"/>
      <c r="C2623" s="12" t="str">
        <f>IF(B2623="","",IFERROR(INDEX('Cashier Roster'!$C$5:$C$64,MATCH(B2623,'Cashier Roster'!$B$5:$B$64,0)),"Not on roster"))</f>
        <v/>
      </c>
      <c r="D2623" s="12" t="str">
        <f>IF(B2623="","",IFERROR(INDEX('Cashier Roster'!$D$5:$D$64,MATCH(B2623,'Cashier Roster'!$B$5:$B$64,0)),""))</f>
        <v/>
      </c>
      <c r="E2623" s="13"/>
      <c r="F2623" s="14"/>
      <c r="G2623" s="8" t="str">
        <f>IF(OR(B2623="",E2623=""),"",IF(E2623="No","Missed",IF(F2623="","",IF(F2623&lt;=Settings!$B$7,"On time","Late"))))</f>
        <v/>
      </c>
      <c r="H2623" s="15"/>
      <c r="I2623" s="16"/>
      <c r="J2623" s="16"/>
      <c r="K2623" s="17" t="str">
        <f>IF(J2623="","",ROUND(J2623*Settings!$B$8,2))</f>
        <v/>
      </c>
      <c r="L2623" s="16"/>
      <c r="M2623" s="8" t="str">
        <f t="shared" si="40"/>
        <v/>
      </c>
      <c r="N2623" s="9"/>
    </row>
    <row r="2624" spans="1:14" ht="15.75">
      <c r="A2624" s="11"/>
      <c r="B2624" s="9"/>
      <c r="C2624" s="12" t="str">
        <f>IF(B2624="","",IFERROR(INDEX('Cashier Roster'!$C$5:$C$64,MATCH(B2624,'Cashier Roster'!$B$5:$B$64,0)),"Not on roster"))</f>
        <v/>
      </c>
      <c r="D2624" s="12" t="str">
        <f>IF(B2624="","",IFERROR(INDEX('Cashier Roster'!$D$5:$D$64,MATCH(B2624,'Cashier Roster'!$B$5:$B$64,0)),""))</f>
        <v/>
      </c>
      <c r="E2624" s="13"/>
      <c r="F2624" s="14"/>
      <c r="G2624" s="8" t="str">
        <f>IF(OR(B2624="",E2624=""),"",IF(E2624="No","Missed",IF(F2624="","",IF(F2624&lt;=Settings!$B$7,"On time","Late"))))</f>
        <v/>
      </c>
      <c r="H2624" s="15"/>
      <c r="I2624" s="16"/>
      <c r="J2624" s="16"/>
      <c r="K2624" s="17" t="str">
        <f>IF(J2624="","",ROUND(J2624*Settings!$B$8,2))</f>
        <v/>
      </c>
      <c r="L2624" s="16"/>
      <c r="M2624" s="8" t="str">
        <f t="shared" si="40"/>
        <v/>
      </c>
      <c r="N2624" s="9"/>
    </row>
    <row r="2625" spans="1:14" ht="15.75">
      <c r="A2625" s="11"/>
      <c r="B2625" s="9"/>
      <c r="C2625" s="12" t="str">
        <f>IF(B2625="","",IFERROR(INDEX('Cashier Roster'!$C$5:$C$64,MATCH(B2625,'Cashier Roster'!$B$5:$B$64,0)),"Not on roster"))</f>
        <v/>
      </c>
      <c r="D2625" s="12" t="str">
        <f>IF(B2625="","",IFERROR(INDEX('Cashier Roster'!$D$5:$D$64,MATCH(B2625,'Cashier Roster'!$B$5:$B$64,0)),""))</f>
        <v/>
      </c>
      <c r="E2625" s="13"/>
      <c r="F2625" s="14"/>
      <c r="G2625" s="8" t="str">
        <f>IF(OR(B2625="",E2625=""),"",IF(E2625="No","Missed",IF(F2625="","",IF(F2625&lt;=Settings!$B$7,"On time","Late"))))</f>
        <v/>
      </c>
      <c r="H2625" s="15"/>
      <c r="I2625" s="16"/>
      <c r="J2625" s="16"/>
      <c r="K2625" s="17" t="str">
        <f>IF(J2625="","",ROUND(J2625*Settings!$B$8,2))</f>
        <v/>
      </c>
      <c r="L2625" s="16"/>
      <c r="M2625" s="8" t="str">
        <f t="shared" si="40"/>
        <v/>
      </c>
      <c r="N2625" s="9"/>
    </row>
    <row r="2626" spans="1:14" ht="15.75">
      <c r="A2626" s="11"/>
      <c r="B2626" s="9"/>
      <c r="C2626" s="12" t="str">
        <f>IF(B2626="","",IFERROR(INDEX('Cashier Roster'!$C$5:$C$64,MATCH(B2626,'Cashier Roster'!$B$5:$B$64,0)),"Not on roster"))</f>
        <v/>
      </c>
      <c r="D2626" s="12" t="str">
        <f>IF(B2626="","",IFERROR(INDEX('Cashier Roster'!$D$5:$D$64,MATCH(B2626,'Cashier Roster'!$B$5:$B$64,0)),""))</f>
        <v/>
      </c>
      <c r="E2626" s="13"/>
      <c r="F2626" s="14"/>
      <c r="G2626" s="8" t="str">
        <f>IF(OR(B2626="",E2626=""),"",IF(E2626="No","Missed",IF(F2626="","",IF(F2626&lt;=Settings!$B$7,"On time","Late"))))</f>
        <v/>
      </c>
      <c r="H2626" s="15"/>
      <c r="I2626" s="16"/>
      <c r="J2626" s="16"/>
      <c r="K2626" s="17" t="str">
        <f>IF(J2626="","",ROUND(J2626*Settings!$B$8,2))</f>
        <v/>
      </c>
      <c r="L2626" s="16"/>
      <c r="M2626" s="8" t="str">
        <f t="shared" si="40"/>
        <v/>
      </c>
      <c r="N2626" s="9"/>
    </row>
    <row r="2627" spans="1:14" ht="15.75">
      <c r="A2627" s="11"/>
      <c r="B2627" s="9"/>
      <c r="C2627" s="12" t="str">
        <f>IF(B2627="","",IFERROR(INDEX('Cashier Roster'!$C$5:$C$64,MATCH(B2627,'Cashier Roster'!$B$5:$B$64,0)),"Not on roster"))</f>
        <v/>
      </c>
      <c r="D2627" s="12" t="str">
        <f>IF(B2627="","",IFERROR(INDEX('Cashier Roster'!$D$5:$D$64,MATCH(B2627,'Cashier Roster'!$B$5:$B$64,0)),""))</f>
        <v/>
      </c>
      <c r="E2627" s="13"/>
      <c r="F2627" s="14"/>
      <c r="G2627" s="8" t="str">
        <f>IF(OR(B2627="",E2627=""),"",IF(E2627="No","Missed",IF(F2627="","",IF(F2627&lt;=Settings!$B$7,"On time","Late"))))</f>
        <v/>
      </c>
      <c r="H2627" s="15"/>
      <c r="I2627" s="16"/>
      <c r="J2627" s="16"/>
      <c r="K2627" s="17" t="str">
        <f>IF(J2627="","",ROUND(J2627*Settings!$B$8,2))</f>
        <v/>
      </c>
      <c r="L2627" s="16"/>
      <c r="M2627" s="8" t="str">
        <f t="shared" si="40"/>
        <v/>
      </c>
      <c r="N2627" s="9"/>
    </row>
    <row r="2628" spans="1:14" ht="15.75">
      <c r="A2628" s="11"/>
      <c r="B2628" s="9"/>
      <c r="C2628" s="12" t="str">
        <f>IF(B2628="","",IFERROR(INDEX('Cashier Roster'!$C$5:$C$64,MATCH(B2628,'Cashier Roster'!$B$5:$B$64,0)),"Not on roster"))</f>
        <v/>
      </c>
      <c r="D2628" s="12" t="str">
        <f>IF(B2628="","",IFERROR(INDEX('Cashier Roster'!$D$5:$D$64,MATCH(B2628,'Cashier Roster'!$B$5:$B$64,0)),""))</f>
        <v/>
      </c>
      <c r="E2628" s="13"/>
      <c r="F2628" s="14"/>
      <c r="G2628" s="8" t="str">
        <f>IF(OR(B2628="",E2628=""),"",IF(E2628="No","Missed",IF(F2628="","",IF(F2628&lt;=Settings!$B$7,"On time","Late"))))</f>
        <v/>
      </c>
      <c r="H2628" s="15"/>
      <c r="I2628" s="16"/>
      <c r="J2628" s="16"/>
      <c r="K2628" s="17" t="str">
        <f>IF(J2628="","",ROUND(J2628*Settings!$B$8,2))</f>
        <v/>
      </c>
      <c r="L2628" s="16"/>
      <c r="M2628" s="8" t="str">
        <f t="shared" si="40"/>
        <v/>
      </c>
      <c r="N2628" s="9"/>
    </row>
    <row r="2629" spans="1:14" ht="15.75">
      <c r="A2629" s="11"/>
      <c r="B2629" s="9"/>
      <c r="C2629" s="12" t="str">
        <f>IF(B2629="","",IFERROR(INDEX('Cashier Roster'!$C$5:$C$64,MATCH(B2629,'Cashier Roster'!$B$5:$B$64,0)),"Not on roster"))</f>
        <v/>
      </c>
      <c r="D2629" s="12" t="str">
        <f>IF(B2629="","",IFERROR(INDEX('Cashier Roster'!$D$5:$D$64,MATCH(B2629,'Cashier Roster'!$B$5:$B$64,0)),""))</f>
        <v/>
      </c>
      <c r="E2629" s="13"/>
      <c r="F2629" s="14"/>
      <c r="G2629" s="8" t="str">
        <f>IF(OR(B2629="",E2629=""),"",IF(E2629="No","Missed",IF(F2629="","",IF(F2629&lt;=Settings!$B$7,"On time","Late"))))</f>
        <v/>
      </c>
      <c r="H2629" s="15"/>
      <c r="I2629" s="16"/>
      <c r="J2629" s="16"/>
      <c r="K2629" s="17" t="str">
        <f>IF(J2629="","",ROUND(J2629*Settings!$B$8,2))</f>
        <v/>
      </c>
      <c r="L2629" s="16"/>
      <c r="M2629" s="8" t="str">
        <f t="shared" ref="M2629:M2692" si="41">IF(L2629="","",IF(L2629&lt;=0,"Yes","No"))</f>
        <v/>
      </c>
      <c r="N2629" s="9"/>
    </row>
    <row r="2630" spans="1:14" ht="15.75">
      <c r="A2630" s="11"/>
      <c r="B2630" s="9"/>
      <c r="C2630" s="12" t="str">
        <f>IF(B2630="","",IFERROR(INDEX('Cashier Roster'!$C$5:$C$64,MATCH(B2630,'Cashier Roster'!$B$5:$B$64,0)),"Not on roster"))</f>
        <v/>
      </c>
      <c r="D2630" s="12" t="str">
        <f>IF(B2630="","",IFERROR(INDEX('Cashier Roster'!$D$5:$D$64,MATCH(B2630,'Cashier Roster'!$B$5:$B$64,0)),""))</f>
        <v/>
      </c>
      <c r="E2630" s="13"/>
      <c r="F2630" s="14"/>
      <c r="G2630" s="8" t="str">
        <f>IF(OR(B2630="",E2630=""),"",IF(E2630="No","Missed",IF(F2630="","",IF(F2630&lt;=Settings!$B$7,"On time","Late"))))</f>
        <v/>
      </c>
      <c r="H2630" s="15"/>
      <c r="I2630" s="16"/>
      <c r="J2630" s="16"/>
      <c r="K2630" s="17" t="str">
        <f>IF(J2630="","",ROUND(J2630*Settings!$B$8,2))</f>
        <v/>
      </c>
      <c r="L2630" s="16"/>
      <c r="M2630" s="8" t="str">
        <f t="shared" si="41"/>
        <v/>
      </c>
      <c r="N2630" s="9"/>
    </row>
    <row r="2631" spans="1:14" ht="15.75">
      <c r="A2631" s="11"/>
      <c r="B2631" s="9"/>
      <c r="C2631" s="12" t="str">
        <f>IF(B2631="","",IFERROR(INDEX('Cashier Roster'!$C$5:$C$64,MATCH(B2631,'Cashier Roster'!$B$5:$B$64,0)),"Not on roster"))</f>
        <v/>
      </c>
      <c r="D2631" s="12" t="str">
        <f>IF(B2631="","",IFERROR(INDEX('Cashier Roster'!$D$5:$D$64,MATCH(B2631,'Cashier Roster'!$B$5:$B$64,0)),""))</f>
        <v/>
      </c>
      <c r="E2631" s="13"/>
      <c r="F2631" s="14"/>
      <c r="G2631" s="8" t="str">
        <f>IF(OR(B2631="",E2631=""),"",IF(E2631="No","Missed",IF(F2631="","",IF(F2631&lt;=Settings!$B$7,"On time","Late"))))</f>
        <v/>
      </c>
      <c r="H2631" s="15"/>
      <c r="I2631" s="16"/>
      <c r="J2631" s="16"/>
      <c r="K2631" s="17" t="str">
        <f>IF(J2631="","",ROUND(J2631*Settings!$B$8,2))</f>
        <v/>
      </c>
      <c r="L2631" s="16"/>
      <c r="M2631" s="8" t="str">
        <f t="shared" si="41"/>
        <v/>
      </c>
      <c r="N2631" s="9"/>
    </row>
    <row r="2632" spans="1:14" ht="15.75">
      <c r="A2632" s="11"/>
      <c r="B2632" s="9"/>
      <c r="C2632" s="12" t="str">
        <f>IF(B2632="","",IFERROR(INDEX('Cashier Roster'!$C$5:$C$64,MATCH(B2632,'Cashier Roster'!$B$5:$B$64,0)),"Not on roster"))</f>
        <v/>
      </c>
      <c r="D2632" s="12" t="str">
        <f>IF(B2632="","",IFERROR(INDEX('Cashier Roster'!$D$5:$D$64,MATCH(B2632,'Cashier Roster'!$B$5:$B$64,0)),""))</f>
        <v/>
      </c>
      <c r="E2632" s="13"/>
      <c r="F2632" s="14"/>
      <c r="G2632" s="8" t="str">
        <f>IF(OR(B2632="",E2632=""),"",IF(E2632="No","Missed",IF(F2632="","",IF(F2632&lt;=Settings!$B$7,"On time","Late"))))</f>
        <v/>
      </c>
      <c r="H2632" s="15"/>
      <c r="I2632" s="16"/>
      <c r="J2632" s="16"/>
      <c r="K2632" s="17" t="str">
        <f>IF(J2632="","",ROUND(J2632*Settings!$B$8,2))</f>
        <v/>
      </c>
      <c r="L2632" s="16"/>
      <c r="M2632" s="8" t="str">
        <f t="shared" si="41"/>
        <v/>
      </c>
      <c r="N2632" s="9"/>
    </row>
    <row r="2633" spans="1:14" ht="15.75">
      <c r="A2633" s="11"/>
      <c r="B2633" s="9"/>
      <c r="C2633" s="12" t="str">
        <f>IF(B2633="","",IFERROR(INDEX('Cashier Roster'!$C$5:$C$64,MATCH(B2633,'Cashier Roster'!$B$5:$B$64,0)),"Not on roster"))</f>
        <v/>
      </c>
      <c r="D2633" s="12" t="str">
        <f>IF(B2633="","",IFERROR(INDEX('Cashier Roster'!$D$5:$D$64,MATCH(B2633,'Cashier Roster'!$B$5:$B$64,0)),""))</f>
        <v/>
      </c>
      <c r="E2633" s="13"/>
      <c r="F2633" s="14"/>
      <c r="G2633" s="8" t="str">
        <f>IF(OR(B2633="",E2633=""),"",IF(E2633="No","Missed",IF(F2633="","",IF(F2633&lt;=Settings!$B$7,"On time","Late"))))</f>
        <v/>
      </c>
      <c r="H2633" s="15"/>
      <c r="I2633" s="16"/>
      <c r="J2633" s="16"/>
      <c r="K2633" s="17" t="str">
        <f>IF(J2633="","",ROUND(J2633*Settings!$B$8,2))</f>
        <v/>
      </c>
      <c r="L2633" s="16"/>
      <c r="M2633" s="8" t="str">
        <f t="shared" si="41"/>
        <v/>
      </c>
      <c r="N2633" s="9"/>
    </row>
    <row r="2634" spans="1:14" ht="15.75">
      <c r="A2634" s="11"/>
      <c r="B2634" s="9"/>
      <c r="C2634" s="12" t="str">
        <f>IF(B2634="","",IFERROR(INDEX('Cashier Roster'!$C$5:$C$64,MATCH(B2634,'Cashier Roster'!$B$5:$B$64,0)),"Not on roster"))</f>
        <v/>
      </c>
      <c r="D2634" s="12" t="str">
        <f>IF(B2634="","",IFERROR(INDEX('Cashier Roster'!$D$5:$D$64,MATCH(B2634,'Cashier Roster'!$B$5:$B$64,0)),""))</f>
        <v/>
      </c>
      <c r="E2634" s="13"/>
      <c r="F2634" s="14"/>
      <c r="G2634" s="8" t="str">
        <f>IF(OR(B2634="",E2634=""),"",IF(E2634="No","Missed",IF(F2634="","",IF(F2634&lt;=Settings!$B$7,"On time","Late"))))</f>
        <v/>
      </c>
      <c r="H2634" s="15"/>
      <c r="I2634" s="16"/>
      <c r="J2634" s="16"/>
      <c r="K2634" s="17" t="str">
        <f>IF(J2634="","",ROUND(J2634*Settings!$B$8,2))</f>
        <v/>
      </c>
      <c r="L2634" s="16"/>
      <c r="M2634" s="8" t="str">
        <f t="shared" si="41"/>
        <v/>
      </c>
      <c r="N2634" s="9"/>
    </row>
    <row r="2635" spans="1:14" ht="15.75">
      <c r="A2635" s="11"/>
      <c r="B2635" s="9"/>
      <c r="C2635" s="12" t="str">
        <f>IF(B2635="","",IFERROR(INDEX('Cashier Roster'!$C$5:$C$64,MATCH(B2635,'Cashier Roster'!$B$5:$B$64,0)),"Not on roster"))</f>
        <v/>
      </c>
      <c r="D2635" s="12" t="str">
        <f>IF(B2635="","",IFERROR(INDEX('Cashier Roster'!$D$5:$D$64,MATCH(B2635,'Cashier Roster'!$B$5:$B$64,0)),""))</f>
        <v/>
      </c>
      <c r="E2635" s="13"/>
      <c r="F2635" s="14"/>
      <c r="G2635" s="8" t="str">
        <f>IF(OR(B2635="",E2635=""),"",IF(E2635="No","Missed",IF(F2635="","",IF(F2635&lt;=Settings!$B$7,"On time","Late"))))</f>
        <v/>
      </c>
      <c r="H2635" s="15"/>
      <c r="I2635" s="16"/>
      <c r="J2635" s="16"/>
      <c r="K2635" s="17" t="str">
        <f>IF(J2635="","",ROUND(J2635*Settings!$B$8,2))</f>
        <v/>
      </c>
      <c r="L2635" s="16"/>
      <c r="M2635" s="8" t="str">
        <f t="shared" si="41"/>
        <v/>
      </c>
      <c r="N2635" s="9"/>
    </row>
    <row r="2636" spans="1:14" ht="15.75">
      <c r="A2636" s="11"/>
      <c r="B2636" s="9"/>
      <c r="C2636" s="12" t="str">
        <f>IF(B2636="","",IFERROR(INDEX('Cashier Roster'!$C$5:$C$64,MATCH(B2636,'Cashier Roster'!$B$5:$B$64,0)),"Not on roster"))</f>
        <v/>
      </c>
      <c r="D2636" s="12" t="str">
        <f>IF(B2636="","",IFERROR(INDEX('Cashier Roster'!$D$5:$D$64,MATCH(B2636,'Cashier Roster'!$B$5:$B$64,0)),""))</f>
        <v/>
      </c>
      <c r="E2636" s="13"/>
      <c r="F2636" s="14"/>
      <c r="G2636" s="8" t="str">
        <f>IF(OR(B2636="",E2636=""),"",IF(E2636="No","Missed",IF(F2636="","",IF(F2636&lt;=Settings!$B$7,"On time","Late"))))</f>
        <v/>
      </c>
      <c r="H2636" s="15"/>
      <c r="I2636" s="16"/>
      <c r="J2636" s="16"/>
      <c r="K2636" s="17" t="str">
        <f>IF(J2636="","",ROUND(J2636*Settings!$B$8,2))</f>
        <v/>
      </c>
      <c r="L2636" s="16"/>
      <c r="M2636" s="8" t="str">
        <f t="shared" si="41"/>
        <v/>
      </c>
      <c r="N2636" s="9"/>
    </row>
    <row r="2637" spans="1:14" ht="15.75">
      <c r="A2637" s="11"/>
      <c r="B2637" s="9"/>
      <c r="C2637" s="12" t="str">
        <f>IF(B2637="","",IFERROR(INDEX('Cashier Roster'!$C$5:$C$64,MATCH(B2637,'Cashier Roster'!$B$5:$B$64,0)),"Not on roster"))</f>
        <v/>
      </c>
      <c r="D2637" s="12" t="str">
        <f>IF(B2637="","",IFERROR(INDEX('Cashier Roster'!$D$5:$D$64,MATCH(B2637,'Cashier Roster'!$B$5:$B$64,0)),""))</f>
        <v/>
      </c>
      <c r="E2637" s="13"/>
      <c r="F2637" s="14"/>
      <c r="G2637" s="8" t="str">
        <f>IF(OR(B2637="",E2637=""),"",IF(E2637="No","Missed",IF(F2637="","",IF(F2637&lt;=Settings!$B$7,"On time","Late"))))</f>
        <v/>
      </c>
      <c r="H2637" s="15"/>
      <c r="I2637" s="16"/>
      <c r="J2637" s="16"/>
      <c r="K2637" s="17" t="str">
        <f>IF(J2637="","",ROUND(J2637*Settings!$B$8,2))</f>
        <v/>
      </c>
      <c r="L2637" s="16"/>
      <c r="M2637" s="8" t="str">
        <f t="shared" si="41"/>
        <v/>
      </c>
      <c r="N2637" s="9"/>
    </row>
    <row r="2638" spans="1:14" ht="15.75">
      <c r="A2638" s="11"/>
      <c r="B2638" s="9"/>
      <c r="C2638" s="12" t="str">
        <f>IF(B2638="","",IFERROR(INDEX('Cashier Roster'!$C$5:$C$64,MATCH(B2638,'Cashier Roster'!$B$5:$B$64,0)),"Not on roster"))</f>
        <v/>
      </c>
      <c r="D2638" s="12" t="str">
        <f>IF(B2638="","",IFERROR(INDEX('Cashier Roster'!$D$5:$D$64,MATCH(B2638,'Cashier Roster'!$B$5:$B$64,0)),""))</f>
        <v/>
      </c>
      <c r="E2638" s="13"/>
      <c r="F2638" s="14"/>
      <c r="G2638" s="8" t="str">
        <f>IF(OR(B2638="",E2638=""),"",IF(E2638="No","Missed",IF(F2638="","",IF(F2638&lt;=Settings!$B$7,"On time","Late"))))</f>
        <v/>
      </c>
      <c r="H2638" s="15"/>
      <c r="I2638" s="16"/>
      <c r="J2638" s="16"/>
      <c r="K2638" s="17" t="str">
        <f>IF(J2638="","",ROUND(J2638*Settings!$B$8,2))</f>
        <v/>
      </c>
      <c r="L2638" s="16"/>
      <c r="M2638" s="8" t="str">
        <f t="shared" si="41"/>
        <v/>
      </c>
      <c r="N2638" s="9"/>
    </row>
    <row r="2639" spans="1:14" ht="15.75">
      <c r="A2639" s="11"/>
      <c r="B2639" s="9"/>
      <c r="C2639" s="12" t="str">
        <f>IF(B2639="","",IFERROR(INDEX('Cashier Roster'!$C$5:$C$64,MATCH(B2639,'Cashier Roster'!$B$5:$B$64,0)),"Not on roster"))</f>
        <v/>
      </c>
      <c r="D2639" s="12" t="str">
        <f>IF(B2639="","",IFERROR(INDEX('Cashier Roster'!$D$5:$D$64,MATCH(B2639,'Cashier Roster'!$B$5:$B$64,0)),""))</f>
        <v/>
      </c>
      <c r="E2639" s="13"/>
      <c r="F2639" s="14"/>
      <c r="G2639" s="8" t="str">
        <f>IF(OR(B2639="",E2639=""),"",IF(E2639="No","Missed",IF(F2639="","",IF(F2639&lt;=Settings!$B$7,"On time","Late"))))</f>
        <v/>
      </c>
      <c r="H2639" s="15"/>
      <c r="I2639" s="16"/>
      <c r="J2639" s="16"/>
      <c r="K2639" s="17" t="str">
        <f>IF(J2639="","",ROUND(J2639*Settings!$B$8,2))</f>
        <v/>
      </c>
      <c r="L2639" s="16"/>
      <c r="M2639" s="8" t="str">
        <f t="shared" si="41"/>
        <v/>
      </c>
      <c r="N2639" s="9"/>
    </row>
    <row r="2640" spans="1:14" ht="15.75">
      <c r="A2640" s="11"/>
      <c r="B2640" s="9"/>
      <c r="C2640" s="12" t="str">
        <f>IF(B2640="","",IFERROR(INDEX('Cashier Roster'!$C$5:$C$64,MATCH(B2640,'Cashier Roster'!$B$5:$B$64,0)),"Not on roster"))</f>
        <v/>
      </c>
      <c r="D2640" s="12" t="str">
        <f>IF(B2640="","",IFERROR(INDEX('Cashier Roster'!$D$5:$D$64,MATCH(B2640,'Cashier Roster'!$B$5:$B$64,0)),""))</f>
        <v/>
      </c>
      <c r="E2640" s="13"/>
      <c r="F2640" s="14"/>
      <c r="G2640" s="8" t="str">
        <f>IF(OR(B2640="",E2640=""),"",IF(E2640="No","Missed",IF(F2640="","",IF(F2640&lt;=Settings!$B$7,"On time","Late"))))</f>
        <v/>
      </c>
      <c r="H2640" s="15"/>
      <c r="I2640" s="16"/>
      <c r="J2640" s="16"/>
      <c r="K2640" s="17" t="str">
        <f>IF(J2640="","",ROUND(J2640*Settings!$B$8,2))</f>
        <v/>
      </c>
      <c r="L2640" s="16"/>
      <c r="M2640" s="8" t="str">
        <f t="shared" si="41"/>
        <v/>
      </c>
      <c r="N2640" s="9"/>
    </row>
    <row r="2641" spans="1:14" ht="15.75">
      <c r="A2641" s="11"/>
      <c r="B2641" s="9"/>
      <c r="C2641" s="12" t="str">
        <f>IF(B2641="","",IFERROR(INDEX('Cashier Roster'!$C$5:$C$64,MATCH(B2641,'Cashier Roster'!$B$5:$B$64,0)),"Not on roster"))</f>
        <v/>
      </c>
      <c r="D2641" s="12" t="str">
        <f>IF(B2641="","",IFERROR(INDEX('Cashier Roster'!$D$5:$D$64,MATCH(B2641,'Cashier Roster'!$B$5:$B$64,0)),""))</f>
        <v/>
      </c>
      <c r="E2641" s="13"/>
      <c r="F2641" s="14"/>
      <c r="G2641" s="8" t="str">
        <f>IF(OR(B2641="",E2641=""),"",IF(E2641="No","Missed",IF(F2641="","",IF(F2641&lt;=Settings!$B$7,"On time","Late"))))</f>
        <v/>
      </c>
      <c r="H2641" s="15"/>
      <c r="I2641" s="16"/>
      <c r="J2641" s="16"/>
      <c r="K2641" s="17" t="str">
        <f>IF(J2641="","",ROUND(J2641*Settings!$B$8,2))</f>
        <v/>
      </c>
      <c r="L2641" s="16"/>
      <c r="M2641" s="8" t="str">
        <f t="shared" si="41"/>
        <v/>
      </c>
      <c r="N2641" s="9"/>
    </row>
    <row r="2642" spans="1:14" ht="15.75">
      <c r="A2642" s="11"/>
      <c r="B2642" s="9"/>
      <c r="C2642" s="12" t="str">
        <f>IF(B2642="","",IFERROR(INDEX('Cashier Roster'!$C$5:$C$64,MATCH(B2642,'Cashier Roster'!$B$5:$B$64,0)),"Not on roster"))</f>
        <v/>
      </c>
      <c r="D2642" s="12" t="str">
        <f>IF(B2642="","",IFERROR(INDEX('Cashier Roster'!$D$5:$D$64,MATCH(B2642,'Cashier Roster'!$B$5:$B$64,0)),""))</f>
        <v/>
      </c>
      <c r="E2642" s="13"/>
      <c r="F2642" s="14"/>
      <c r="G2642" s="8" t="str">
        <f>IF(OR(B2642="",E2642=""),"",IF(E2642="No","Missed",IF(F2642="","",IF(F2642&lt;=Settings!$B$7,"On time","Late"))))</f>
        <v/>
      </c>
      <c r="H2642" s="15"/>
      <c r="I2642" s="16"/>
      <c r="J2642" s="16"/>
      <c r="K2642" s="17" t="str">
        <f>IF(J2642="","",ROUND(J2642*Settings!$B$8,2))</f>
        <v/>
      </c>
      <c r="L2642" s="16"/>
      <c r="M2642" s="8" t="str">
        <f t="shared" si="41"/>
        <v/>
      </c>
      <c r="N2642" s="9"/>
    </row>
    <row r="2643" spans="1:14" ht="15.75">
      <c r="A2643" s="11"/>
      <c r="B2643" s="9"/>
      <c r="C2643" s="12" t="str">
        <f>IF(B2643="","",IFERROR(INDEX('Cashier Roster'!$C$5:$C$64,MATCH(B2643,'Cashier Roster'!$B$5:$B$64,0)),"Not on roster"))</f>
        <v/>
      </c>
      <c r="D2643" s="12" t="str">
        <f>IF(B2643="","",IFERROR(INDEX('Cashier Roster'!$D$5:$D$64,MATCH(B2643,'Cashier Roster'!$B$5:$B$64,0)),""))</f>
        <v/>
      </c>
      <c r="E2643" s="13"/>
      <c r="F2643" s="14"/>
      <c r="G2643" s="8" t="str">
        <f>IF(OR(B2643="",E2643=""),"",IF(E2643="No","Missed",IF(F2643="","",IF(F2643&lt;=Settings!$B$7,"On time","Late"))))</f>
        <v/>
      </c>
      <c r="H2643" s="15"/>
      <c r="I2643" s="16"/>
      <c r="J2643" s="16"/>
      <c r="K2643" s="17" t="str">
        <f>IF(J2643="","",ROUND(J2643*Settings!$B$8,2))</f>
        <v/>
      </c>
      <c r="L2643" s="16"/>
      <c r="M2643" s="8" t="str">
        <f t="shared" si="41"/>
        <v/>
      </c>
      <c r="N2643" s="9"/>
    </row>
    <row r="2644" spans="1:14" ht="15.75">
      <c r="A2644" s="11"/>
      <c r="B2644" s="9"/>
      <c r="C2644" s="12" t="str">
        <f>IF(B2644="","",IFERROR(INDEX('Cashier Roster'!$C$5:$C$64,MATCH(B2644,'Cashier Roster'!$B$5:$B$64,0)),"Not on roster"))</f>
        <v/>
      </c>
      <c r="D2644" s="12" t="str">
        <f>IF(B2644="","",IFERROR(INDEX('Cashier Roster'!$D$5:$D$64,MATCH(B2644,'Cashier Roster'!$B$5:$B$64,0)),""))</f>
        <v/>
      </c>
      <c r="E2644" s="13"/>
      <c r="F2644" s="14"/>
      <c r="G2644" s="8" t="str">
        <f>IF(OR(B2644="",E2644=""),"",IF(E2644="No","Missed",IF(F2644="","",IF(F2644&lt;=Settings!$B$7,"On time","Late"))))</f>
        <v/>
      </c>
      <c r="H2644" s="15"/>
      <c r="I2644" s="16"/>
      <c r="J2644" s="16"/>
      <c r="K2644" s="17" t="str">
        <f>IF(J2644="","",ROUND(J2644*Settings!$B$8,2))</f>
        <v/>
      </c>
      <c r="L2644" s="16"/>
      <c r="M2644" s="8" t="str">
        <f t="shared" si="41"/>
        <v/>
      </c>
      <c r="N2644" s="9"/>
    </row>
    <row r="2645" spans="1:14" ht="15.75">
      <c r="A2645" s="11"/>
      <c r="B2645" s="9"/>
      <c r="C2645" s="12" t="str">
        <f>IF(B2645="","",IFERROR(INDEX('Cashier Roster'!$C$5:$C$64,MATCH(B2645,'Cashier Roster'!$B$5:$B$64,0)),"Not on roster"))</f>
        <v/>
      </c>
      <c r="D2645" s="12" t="str">
        <f>IF(B2645="","",IFERROR(INDEX('Cashier Roster'!$D$5:$D$64,MATCH(B2645,'Cashier Roster'!$B$5:$B$64,0)),""))</f>
        <v/>
      </c>
      <c r="E2645" s="13"/>
      <c r="F2645" s="14"/>
      <c r="G2645" s="8" t="str">
        <f>IF(OR(B2645="",E2645=""),"",IF(E2645="No","Missed",IF(F2645="","",IF(F2645&lt;=Settings!$B$7,"On time","Late"))))</f>
        <v/>
      </c>
      <c r="H2645" s="15"/>
      <c r="I2645" s="16"/>
      <c r="J2645" s="16"/>
      <c r="K2645" s="17" t="str">
        <f>IF(J2645="","",ROUND(J2645*Settings!$B$8,2))</f>
        <v/>
      </c>
      <c r="L2645" s="16"/>
      <c r="M2645" s="8" t="str">
        <f t="shared" si="41"/>
        <v/>
      </c>
      <c r="N2645" s="9"/>
    </row>
    <row r="2646" spans="1:14" ht="15.75">
      <c r="A2646" s="11"/>
      <c r="B2646" s="9"/>
      <c r="C2646" s="12" t="str">
        <f>IF(B2646="","",IFERROR(INDEX('Cashier Roster'!$C$5:$C$64,MATCH(B2646,'Cashier Roster'!$B$5:$B$64,0)),"Not on roster"))</f>
        <v/>
      </c>
      <c r="D2646" s="12" t="str">
        <f>IF(B2646="","",IFERROR(INDEX('Cashier Roster'!$D$5:$D$64,MATCH(B2646,'Cashier Roster'!$B$5:$B$64,0)),""))</f>
        <v/>
      </c>
      <c r="E2646" s="13"/>
      <c r="F2646" s="14"/>
      <c r="G2646" s="8" t="str">
        <f>IF(OR(B2646="",E2646=""),"",IF(E2646="No","Missed",IF(F2646="","",IF(F2646&lt;=Settings!$B$7,"On time","Late"))))</f>
        <v/>
      </c>
      <c r="H2646" s="15"/>
      <c r="I2646" s="16"/>
      <c r="J2646" s="16"/>
      <c r="K2646" s="17" t="str">
        <f>IF(J2646="","",ROUND(J2646*Settings!$B$8,2))</f>
        <v/>
      </c>
      <c r="L2646" s="16"/>
      <c r="M2646" s="8" t="str">
        <f t="shared" si="41"/>
        <v/>
      </c>
      <c r="N2646" s="9"/>
    </row>
    <row r="2647" spans="1:14" ht="15.75">
      <c r="A2647" s="11"/>
      <c r="B2647" s="9"/>
      <c r="C2647" s="12" t="str">
        <f>IF(B2647="","",IFERROR(INDEX('Cashier Roster'!$C$5:$C$64,MATCH(B2647,'Cashier Roster'!$B$5:$B$64,0)),"Not on roster"))</f>
        <v/>
      </c>
      <c r="D2647" s="12" t="str">
        <f>IF(B2647="","",IFERROR(INDEX('Cashier Roster'!$D$5:$D$64,MATCH(B2647,'Cashier Roster'!$B$5:$B$64,0)),""))</f>
        <v/>
      </c>
      <c r="E2647" s="13"/>
      <c r="F2647" s="14"/>
      <c r="G2647" s="8" t="str">
        <f>IF(OR(B2647="",E2647=""),"",IF(E2647="No","Missed",IF(F2647="","",IF(F2647&lt;=Settings!$B$7,"On time","Late"))))</f>
        <v/>
      </c>
      <c r="H2647" s="15"/>
      <c r="I2647" s="16"/>
      <c r="J2647" s="16"/>
      <c r="K2647" s="17" t="str">
        <f>IF(J2647="","",ROUND(J2647*Settings!$B$8,2))</f>
        <v/>
      </c>
      <c r="L2647" s="16"/>
      <c r="M2647" s="8" t="str">
        <f t="shared" si="41"/>
        <v/>
      </c>
      <c r="N2647" s="9"/>
    </row>
    <row r="2648" spans="1:14" ht="15.75">
      <c r="A2648" s="11"/>
      <c r="B2648" s="9"/>
      <c r="C2648" s="12" t="str">
        <f>IF(B2648="","",IFERROR(INDEX('Cashier Roster'!$C$5:$C$64,MATCH(B2648,'Cashier Roster'!$B$5:$B$64,0)),"Not on roster"))</f>
        <v/>
      </c>
      <c r="D2648" s="12" t="str">
        <f>IF(B2648="","",IFERROR(INDEX('Cashier Roster'!$D$5:$D$64,MATCH(B2648,'Cashier Roster'!$B$5:$B$64,0)),""))</f>
        <v/>
      </c>
      <c r="E2648" s="13"/>
      <c r="F2648" s="14"/>
      <c r="G2648" s="8" t="str">
        <f>IF(OR(B2648="",E2648=""),"",IF(E2648="No","Missed",IF(F2648="","",IF(F2648&lt;=Settings!$B$7,"On time","Late"))))</f>
        <v/>
      </c>
      <c r="H2648" s="15"/>
      <c r="I2648" s="16"/>
      <c r="J2648" s="16"/>
      <c r="K2648" s="17" t="str">
        <f>IF(J2648="","",ROUND(J2648*Settings!$B$8,2))</f>
        <v/>
      </c>
      <c r="L2648" s="16"/>
      <c r="M2648" s="8" t="str">
        <f t="shared" si="41"/>
        <v/>
      </c>
      <c r="N2648" s="9"/>
    </row>
    <row r="2649" spans="1:14" ht="15.75">
      <c r="A2649" s="11"/>
      <c r="B2649" s="9"/>
      <c r="C2649" s="12" t="str">
        <f>IF(B2649="","",IFERROR(INDEX('Cashier Roster'!$C$5:$C$64,MATCH(B2649,'Cashier Roster'!$B$5:$B$64,0)),"Not on roster"))</f>
        <v/>
      </c>
      <c r="D2649" s="12" t="str">
        <f>IF(B2649="","",IFERROR(INDEX('Cashier Roster'!$D$5:$D$64,MATCH(B2649,'Cashier Roster'!$B$5:$B$64,0)),""))</f>
        <v/>
      </c>
      <c r="E2649" s="13"/>
      <c r="F2649" s="14"/>
      <c r="G2649" s="8" t="str">
        <f>IF(OR(B2649="",E2649=""),"",IF(E2649="No","Missed",IF(F2649="","",IF(F2649&lt;=Settings!$B$7,"On time","Late"))))</f>
        <v/>
      </c>
      <c r="H2649" s="15"/>
      <c r="I2649" s="16"/>
      <c r="J2649" s="16"/>
      <c r="K2649" s="17" t="str">
        <f>IF(J2649="","",ROUND(J2649*Settings!$B$8,2))</f>
        <v/>
      </c>
      <c r="L2649" s="16"/>
      <c r="M2649" s="8" t="str">
        <f t="shared" si="41"/>
        <v/>
      </c>
      <c r="N2649" s="9"/>
    </row>
    <row r="2650" spans="1:14" ht="15.75">
      <c r="A2650" s="11"/>
      <c r="B2650" s="9"/>
      <c r="C2650" s="12" t="str">
        <f>IF(B2650="","",IFERROR(INDEX('Cashier Roster'!$C$5:$C$64,MATCH(B2650,'Cashier Roster'!$B$5:$B$64,0)),"Not on roster"))</f>
        <v/>
      </c>
      <c r="D2650" s="12" t="str">
        <f>IF(B2650="","",IFERROR(INDEX('Cashier Roster'!$D$5:$D$64,MATCH(B2650,'Cashier Roster'!$B$5:$B$64,0)),""))</f>
        <v/>
      </c>
      <c r="E2650" s="13"/>
      <c r="F2650" s="14"/>
      <c r="G2650" s="8" t="str">
        <f>IF(OR(B2650="",E2650=""),"",IF(E2650="No","Missed",IF(F2650="","",IF(F2650&lt;=Settings!$B$7,"On time","Late"))))</f>
        <v/>
      </c>
      <c r="H2650" s="15"/>
      <c r="I2650" s="16"/>
      <c r="J2650" s="16"/>
      <c r="K2650" s="17" t="str">
        <f>IF(J2650="","",ROUND(J2650*Settings!$B$8,2))</f>
        <v/>
      </c>
      <c r="L2650" s="16"/>
      <c r="M2650" s="8" t="str">
        <f t="shared" si="41"/>
        <v/>
      </c>
      <c r="N2650" s="9"/>
    </row>
    <row r="2651" spans="1:14" ht="15.75">
      <c r="A2651" s="11"/>
      <c r="B2651" s="9"/>
      <c r="C2651" s="12" t="str">
        <f>IF(B2651="","",IFERROR(INDEX('Cashier Roster'!$C$5:$C$64,MATCH(B2651,'Cashier Roster'!$B$5:$B$64,0)),"Not on roster"))</f>
        <v/>
      </c>
      <c r="D2651" s="12" t="str">
        <f>IF(B2651="","",IFERROR(INDEX('Cashier Roster'!$D$5:$D$64,MATCH(B2651,'Cashier Roster'!$B$5:$B$64,0)),""))</f>
        <v/>
      </c>
      <c r="E2651" s="13"/>
      <c r="F2651" s="14"/>
      <c r="G2651" s="8" t="str">
        <f>IF(OR(B2651="",E2651=""),"",IF(E2651="No","Missed",IF(F2651="","",IF(F2651&lt;=Settings!$B$7,"On time","Late"))))</f>
        <v/>
      </c>
      <c r="H2651" s="15"/>
      <c r="I2651" s="16"/>
      <c r="J2651" s="16"/>
      <c r="K2651" s="17" t="str">
        <f>IF(J2651="","",ROUND(J2651*Settings!$B$8,2))</f>
        <v/>
      </c>
      <c r="L2651" s="16"/>
      <c r="M2651" s="8" t="str">
        <f t="shared" si="41"/>
        <v/>
      </c>
      <c r="N2651" s="9"/>
    </row>
    <row r="2652" spans="1:14" ht="15.75">
      <c r="A2652" s="11"/>
      <c r="B2652" s="9"/>
      <c r="C2652" s="12" t="str">
        <f>IF(B2652="","",IFERROR(INDEX('Cashier Roster'!$C$5:$C$64,MATCH(B2652,'Cashier Roster'!$B$5:$B$64,0)),"Not on roster"))</f>
        <v/>
      </c>
      <c r="D2652" s="12" t="str">
        <f>IF(B2652="","",IFERROR(INDEX('Cashier Roster'!$D$5:$D$64,MATCH(B2652,'Cashier Roster'!$B$5:$B$64,0)),""))</f>
        <v/>
      </c>
      <c r="E2652" s="13"/>
      <c r="F2652" s="14"/>
      <c r="G2652" s="8" t="str">
        <f>IF(OR(B2652="",E2652=""),"",IF(E2652="No","Missed",IF(F2652="","",IF(F2652&lt;=Settings!$B$7,"On time","Late"))))</f>
        <v/>
      </c>
      <c r="H2652" s="15"/>
      <c r="I2652" s="16"/>
      <c r="J2652" s="16"/>
      <c r="K2652" s="17" t="str">
        <f>IF(J2652="","",ROUND(J2652*Settings!$B$8,2))</f>
        <v/>
      </c>
      <c r="L2652" s="16"/>
      <c r="M2652" s="8" t="str">
        <f t="shared" si="41"/>
        <v/>
      </c>
      <c r="N2652" s="9"/>
    </row>
    <row r="2653" spans="1:14" ht="15.75">
      <c r="A2653" s="11"/>
      <c r="B2653" s="9"/>
      <c r="C2653" s="12" t="str">
        <f>IF(B2653="","",IFERROR(INDEX('Cashier Roster'!$C$5:$C$64,MATCH(B2653,'Cashier Roster'!$B$5:$B$64,0)),"Not on roster"))</f>
        <v/>
      </c>
      <c r="D2653" s="12" t="str">
        <f>IF(B2653="","",IFERROR(INDEX('Cashier Roster'!$D$5:$D$64,MATCH(B2653,'Cashier Roster'!$B$5:$B$64,0)),""))</f>
        <v/>
      </c>
      <c r="E2653" s="13"/>
      <c r="F2653" s="14"/>
      <c r="G2653" s="8" t="str">
        <f>IF(OR(B2653="",E2653=""),"",IF(E2653="No","Missed",IF(F2653="","",IF(F2653&lt;=Settings!$B$7,"On time","Late"))))</f>
        <v/>
      </c>
      <c r="H2653" s="15"/>
      <c r="I2653" s="16"/>
      <c r="J2653" s="16"/>
      <c r="K2653" s="17" t="str">
        <f>IF(J2653="","",ROUND(J2653*Settings!$B$8,2))</f>
        <v/>
      </c>
      <c r="L2653" s="16"/>
      <c r="M2653" s="8" t="str">
        <f t="shared" si="41"/>
        <v/>
      </c>
      <c r="N2653" s="9"/>
    </row>
    <row r="2654" spans="1:14" ht="15.75">
      <c r="A2654" s="11"/>
      <c r="B2654" s="9"/>
      <c r="C2654" s="12" t="str">
        <f>IF(B2654="","",IFERROR(INDEX('Cashier Roster'!$C$5:$C$64,MATCH(B2654,'Cashier Roster'!$B$5:$B$64,0)),"Not on roster"))</f>
        <v/>
      </c>
      <c r="D2654" s="12" t="str">
        <f>IF(B2654="","",IFERROR(INDEX('Cashier Roster'!$D$5:$D$64,MATCH(B2654,'Cashier Roster'!$B$5:$B$64,0)),""))</f>
        <v/>
      </c>
      <c r="E2654" s="13"/>
      <c r="F2654" s="14"/>
      <c r="G2654" s="8" t="str">
        <f>IF(OR(B2654="",E2654=""),"",IF(E2654="No","Missed",IF(F2654="","",IF(F2654&lt;=Settings!$B$7,"On time","Late"))))</f>
        <v/>
      </c>
      <c r="H2654" s="15"/>
      <c r="I2654" s="16"/>
      <c r="J2654" s="16"/>
      <c r="K2654" s="17" t="str">
        <f>IF(J2654="","",ROUND(J2654*Settings!$B$8,2))</f>
        <v/>
      </c>
      <c r="L2654" s="16"/>
      <c r="M2654" s="8" t="str">
        <f t="shared" si="41"/>
        <v/>
      </c>
      <c r="N2654" s="9"/>
    </row>
    <row r="2655" spans="1:14" ht="15.75">
      <c r="A2655" s="11"/>
      <c r="B2655" s="9"/>
      <c r="C2655" s="12" t="str">
        <f>IF(B2655="","",IFERROR(INDEX('Cashier Roster'!$C$5:$C$64,MATCH(B2655,'Cashier Roster'!$B$5:$B$64,0)),"Not on roster"))</f>
        <v/>
      </c>
      <c r="D2655" s="12" t="str">
        <f>IF(B2655="","",IFERROR(INDEX('Cashier Roster'!$D$5:$D$64,MATCH(B2655,'Cashier Roster'!$B$5:$B$64,0)),""))</f>
        <v/>
      </c>
      <c r="E2655" s="13"/>
      <c r="F2655" s="14"/>
      <c r="G2655" s="8" t="str">
        <f>IF(OR(B2655="",E2655=""),"",IF(E2655="No","Missed",IF(F2655="","",IF(F2655&lt;=Settings!$B$7,"On time","Late"))))</f>
        <v/>
      </c>
      <c r="H2655" s="15"/>
      <c r="I2655" s="16"/>
      <c r="J2655" s="16"/>
      <c r="K2655" s="17" t="str">
        <f>IF(J2655="","",ROUND(J2655*Settings!$B$8,2))</f>
        <v/>
      </c>
      <c r="L2655" s="16"/>
      <c r="M2655" s="8" t="str">
        <f t="shared" si="41"/>
        <v/>
      </c>
      <c r="N2655" s="9"/>
    </row>
    <row r="2656" spans="1:14" ht="15.75">
      <c r="A2656" s="11"/>
      <c r="B2656" s="9"/>
      <c r="C2656" s="12" t="str">
        <f>IF(B2656="","",IFERROR(INDEX('Cashier Roster'!$C$5:$C$64,MATCH(B2656,'Cashier Roster'!$B$5:$B$64,0)),"Not on roster"))</f>
        <v/>
      </c>
      <c r="D2656" s="12" t="str">
        <f>IF(B2656="","",IFERROR(INDEX('Cashier Roster'!$D$5:$D$64,MATCH(B2656,'Cashier Roster'!$B$5:$B$64,0)),""))</f>
        <v/>
      </c>
      <c r="E2656" s="13"/>
      <c r="F2656" s="14"/>
      <c r="G2656" s="8" t="str">
        <f>IF(OR(B2656="",E2656=""),"",IF(E2656="No","Missed",IF(F2656="","",IF(F2656&lt;=Settings!$B$7,"On time","Late"))))</f>
        <v/>
      </c>
      <c r="H2656" s="15"/>
      <c r="I2656" s="16"/>
      <c r="J2656" s="16"/>
      <c r="K2656" s="17" t="str">
        <f>IF(J2656="","",ROUND(J2656*Settings!$B$8,2))</f>
        <v/>
      </c>
      <c r="L2656" s="16"/>
      <c r="M2656" s="8" t="str">
        <f t="shared" si="41"/>
        <v/>
      </c>
      <c r="N2656" s="9"/>
    </row>
    <row r="2657" spans="1:14" ht="15.75">
      <c r="A2657" s="11"/>
      <c r="B2657" s="9"/>
      <c r="C2657" s="12" t="str">
        <f>IF(B2657="","",IFERROR(INDEX('Cashier Roster'!$C$5:$C$64,MATCH(B2657,'Cashier Roster'!$B$5:$B$64,0)),"Not on roster"))</f>
        <v/>
      </c>
      <c r="D2657" s="12" t="str">
        <f>IF(B2657="","",IFERROR(INDEX('Cashier Roster'!$D$5:$D$64,MATCH(B2657,'Cashier Roster'!$B$5:$B$64,0)),""))</f>
        <v/>
      </c>
      <c r="E2657" s="13"/>
      <c r="F2657" s="14"/>
      <c r="G2657" s="8" t="str">
        <f>IF(OR(B2657="",E2657=""),"",IF(E2657="No","Missed",IF(F2657="","",IF(F2657&lt;=Settings!$B$7,"On time","Late"))))</f>
        <v/>
      </c>
      <c r="H2657" s="15"/>
      <c r="I2657" s="16"/>
      <c r="J2657" s="16"/>
      <c r="K2657" s="17" t="str">
        <f>IF(J2657="","",ROUND(J2657*Settings!$B$8,2))</f>
        <v/>
      </c>
      <c r="L2657" s="16"/>
      <c r="M2657" s="8" t="str">
        <f t="shared" si="41"/>
        <v/>
      </c>
      <c r="N2657" s="9"/>
    </row>
    <row r="2658" spans="1:14" ht="15.75">
      <c r="A2658" s="11"/>
      <c r="B2658" s="9"/>
      <c r="C2658" s="12" t="str">
        <f>IF(B2658="","",IFERROR(INDEX('Cashier Roster'!$C$5:$C$64,MATCH(B2658,'Cashier Roster'!$B$5:$B$64,0)),"Not on roster"))</f>
        <v/>
      </c>
      <c r="D2658" s="12" t="str">
        <f>IF(B2658="","",IFERROR(INDEX('Cashier Roster'!$D$5:$D$64,MATCH(B2658,'Cashier Roster'!$B$5:$B$64,0)),""))</f>
        <v/>
      </c>
      <c r="E2658" s="13"/>
      <c r="F2658" s="14"/>
      <c r="G2658" s="8" t="str">
        <f>IF(OR(B2658="",E2658=""),"",IF(E2658="No","Missed",IF(F2658="","",IF(F2658&lt;=Settings!$B$7,"On time","Late"))))</f>
        <v/>
      </c>
      <c r="H2658" s="15"/>
      <c r="I2658" s="16"/>
      <c r="J2658" s="16"/>
      <c r="K2658" s="17" t="str">
        <f>IF(J2658="","",ROUND(J2658*Settings!$B$8,2))</f>
        <v/>
      </c>
      <c r="L2658" s="16"/>
      <c r="M2658" s="8" t="str">
        <f t="shared" si="41"/>
        <v/>
      </c>
      <c r="N2658" s="9"/>
    </row>
    <row r="2659" spans="1:14" ht="15.75">
      <c r="A2659" s="11"/>
      <c r="B2659" s="9"/>
      <c r="C2659" s="12" t="str">
        <f>IF(B2659="","",IFERROR(INDEX('Cashier Roster'!$C$5:$C$64,MATCH(B2659,'Cashier Roster'!$B$5:$B$64,0)),"Not on roster"))</f>
        <v/>
      </c>
      <c r="D2659" s="12" t="str">
        <f>IF(B2659="","",IFERROR(INDEX('Cashier Roster'!$D$5:$D$64,MATCH(B2659,'Cashier Roster'!$B$5:$B$64,0)),""))</f>
        <v/>
      </c>
      <c r="E2659" s="13"/>
      <c r="F2659" s="14"/>
      <c r="G2659" s="8" t="str">
        <f>IF(OR(B2659="",E2659=""),"",IF(E2659="No","Missed",IF(F2659="","",IF(F2659&lt;=Settings!$B$7,"On time","Late"))))</f>
        <v/>
      </c>
      <c r="H2659" s="15"/>
      <c r="I2659" s="16"/>
      <c r="J2659" s="16"/>
      <c r="K2659" s="17" t="str">
        <f>IF(J2659="","",ROUND(J2659*Settings!$B$8,2))</f>
        <v/>
      </c>
      <c r="L2659" s="16"/>
      <c r="M2659" s="8" t="str">
        <f t="shared" si="41"/>
        <v/>
      </c>
      <c r="N2659" s="9"/>
    </row>
    <row r="2660" spans="1:14" ht="15.75">
      <c r="A2660" s="11"/>
      <c r="B2660" s="9"/>
      <c r="C2660" s="12" t="str">
        <f>IF(B2660="","",IFERROR(INDEX('Cashier Roster'!$C$5:$C$64,MATCH(B2660,'Cashier Roster'!$B$5:$B$64,0)),"Not on roster"))</f>
        <v/>
      </c>
      <c r="D2660" s="12" t="str">
        <f>IF(B2660="","",IFERROR(INDEX('Cashier Roster'!$D$5:$D$64,MATCH(B2660,'Cashier Roster'!$B$5:$B$64,0)),""))</f>
        <v/>
      </c>
      <c r="E2660" s="13"/>
      <c r="F2660" s="14"/>
      <c r="G2660" s="8" t="str">
        <f>IF(OR(B2660="",E2660=""),"",IF(E2660="No","Missed",IF(F2660="","",IF(F2660&lt;=Settings!$B$7,"On time","Late"))))</f>
        <v/>
      </c>
      <c r="H2660" s="15"/>
      <c r="I2660" s="16"/>
      <c r="J2660" s="16"/>
      <c r="K2660" s="17" t="str">
        <f>IF(J2660="","",ROUND(J2660*Settings!$B$8,2))</f>
        <v/>
      </c>
      <c r="L2660" s="16"/>
      <c r="M2660" s="8" t="str">
        <f t="shared" si="41"/>
        <v/>
      </c>
      <c r="N2660" s="9"/>
    </row>
    <row r="2661" spans="1:14" ht="15.75">
      <c r="A2661" s="11"/>
      <c r="B2661" s="9"/>
      <c r="C2661" s="12" t="str">
        <f>IF(B2661="","",IFERROR(INDEX('Cashier Roster'!$C$5:$C$64,MATCH(B2661,'Cashier Roster'!$B$5:$B$64,0)),"Not on roster"))</f>
        <v/>
      </c>
      <c r="D2661" s="12" t="str">
        <f>IF(B2661="","",IFERROR(INDEX('Cashier Roster'!$D$5:$D$64,MATCH(B2661,'Cashier Roster'!$B$5:$B$64,0)),""))</f>
        <v/>
      </c>
      <c r="E2661" s="13"/>
      <c r="F2661" s="14"/>
      <c r="G2661" s="8" t="str">
        <f>IF(OR(B2661="",E2661=""),"",IF(E2661="No","Missed",IF(F2661="","",IF(F2661&lt;=Settings!$B$7,"On time","Late"))))</f>
        <v/>
      </c>
      <c r="H2661" s="15"/>
      <c r="I2661" s="16"/>
      <c r="J2661" s="16"/>
      <c r="K2661" s="17" t="str">
        <f>IF(J2661="","",ROUND(J2661*Settings!$B$8,2))</f>
        <v/>
      </c>
      <c r="L2661" s="16"/>
      <c r="M2661" s="8" t="str">
        <f t="shared" si="41"/>
        <v/>
      </c>
      <c r="N2661" s="9"/>
    </row>
    <row r="2662" spans="1:14" ht="15.75">
      <c r="A2662" s="11"/>
      <c r="B2662" s="9"/>
      <c r="C2662" s="12" t="str">
        <f>IF(B2662="","",IFERROR(INDEX('Cashier Roster'!$C$5:$C$64,MATCH(B2662,'Cashier Roster'!$B$5:$B$64,0)),"Not on roster"))</f>
        <v/>
      </c>
      <c r="D2662" s="12" t="str">
        <f>IF(B2662="","",IFERROR(INDEX('Cashier Roster'!$D$5:$D$64,MATCH(B2662,'Cashier Roster'!$B$5:$B$64,0)),""))</f>
        <v/>
      </c>
      <c r="E2662" s="13"/>
      <c r="F2662" s="14"/>
      <c r="G2662" s="8" t="str">
        <f>IF(OR(B2662="",E2662=""),"",IF(E2662="No","Missed",IF(F2662="","",IF(F2662&lt;=Settings!$B$7,"On time","Late"))))</f>
        <v/>
      </c>
      <c r="H2662" s="15"/>
      <c r="I2662" s="16"/>
      <c r="J2662" s="16"/>
      <c r="K2662" s="17" t="str">
        <f>IF(J2662="","",ROUND(J2662*Settings!$B$8,2))</f>
        <v/>
      </c>
      <c r="L2662" s="16"/>
      <c r="M2662" s="8" t="str">
        <f t="shared" si="41"/>
        <v/>
      </c>
      <c r="N2662" s="9"/>
    </row>
    <row r="2663" spans="1:14" ht="15.75">
      <c r="A2663" s="11"/>
      <c r="B2663" s="9"/>
      <c r="C2663" s="12" t="str">
        <f>IF(B2663="","",IFERROR(INDEX('Cashier Roster'!$C$5:$C$64,MATCH(B2663,'Cashier Roster'!$B$5:$B$64,0)),"Not on roster"))</f>
        <v/>
      </c>
      <c r="D2663" s="12" t="str">
        <f>IF(B2663="","",IFERROR(INDEX('Cashier Roster'!$D$5:$D$64,MATCH(B2663,'Cashier Roster'!$B$5:$B$64,0)),""))</f>
        <v/>
      </c>
      <c r="E2663" s="13"/>
      <c r="F2663" s="14"/>
      <c r="G2663" s="8" t="str">
        <f>IF(OR(B2663="",E2663=""),"",IF(E2663="No","Missed",IF(F2663="","",IF(F2663&lt;=Settings!$B$7,"On time","Late"))))</f>
        <v/>
      </c>
      <c r="H2663" s="15"/>
      <c r="I2663" s="16"/>
      <c r="J2663" s="16"/>
      <c r="K2663" s="17" t="str">
        <f>IF(J2663="","",ROUND(J2663*Settings!$B$8,2))</f>
        <v/>
      </c>
      <c r="L2663" s="16"/>
      <c r="M2663" s="8" t="str">
        <f t="shared" si="41"/>
        <v/>
      </c>
      <c r="N2663" s="9"/>
    </row>
    <row r="2664" spans="1:14" ht="15.75">
      <c r="A2664" s="11"/>
      <c r="B2664" s="9"/>
      <c r="C2664" s="12" t="str">
        <f>IF(B2664="","",IFERROR(INDEX('Cashier Roster'!$C$5:$C$64,MATCH(B2664,'Cashier Roster'!$B$5:$B$64,0)),"Not on roster"))</f>
        <v/>
      </c>
      <c r="D2664" s="12" t="str">
        <f>IF(B2664="","",IFERROR(INDEX('Cashier Roster'!$D$5:$D$64,MATCH(B2664,'Cashier Roster'!$B$5:$B$64,0)),""))</f>
        <v/>
      </c>
      <c r="E2664" s="13"/>
      <c r="F2664" s="14"/>
      <c r="G2664" s="8" t="str">
        <f>IF(OR(B2664="",E2664=""),"",IF(E2664="No","Missed",IF(F2664="","",IF(F2664&lt;=Settings!$B$7,"On time","Late"))))</f>
        <v/>
      </c>
      <c r="H2664" s="15"/>
      <c r="I2664" s="16"/>
      <c r="J2664" s="16"/>
      <c r="K2664" s="17" t="str">
        <f>IF(J2664="","",ROUND(J2664*Settings!$B$8,2))</f>
        <v/>
      </c>
      <c r="L2664" s="16"/>
      <c r="M2664" s="8" t="str">
        <f t="shared" si="41"/>
        <v/>
      </c>
      <c r="N2664" s="9"/>
    </row>
    <row r="2665" spans="1:14" ht="15.75">
      <c r="A2665" s="11"/>
      <c r="B2665" s="9"/>
      <c r="C2665" s="12" t="str">
        <f>IF(B2665="","",IFERROR(INDEX('Cashier Roster'!$C$5:$C$64,MATCH(B2665,'Cashier Roster'!$B$5:$B$64,0)),"Not on roster"))</f>
        <v/>
      </c>
      <c r="D2665" s="12" t="str">
        <f>IF(B2665="","",IFERROR(INDEX('Cashier Roster'!$D$5:$D$64,MATCH(B2665,'Cashier Roster'!$B$5:$B$64,0)),""))</f>
        <v/>
      </c>
      <c r="E2665" s="13"/>
      <c r="F2665" s="14"/>
      <c r="G2665" s="8" t="str">
        <f>IF(OR(B2665="",E2665=""),"",IF(E2665="No","Missed",IF(F2665="","",IF(F2665&lt;=Settings!$B$7,"On time","Late"))))</f>
        <v/>
      </c>
      <c r="H2665" s="15"/>
      <c r="I2665" s="16"/>
      <c r="J2665" s="16"/>
      <c r="K2665" s="17" t="str">
        <f>IF(J2665="","",ROUND(J2665*Settings!$B$8,2))</f>
        <v/>
      </c>
      <c r="L2665" s="16"/>
      <c r="M2665" s="8" t="str">
        <f t="shared" si="41"/>
        <v/>
      </c>
      <c r="N2665" s="9"/>
    </row>
    <row r="2666" spans="1:14" ht="15.75">
      <c r="A2666" s="11"/>
      <c r="B2666" s="9"/>
      <c r="C2666" s="12" t="str">
        <f>IF(B2666="","",IFERROR(INDEX('Cashier Roster'!$C$5:$C$64,MATCH(B2666,'Cashier Roster'!$B$5:$B$64,0)),"Not on roster"))</f>
        <v/>
      </c>
      <c r="D2666" s="12" t="str">
        <f>IF(B2666="","",IFERROR(INDEX('Cashier Roster'!$D$5:$D$64,MATCH(B2666,'Cashier Roster'!$B$5:$B$64,0)),""))</f>
        <v/>
      </c>
      <c r="E2666" s="13"/>
      <c r="F2666" s="14"/>
      <c r="G2666" s="8" t="str">
        <f>IF(OR(B2666="",E2666=""),"",IF(E2666="No","Missed",IF(F2666="","",IF(F2666&lt;=Settings!$B$7,"On time","Late"))))</f>
        <v/>
      </c>
      <c r="H2666" s="15"/>
      <c r="I2666" s="16"/>
      <c r="J2666" s="16"/>
      <c r="K2666" s="17" t="str">
        <f>IF(J2666="","",ROUND(J2666*Settings!$B$8,2))</f>
        <v/>
      </c>
      <c r="L2666" s="16"/>
      <c r="M2666" s="8" t="str">
        <f t="shared" si="41"/>
        <v/>
      </c>
      <c r="N2666" s="9"/>
    </row>
    <row r="2667" spans="1:14" ht="15.75">
      <c r="A2667" s="11"/>
      <c r="B2667" s="9"/>
      <c r="C2667" s="12" t="str">
        <f>IF(B2667="","",IFERROR(INDEX('Cashier Roster'!$C$5:$C$64,MATCH(B2667,'Cashier Roster'!$B$5:$B$64,0)),"Not on roster"))</f>
        <v/>
      </c>
      <c r="D2667" s="12" t="str">
        <f>IF(B2667="","",IFERROR(INDEX('Cashier Roster'!$D$5:$D$64,MATCH(B2667,'Cashier Roster'!$B$5:$B$64,0)),""))</f>
        <v/>
      </c>
      <c r="E2667" s="13"/>
      <c r="F2667" s="14"/>
      <c r="G2667" s="8" t="str">
        <f>IF(OR(B2667="",E2667=""),"",IF(E2667="No","Missed",IF(F2667="","",IF(F2667&lt;=Settings!$B$7,"On time","Late"))))</f>
        <v/>
      </c>
      <c r="H2667" s="15"/>
      <c r="I2667" s="16"/>
      <c r="J2667" s="16"/>
      <c r="K2667" s="17" t="str">
        <f>IF(J2667="","",ROUND(J2667*Settings!$B$8,2))</f>
        <v/>
      </c>
      <c r="L2667" s="16"/>
      <c r="M2667" s="8" t="str">
        <f t="shared" si="41"/>
        <v/>
      </c>
      <c r="N2667" s="9"/>
    </row>
    <row r="2668" spans="1:14" ht="15.75">
      <c r="A2668" s="11"/>
      <c r="B2668" s="9"/>
      <c r="C2668" s="12" t="str">
        <f>IF(B2668="","",IFERROR(INDEX('Cashier Roster'!$C$5:$C$64,MATCH(B2668,'Cashier Roster'!$B$5:$B$64,0)),"Not on roster"))</f>
        <v/>
      </c>
      <c r="D2668" s="12" t="str">
        <f>IF(B2668="","",IFERROR(INDEX('Cashier Roster'!$D$5:$D$64,MATCH(B2668,'Cashier Roster'!$B$5:$B$64,0)),""))</f>
        <v/>
      </c>
      <c r="E2668" s="13"/>
      <c r="F2668" s="14"/>
      <c r="G2668" s="8" t="str">
        <f>IF(OR(B2668="",E2668=""),"",IF(E2668="No","Missed",IF(F2668="","",IF(F2668&lt;=Settings!$B$7,"On time","Late"))))</f>
        <v/>
      </c>
      <c r="H2668" s="15"/>
      <c r="I2668" s="16"/>
      <c r="J2668" s="16"/>
      <c r="K2668" s="17" t="str">
        <f>IF(J2668="","",ROUND(J2668*Settings!$B$8,2))</f>
        <v/>
      </c>
      <c r="L2668" s="16"/>
      <c r="M2668" s="8" t="str">
        <f t="shared" si="41"/>
        <v/>
      </c>
      <c r="N2668" s="9"/>
    </row>
    <row r="2669" spans="1:14" ht="15.75">
      <c r="A2669" s="11"/>
      <c r="B2669" s="9"/>
      <c r="C2669" s="12" t="str">
        <f>IF(B2669="","",IFERROR(INDEX('Cashier Roster'!$C$5:$C$64,MATCH(B2669,'Cashier Roster'!$B$5:$B$64,0)),"Not on roster"))</f>
        <v/>
      </c>
      <c r="D2669" s="12" t="str">
        <f>IF(B2669="","",IFERROR(INDEX('Cashier Roster'!$D$5:$D$64,MATCH(B2669,'Cashier Roster'!$B$5:$B$64,0)),""))</f>
        <v/>
      </c>
      <c r="E2669" s="13"/>
      <c r="F2669" s="14"/>
      <c r="G2669" s="8" t="str">
        <f>IF(OR(B2669="",E2669=""),"",IF(E2669="No","Missed",IF(F2669="","",IF(F2669&lt;=Settings!$B$7,"On time","Late"))))</f>
        <v/>
      </c>
      <c r="H2669" s="15"/>
      <c r="I2669" s="16"/>
      <c r="J2669" s="16"/>
      <c r="K2669" s="17" t="str">
        <f>IF(J2669="","",ROUND(J2669*Settings!$B$8,2))</f>
        <v/>
      </c>
      <c r="L2669" s="16"/>
      <c r="M2669" s="8" t="str">
        <f t="shared" si="41"/>
        <v/>
      </c>
      <c r="N2669" s="9"/>
    </row>
    <row r="2670" spans="1:14" ht="15.75">
      <c r="A2670" s="11"/>
      <c r="B2670" s="9"/>
      <c r="C2670" s="12" t="str">
        <f>IF(B2670="","",IFERROR(INDEX('Cashier Roster'!$C$5:$C$64,MATCH(B2670,'Cashier Roster'!$B$5:$B$64,0)),"Not on roster"))</f>
        <v/>
      </c>
      <c r="D2670" s="12" t="str">
        <f>IF(B2670="","",IFERROR(INDEX('Cashier Roster'!$D$5:$D$64,MATCH(B2670,'Cashier Roster'!$B$5:$B$64,0)),""))</f>
        <v/>
      </c>
      <c r="E2670" s="13"/>
      <c r="F2670" s="14"/>
      <c r="G2670" s="8" t="str">
        <f>IF(OR(B2670="",E2670=""),"",IF(E2670="No","Missed",IF(F2670="","",IF(F2670&lt;=Settings!$B$7,"On time","Late"))))</f>
        <v/>
      </c>
      <c r="H2670" s="15"/>
      <c r="I2670" s="16"/>
      <c r="J2670" s="16"/>
      <c r="K2670" s="17" t="str">
        <f>IF(J2670="","",ROUND(J2670*Settings!$B$8,2))</f>
        <v/>
      </c>
      <c r="L2670" s="16"/>
      <c r="M2670" s="8" t="str">
        <f t="shared" si="41"/>
        <v/>
      </c>
      <c r="N2670" s="9"/>
    </row>
    <row r="2671" spans="1:14" ht="15.75">
      <c r="A2671" s="11"/>
      <c r="B2671" s="9"/>
      <c r="C2671" s="12" t="str">
        <f>IF(B2671="","",IFERROR(INDEX('Cashier Roster'!$C$5:$C$64,MATCH(B2671,'Cashier Roster'!$B$5:$B$64,0)),"Not on roster"))</f>
        <v/>
      </c>
      <c r="D2671" s="12" t="str">
        <f>IF(B2671="","",IFERROR(INDEX('Cashier Roster'!$D$5:$D$64,MATCH(B2671,'Cashier Roster'!$B$5:$B$64,0)),""))</f>
        <v/>
      </c>
      <c r="E2671" s="13"/>
      <c r="F2671" s="14"/>
      <c r="G2671" s="8" t="str">
        <f>IF(OR(B2671="",E2671=""),"",IF(E2671="No","Missed",IF(F2671="","",IF(F2671&lt;=Settings!$B$7,"On time","Late"))))</f>
        <v/>
      </c>
      <c r="H2671" s="15"/>
      <c r="I2671" s="16"/>
      <c r="J2671" s="16"/>
      <c r="K2671" s="17" t="str">
        <f>IF(J2671="","",ROUND(J2671*Settings!$B$8,2))</f>
        <v/>
      </c>
      <c r="L2671" s="16"/>
      <c r="M2671" s="8" t="str">
        <f t="shared" si="41"/>
        <v/>
      </c>
      <c r="N2671" s="9"/>
    </row>
    <row r="2672" spans="1:14" ht="15.75">
      <c r="A2672" s="11"/>
      <c r="B2672" s="9"/>
      <c r="C2672" s="12" t="str">
        <f>IF(B2672="","",IFERROR(INDEX('Cashier Roster'!$C$5:$C$64,MATCH(B2672,'Cashier Roster'!$B$5:$B$64,0)),"Not on roster"))</f>
        <v/>
      </c>
      <c r="D2672" s="12" t="str">
        <f>IF(B2672="","",IFERROR(INDEX('Cashier Roster'!$D$5:$D$64,MATCH(B2672,'Cashier Roster'!$B$5:$B$64,0)),""))</f>
        <v/>
      </c>
      <c r="E2672" s="13"/>
      <c r="F2672" s="14"/>
      <c r="G2672" s="8" t="str">
        <f>IF(OR(B2672="",E2672=""),"",IF(E2672="No","Missed",IF(F2672="","",IF(F2672&lt;=Settings!$B$7,"On time","Late"))))</f>
        <v/>
      </c>
      <c r="H2672" s="15"/>
      <c r="I2672" s="16"/>
      <c r="J2672" s="16"/>
      <c r="K2672" s="17" t="str">
        <f>IF(J2672="","",ROUND(J2672*Settings!$B$8,2))</f>
        <v/>
      </c>
      <c r="L2672" s="16"/>
      <c r="M2672" s="8" t="str">
        <f t="shared" si="41"/>
        <v/>
      </c>
      <c r="N2672" s="9"/>
    </row>
    <row r="2673" spans="1:14" ht="15.75">
      <c r="A2673" s="11"/>
      <c r="B2673" s="9"/>
      <c r="C2673" s="12" t="str">
        <f>IF(B2673="","",IFERROR(INDEX('Cashier Roster'!$C$5:$C$64,MATCH(B2673,'Cashier Roster'!$B$5:$B$64,0)),"Not on roster"))</f>
        <v/>
      </c>
      <c r="D2673" s="12" t="str">
        <f>IF(B2673="","",IFERROR(INDEX('Cashier Roster'!$D$5:$D$64,MATCH(B2673,'Cashier Roster'!$B$5:$B$64,0)),""))</f>
        <v/>
      </c>
      <c r="E2673" s="13"/>
      <c r="F2673" s="14"/>
      <c r="G2673" s="8" t="str">
        <f>IF(OR(B2673="",E2673=""),"",IF(E2673="No","Missed",IF(F2673="","",IF(F2673&lt;=Settings!$B$7,"On time","Late"))))</f>
        <v/>
      </c>
      <c r="H2673" s="15"/>
      <c r="I2673" s="16"/>
      <c r="J2673" s="16"/>
      <c r="K2673" s="17" t="str">
        <f>IF(J2673="","",ROUND(J2673*Settings!$B$8,2))</f>
        <v/>
      </c>
      <c r="L2673" s="16"/>
      <c r="M2673" s="8" t="str">
        <f t="shared" si="41"/>
        <v/>
      </c>
      <c r="N2673" s="9"/>
    </row>
    <row r="2674" spans="1:14" ht="15.75">
      <c r="A2674" s="11"/>
      <c r="B2674" s="9"/>
      <c r="C2674" s="12" t="str">
        <f>IF(B2674="","",IFERROR(INDEX('Cashier Roster'!$C$5:$C$64,MATCH(B2674,'Cashier Roster'!$B$5:$B$64,0)),"Not on roster"))</f>
        <v/>
      </c>
      <c r="D2674" s="12" t="str">
        <f>IF(B2674="","",IFERROR(INDEX('Cashier Roster'!$D$5:$D$64,MATCH(B2674,'Cashier Roster'!$B$5:$B$64,0)),""))</f>
        <v/>
      </c>
      <c r="E2674" s="13"/>
      <c r="F2674" s="14"/>
      <c r="G2674" s="8" t="str">
        <f>IF(OR(B2674="",E2674=""),"",IF(E2674="No","Missed",IF(F2674="","",IF(F2674&lt;=Settings!$B$7,"On time","Late"))))</f>
        <v/>
      </c>
      <c r="H2674" s="15"/>
      <c r="I2674" s="16"/>
      <c r="J2674" s="16"/>
      <c r="K2674" s="17" t="str">
        <f>IF(J2674="","",ROUND(J2674*Settings!$B$8,2))</f>
        <v/>
      </c>
      <c r="L2674" s="16"/>
      <c r="M2674" s="8" t="str">
        <f t="shared" si="41"/>
        <v/>
      </c>
      <c r="N2674" s="9"/>
    </row>
    <row r="2675" spans="1:14" ht="15.75">
      <c r="A2675" s="11"/>
      <c r="B2675" s="9"/>
      <c r="C2675" s="12" t="str">
        <f>IF(B2675="","",IFERROR(INDEX('Cashier Roster'!$C$5:$C$64,MATCH(B2675,'Cashier Roster'!$B$5:$B$64,0)),"Not on roster"))</f>
        <v/>
      </c>
      <c r="D2675" s="12" t="str">
        <f>IF(B2675="","",IFERROR(INDEX('Cashier Roster'!$D$5:$D$64,MATCH(B2675,'Cashier Roster'!$B$5:$B$64,0)),""))</f>
        <v/>
      </c>
      <c r="E2675" s="13"/>
      <c r="F2675" s="14"/>
      <c r="G2675" s="8" t="str">
        <f>IF(OR(B2675="",E2675=""),"",IF(E2675="No","Missed",IF(F2675="","",IF(F2675&lt;=Settings!$B$7,"On time","Late"))))</f>
        <v/>
      </c>
      <c r="H2675" s="15"/>
      <c r="I2675" s="16"/>
      <c r="J2675" s="16"/>
      <c r="K2675" s="17" t="str">
        <f>IF(J2675="","",ROUND(J2675*Settings!$B$8,2))</f>
        <v/>
      </c>
      <c r="L2675" s="16"/>
      <c r="M2675" s="8" t="str">
        <f t="shared" si="41"/>
        <v/>
      </c>
      <c r="N2675" s="9"/>
    </row>
    <row r="2676" spans="1:14" ht="15.75">
      <c r="A2676" s="11"/>
      <c r="B2676" s="9"/>
      <c r="C2676" s="12" t="str">
        <f>IF(B2676="","",IFERROR(INDEX('Cashier Roster'!$C$5:$C$64,MATCH(B2676,'Cashier Roster'!$B$5:$B$64,0)),"Not on roster"))</f>
        <v/>
      </c>
      <c r="D2676" s="12" t="str">
        <f>IF(B2676="","",IFERROR(INDEX('Cashier Roster'!$D$5:$D$64,MATCH(B2676,'Cashier Roster'!$B$5:$B$64,0)),""))</f>
        <v/>
      </c>
      <c r="E2676" s="13"/>
      <c r="F2676" s="14"/>
      <c r="G2676" s="8" t="str">
        <f>IF(OR(B2676="",E2676=""),"",IF(E2676="No","Missed",IF(F2676="","",IF(F2676&lt;=Settings!$B$7,"On time","Late"))))</f>
        <v/>
      </c>
      <c r="H2676" s="15"/>
      <c r="I2676" s="16"/>
      <c r="J2676" s="16"/>
      <c r="K2676" s="17" t="str">
        <f>IF(J2676="","",ROUND(J2676*Settings!$B$8,2))</f>
        <v/>
      </c>
      <c r="L2676" s="16"/>
      <c r="M2676" s="8" t="str">
        <f t="shared" si="41"/>
        <v/>
      </c>
      <c r="N2676" s="9"/>
    </row>
    <row r="2677" spans="1:14" ht="15.75">
      <c r="A2677" s="11"/>
      <c r="B2677" s="9"/>
      <c r="C2677" s="12" t="str">
        <f>IF(B2677="","",IFERROR(INDEX('Cashier Roster'!$C$5:$C$64,MATCH(B2677,'Cashier Roster'!$B$5:$B$64,0)),"Not on roster"))</f>
        <v/>
      </c>
      <c r="D2677" s="12" t="str">
        <f>IF(B2677="","",IFERROR(INDEX('Cashier Roster'!$D$5:$D$64,MATCH(B2677,'Cashier Roster'!$B$5:$B$64,0)),""))</f>
        <v/>
      </c>
      <c r="E2677" s="13"/>
      <c r="F2677" s="14"/>
      <c r="G2677" s="8" t="str">
        <f>IF(OR(B2677="",E2677=""),"",IF(E2677="No","Missed",IF(F2677="","",IF(F2677&lt;=Settings!$B$7,"On time","Late"))))</f>
        <v/>
      </c>
      <c r="H2677" s="15"/>
      <c r="I2677" s="16"/>
      <c r="J2677" s="16"/>
      <c r="K2677" s="17" t="str">
        <f>IF(J2677="","",ROUND(J2677*Settings!$B$8,2))</f>
        <v/>
      </c>
      <c r="L2677" s="16"/>
      <c r="M2677" s="8" t="str">
        <f t="shared" si="41"/>
        <v/>
      </c>
      <c r="N2677" s="9"/>
    </row>
    <row r="2678" spans="1:14" ht="15.75">
      <c r="A2678" s="11"/>
      <c r="B2678" s="9"/>
      <c r="C2678" s="12" t="str">
        <f>IF(B2678="","",IFERROR(INDEX('Cashier Roster'!$C$5:$C$64,MATCH(B2678,'Cashier Roster'!$B$5:$B$64,0)),"Not on roster"))</f>
        <v/>
      </c>
      <c r="D2678" s="12" t="str">
        <f>IF(B2678="","",IFERROR(INDEX('Cashier Roster'!$D$5:$D$64,MATCH(B2678,'Cashier Roster'!$B$5:$B$64,0)),""))</f>
        <v/>
      </c>
      <c r="E2678" s="13"/>
      <c r="F2678" s="14"/>
      <c r="G2678" s="8" t="str">
        <f>IF(OR(B2678="",E2678=""),"",IF(E2678="No","Missed",IF(F2678="","",IF(F2678&lt;=Settings!$B$7,"On time","Late"))))</f>
        <v/>
      </c>
      <c r="H2678" s="15"/>
      <c r="I2678" s="16"/>
      <c r="J2678" s="16"/>
      <c r="K2678" s="17" t="str">
        <f>IF(J2678="","",ROUND(J2678*Settings!$B$8,2))</f>
        <v/>
      </c>
      <c r="L2678" s="16"/>
      <c r="M2678" s="8" t="str">
        <f t="shared" si="41"/>
        <v/>
      </c>
      <c r="N2678" s="9"/>
    </row>
    <row r="2679" spans="1:14" ht="15.75">
      <c r="A2679" s="11"/>
      <c r="B2679" s="9"/>
      <c r="C2679" s="12" t="str">
        <f>IF(B2679="","",IFERROR(INDEX('Cashier Roster'!$C$5:$C$64,MATCH(B2679,'Cashier Roster'!$B$5:$B$64,0)),"Not on roster"))</f>
        <v/>
      </c>
      <c r="D2679" s="12" t="str">
        <f>IF(B2679="","",IFERROR(INDEX('Cashier Roster'!$D$5:$D$64,MATCH(B2679,'Cashier Roster'!$B$5:$B$64,0)),""))</f>
        <v/>
      </c>
      <c r="E2679" s="13"/>
      <c r="F2679" s="14"/>
      <c r="G2679" s="8" t="str">
        <f>IF(OR(B2679="",E2679=""),"",IF(E2679="No","Missed",IF(F2679="","",IF(F2679&lt;=Settings!$B$7,"On time","Late"))))</f>
        <v/>
      </c>
      <c r="H2679" s="15"/>
      <c r="I2679" s="16"/>
      <c r="J2679" s="16"/>
      <c r="K2679" s="17" t="str">
        <f>IF(J2679="","",ROUND(J2679*Settings!$B$8,2))</f>
        <v/>
      </c>
      <c r="L2679" s="16"/>
      <c r="M2679" s="8" t="str">
        <f t="shared" si="41"/>
        <v/>
      </c>
      <c r="N2679" s="9"/>
    </row>
    <row r="2680" spans="1:14" ht="15.75">
      <c r="A2680" s="11"/>
      <c r="B2680" s="9"/>
      <c r="C2680" s="12" t="str">
        <f>IF(B2680="","",IFERROR(INDEX('Cashier Roster'!$C$5:$C$64,MATCH(B2680,'Cashier Roster'!$B$5:$B$64,0)),"Not on roster"))</f>
        <v/>
      </c>
      <c r="D2680" s="12" t="str">
        <f>IF(B2680="","",IFERROR(INDEX('Cashier Roster'!$D$5:$D$64,MATCH(B2680,'Cashier Roster'!$B$5:$B$64,0)),""))</f>
        <v/>
      </c>
      <c r="E2680" s="13"/>
      <c r="F2680" s="14"/>
      <c r="G2680" s="8" t="str">
        <f>IF(OR(B2680="",E2680=""),"",IF(E2680="No","Missed",IF(F2680="","",IF(F2680&lt;=Settings!$B$7,"On time","Late"))))</f>
        <v/>
      </c>
      <c r="H2680" s="15"/>
      <c r="I2680" s="16"/>
      <c r="J2680" s="16"/>
      <c r="K2680" s="17" t="str">
        <f>IF(J2680="","",ROUND(J2680*Settings!$B$8,2))</f>
        <v/>
      </c>
      <c r="L2680" s="16"/>
      <c r="M2680" s="8" t="str">
        <f t="shared" si="41"/>
        <v/>
      </c>
      <c r="N2680" s="9"/>
    </row>
    <row r="2681" spans="1:14" ht="15.75">
      <c r="A2681" s="11"/>
      <c r="B2681" s="9"/>
      <c r="C2681" s="12" t="str">
        <f>IF(B2681="","",IFERROR(INDEX('Cashier Roster'!$C$5:$C$64,MATCH(B2681,'Cashier Roster'!$B$5:$B$64,0)),"Not on roster"))</f>
        <v/>
      </c>
      <c r="D2681" s="12" t="str">
        <f>IF(B2681="","",IFERROR(INDEX('Cashier Roster'!$D$5:$D$64,MATCH(B2681,'Cashier Roster'!$B$5:$B$64,0)),""))</f>
        <v/>
      </c>
      <c r="E2681" s="13"/>
      <c r="F2681" s="14"/>
      <c r="G2681" s="8" t="str">
        <f>IF(OR(B2681="",E2681=""),"",IF(E2681="No","Missed",IF(F2681="","",IF(F2681&lt;=Settings!$B$7,"On time","Late"))))</f>
        <v/>
      </c>
      <c r="H2681" s="15"/>
      <c r="I2681" s="16"/>
      <c r="J2681" s="16"/>
      <c r="K2681" s="17" t="str">
        <f>IF(J2681="","",ROUND(J2681*Settings!$B$8,2))</f>
        <v/>
      </c>
      <c r="L2681" s="16"/>
      <c r="M2681" s="8" t="str">
        <f t="shared" si="41"/>
        <v/>
      </c>
      <c r="N2681" s="9"/>
    </row>
    <row r="2682" spans="1:14" ht="15.75">
      <c r="A2682" s="11"/>
      <c r="B2682" s="9"/>
      <c r="C2682" s="12" t="str">
        <f>IF(B2682="","",IFERROR(INDEX('Cashier Roster'!$C$5:$C$64,MATCH(B2682,'Cashier Roster'!$B$5:$B$64,0)),"Not on roster"))</f>
        <v/>
      </c>
      <c r="D2682" s="12" t="str">
        <f>IF(B2682="","",IFERROR(INDEX('Cashier Roster'!$D$5:$D$64,MATCH(B2682,'Cashier Roster'!$B$5:$B$64,0)),""))</f>
        <v/>
      </c>
      <c r="E2682" s="13"/>
      <c r="F2682" s="14"/>
      <c r="G2682" s="8" t="str">
        <f>IF(OR(B2682="",E2682=""),"",IF(E2682="No","Missed",IF(F2682="","",IF(F2682&lt;=Settings!$B$7,"On time","Late"))))</f>
        <v/>
      </c>
      <c r="H2682" s="15"/>
      <c r="I2682" s="16"/>
      <c r="J2682" s="16"/>
      <c r="K2682" s="17" t="str">
        <f>IF(J2682="","",ROUND(J2682*Settings!$B$8,2))</f>
        <v/>
      </c>
      <c r="L2682" s="16"/>
      <c r="M2682" s="8" t="str">
        <f t="shared" si="41"/>
        <v/>
      </c>
      <c r="N2682" s="9"/>
    </row>
    <row r="2683" spans="1:14" ht="15.75">
      <c r="A2683" s="11"/>
      <c r="B2683" s="9"/>
      <c r="C2683" s="12" t="str">
        <f>IF(B2683="","",IFERROR(INDEX('Cashier Roster'!$C$5:$C$64,MATCH(B2683,'Cashier Roster'!$B$5:$B$64,0)),"Not on roster"))</f>
        <v/>
      </c>
      <c r="D2683" s="12" t="str">
        <f>IF(B2683="","",IFERROR(INDEX('Cashier Roster'!$D$5:$D$64,MATCH(B2683,'Cashier Roster'!$B$5:$B$64,0)),""))</f>
        <v/>
      </c>
      <c r="E2683" s="13"/>
      <c r="F2683" s="14"/>
      <c r="G2683" s="8" t="str">
        <f>IF(OR(B2683="",E2683=""),"",IF(E2683="No","Missed",IF(F2683="","",IF(F2683&lt;=Settings!$B$7,"On time","Late"))))</f>
        <v/>
      </c>
      <c r="H2683" s="15"/>
      <c r="I2683" s="16"/>
      <c r="J2683" s="16"/>
      <c r="K2683" s="17" t="str">
        <f>IF(J2683="","",ROUND(J2683*Settings!$B$8,2))</f>
        <v/>
      </c>
      <c r="L2683" s="16"/>
      <c r="M2683" s="8" t="str">
        <f t="shared" si="41"/>
        <v/>
      </c>
      <c r="N2683" s="9"/>
    </row>
    <row r="2684" spans="1:14" ht="15.75">
      <c r="A2684" s="11"/>
      <c r="B2684" s="9"/>
      <c r="C2684" s="12" t="str">
        <f>IF(B2684="","",IFERROR(INDEX('Cashier Roster'!$C$5:$C$64,MATCH(B2684,'Cashier Roster'!$B$5:$B$64,0)),"Not on roster"))</f>
        <v/>
      </c>
      <c r="D2684" s="12" t="str">
        <f>IF(B2684="","",IFERROR(INDEX('Cashier Roster'!$D$5:$D$64,MATCH(B2684,'Cashier Roster'!$B$5:$B$64,0)),""))</f>
        <v/>
      </c>
      <c r="E2684" s="13"/>
      <c r="F2684" s="14"/>
      <c r="G2684" s="8" t="str">
        <f>IF(OR(B2684="",E2684=""),"",IF(E2684="No","Missed",IF(F2684="","",IF(F2684&lt;=Settings!$B$7,"On time","Late"))))</f>
        <v/>
      </c>
      <c r="H2684" s="15"/>
      <c r="I2684" s="16"/>
      <c r="J2684" s="16"/>
      <c r="K2684" s="17" t="str">
        <f>IF(J2684="","",ROUND(J2684*Settings!$B$8,2))</f>
        <v/>
      </c>
      <c r="L2684" s="16"/>
      <c r="M2684" s="8" t="str">
        <f t="shared" si="41"/>
        <v/>
      </c>
      <c r="N2684" s="9"/>
    </row>
    <row r="2685" spans="1:14" ht="15.75">
      <c r="A2685" s="11"/>
      <c r="B2685" s="9"/>
      <c r="C2685" s="12" t="str">
        <f>IF(B2685="","",IFERROR(INDEX('Cashier Roster'!$C$5:$C$64,MATCH(B2685,'Cashier Roster'!$B$5:$B$64,0)),"Not on roster"))</f>
        <v/>
      </c>
      <c r="D2685" s="12" t="str">
        <f>IF(B2685="","",IFERROR(INDEX('Cashier Roster'!$D$5:$D$64,MATCH(B2685,'Cashier Roster'!$B$5:$B$64,0)),""))</f>
        <v/>
      </c>
      <c r="E2685" s="13"/>
      <c r="F2685" s="14"/>
      <c r="G2685" s="8" t="str">
        <f>IF(OR(B2685="",E2685=""),"",IF(E2685="No","Missed",IF(F2685="","",IF(F2685&lt;=Settings!$B$7,"On time","Late"))))</f>
        <v/>
      </c>
      <c r="H2685" s="15"/>
      <c r="I2685" s="16"/>
      <c r="J2685" s="16"/>
      <c r="K2685" s="17" t="str">
        <f>IF(J2685="","",ROUND(J2685*Settings!$B$8,2))</f>
        <v/>
      </c>
      <c r="L2685" s="16"/>
      <c r="M2685" s="8" t="str">
        <f t="shared" si="41"/>
        <v/>
      </c>
      <c r="N2685" s="9"/>
    </row>
    <row r="2686" spans="1:14" ht="15.75">
      <c r="A2686" s="11"/>
      <c r="B2686" s="9"/>
      <c r="C2686" s="12" t="str">
        <f>IF(B2686="","",IFERROR(INDEX('Cashier Roster'!$C$5:$C$64,MATCH(B2686,'Cashier Roster'!$B$5:$B$64,0)),"Not on roster"))</f>
        <v/>
      </c>
      <c r="D2686" s="12" t="str">
        <f>IF(B2686="","",IFERROR(INDEX('Cashier Roster'!$D$5:$D$64,MATCH(B2686,'Cashier Roster'!$B$5:$B$64,0)),""))</f>
        <v/>
      </c>
      <c r="E2686" s="13"/>
      <c r="F2686" s="14"/>
      <c r="G2686" s="8" t="str">
        <f>IF(OR(B2686="",E2686=""),"",IF(E2686="No","Missed",IF(F2686="","",IF(F2686&lt;=Settings!$B$7,"On time","Late"))))</f>
        <v/>
      </c>
      <c r="H2686" s="15"/>
      <c r="I2686" s="16"/>
      <c r="J2686" s="16"/>
      <c r="K2686" s="17" t="str">
        <f>IF(J2686="","",ROUND(J2686*Settings!$B$8,2))</f>
        <v/>
      </c>
      <c r="L2686" s="16"/>
      <c r="M2686" s="8" t="str">
        <f t="shared" si="41"/>
        <v/>
      </c>
      <c r="N2686" s="9"/>
    </row>
    <row r="2687" spans="1:14" ht="15.75">
      <c r="A2687" s="11"/>
      <c r="B2687" s="9"/>
      <c r="C2687" s="12" t="str">
        <f>IF(B2687="","",IFERROR(INDEX('Cashier Roster'!$C$5:$C$64,MATCH(B2687,'Cashier Roster'!$B$5:$B$64,0)),"Not on roster"))</f>
        <v/>
      </c>
      <c r="D2687" s="12" t="str">
        <f>IF(B2687="","",IFERROR(INDEX('Cashier Roster'!$D$5:$D$64,MATCH(B2687,'Cashier Roster'!$B$5:$B$64,0)),""))</f>
        <v/>
      </c>
      <c r="E2687" s="13"/>
      <c r="F2687" s="14"/>
      <c r="G2687" s="8" t="str">
        <f>IF(OR(B2687="",E2687=""),"",IF(E2687="No","Missed",IF(F2687="","",IF(F2687&lt;=Settings!$B$7,"On time","Late"))))</f>
        <v/>
      </c>
      <c r="H2687" s="15"/>
      <c r="I2687" s="16"/>
      <c r="J2687" s="16"/>
      <c r="K2687" s="17" t="str">
        <f>IF(J2687="","",ROUND(J2687*Settings!$B$8,2))</f>
        <v/>
      </c>
      <c r="L2687" s="16"/>
      <c r="M2687" s="8" t="str">
        <f t="shared" si="41"/>
        <v/>
      </c>
      <c r="N2687" s="9"/>
    </row>
    <row r="2688" spans="1:14" ht="15.75">
      <c r="A2688" s="11"/>
      <c r="B2688" s="9"/>
      <c r="C2688" s="12" t="str">
        <f>IF(B2688="","",IFERROR(INDEX('Cashier Roster'!$C$5:$C$64,MATCH(B2688,'Cashier Roster'!$B$5:$B$64,0)),"Not on roster"))</f>
        <v/>
      </c>
      <c r="D2688" s="12" t="str">
        <f>IF(B2688="","",IFERROR(INDEX('Cashier Roster'!$D$5:$D$64,MATCH(B2688,'Cashier Roster'!$B$5:$B$64,0)),""))</f>
        <v/>
      </c>
      <c r="E2688" s="13"/>
      <c r="F2688" s="14"/>
      <c r="G2688" s="8" t="str">
        <f>IF(OR(B2688="",E2688=""),"",IF(E2688="No","Missed",IF(F2688="","",IF(F2688&lt;=Settings!$B$7,"On time","Late"))))</f>
        <v/>
      </c>
      <c r="H2688" s="15"/>
      <c r="I2688" s="16"/>
      <c r="J2688" s="16"/>
      <c r="K2688" s="17" t="str">
        <f>IF(J2688="","",ROUND(J2688*Settings!$B$8,2))</f>
        <v/>
      </c>
      <c r="L2688" s="16"/>
      <c r="M2688" s="8" t="str">
        <f t="shared" si="41"/>
        <v/>
      </c>
      <c r="N2688" s="9"/>
    </row>
    <row r="2689" spans="1:14" ht="15.75">
      <c r="A2689" s="11"/>
      <c r="B2689" s="9"/>
      <c r="C2689" s="12" t="str">
        <f>IF(B2689="","",IFERROR(INDEX('Cashier Roster'!$C$5:$C$64,MATCH(B2689,'Cashier Roster'!$B$5:$B$64,0)),"Not on roster"))</f>
        <v/>
      </c>
      <c r="D2689" s="12" t="str">
        <f>IF(B2689="","",IFERROR(INDEX('Cashier Roster'!$D$5:$D$64,MATCH(B2689,'Cashier Roster'!$B$5:$B$64,0)),""))</f>
        <v/>
      </c>
      <c r="E2689" s="13"/>
      <c r="F2689" s="14"/>
      <c r="G2689" s="8" t="str">
        <f>IF(OR(B2689="",E2689=""),"",IF(E2689="No","Missed",IF(F2689="","",IF(F2689&lt;=Settings!$B$7,"On time","Late"))))</f>
        <v/>
      </c>
      <c r="H2689" s="15"/>
      <c r="I2689" s="16"/>
      <c r="J2689" s="16"/>
      <c r="K2689" s="17" t="str">
        <f>IF(J2689="","",ROUND(J2689*Settings!$B$8,2))</f>
        <v/>
      </c>
      <c r="L2689" s="16"/>
      <c r="M2689" s="8" t="str">
        <f t="shared" si="41"/>
        <v/>
      </c>
      <c r="N2689" s="9"/>
    </row>
    <row r="2690" spans="1:14" ht="15.75">
      <c r="A2690" s="11"/>
      <c r="B2690" s="9"/>
      <c r="C2690" s="12" t="str">
        <f>IF(B2690="","",IFERROR(INDEX('Cashier Roster'!$C$5:$C$64,MATCH(B2690,'Cashier Roster'!$B$5:$B$64,0)),"Not on roster"))</f>
        <v/>
      </c>
      <c r="D2690" s="12" t="str">
        <f>IF(B2690="","",IFERROR(INDEX('Cashier Roster'!$D$5:$D$64,MATCH(B2690,'Cashier Roster'!$B$5:$B$64,0)),""))</f>
        <v/>
      </c>
      <c r="E2690" s="13"/>
      <c r="F2690" s="14"/>
      <c r="G2690" s="8" t="str">
        <f>IF(OR(B2690="",E2690=""),"",IF(E2690="No","Missed",IF(F2690="","",IF(F2690&lt;=Settings!$B$7,"On time","Late"))))</f>
        <v/>
      </c>
      <c r="H2690" s="15"/>
      <c r="I2690" s="16"/>
      <c r="J2690" s="16"/>
      <c r="K2690" s="17" t="str">
        <f>IF(J2690="","",ROUND(J2690*Settings!$B$8,2))</f>
        <v/>
      </c>
      <c r="L2690" s="16"/>
      <c r="M2690" s="8" t="str">
        <f t="shared" si="41"/>
        <v/>
      </c>
      <c r="N2690" s="9"/>
    </row>
    <row r="2691" spans="1:14" ht="15.75">
      <c r="A2691" s="11"/>
      <c r="B2691" s="9"/>
      <c r="C2691" s="12" t="str">
        <f>IF(B2691="","",IFERROR(INDEX('Cashier Roster'!$C$5:$C$64,MATCH(B2691,'Cashier Roster'!$B$5:$B$64,0)),"Not on roster"))</f>
        <v/>
      </c>
      <c r="D2691" s="12" t="str">
        <f>IF(B2691="","",IFERROR(INDEX('Cashier Roster'!$D$5:$D$64,MATCH(B2691,'Cashier Roster'!$B$5:$B$64,0)),""))</f>
        <v/>
      </c>
      <c r="E2691" s="13"/>
      <c r="F2691" s="14"/>
      <c r="G2691" s="8" t="str">
        <f>IF(OR(B2691="",E2691=""),"",IF(E2691="No","Missed",IF(F2691="","",IF(F2691&lt;=Settings!$B$7,"On time","Late"))))</f>
        <v/>
      </c>
      <c r="H2691" s="15"/>
      <c r="I2691" s="16"/>
      <c r="J2691" s="16"/>
      <c r="K2691" s="17" t="str">
        <f>IF(J2691="","",ROUND(J2691*Settings!$B$8,2))</f>
        <v/>
      </c>
      <c r="L2691" s="16"/>
      <c r="M2691" s="8" t="str">
        <f t="shared" si="41"/>
        <v/>
      </c>
      <c r="N2691" s="9"/>
    </row>
    <row r="2692" spans="1:14" ht="15.75">
      <c r="A2692" s="11"/>
      <c r="B2692" s="9"/>
      <c r="C2692" s="12" t="str">
        <f>IF(B2692="","",IFERROR(INDEX('Cashier Roster'!$C$5:$C$64,MATCH(B2692,'Cashier Roster'!$B$5:$B$64,0)),"Not on roster"))</f>
        <v/>
      </c>
      <c r="D2692" s="12" t="str">
        <f>IF(B2692="","",IFERROR(INDEX('Cashier Roster'!$D$5:$D$64,MATCH(B2692,'Cashier Roster'!$B$5:$B$64,0)),""))</f>
        <v/>
      </c>
      <c r="E2692" s="13"/>
      <c r="F2692" s="14"/>
      <c r="G2692" s="8" t="str">
        <f>IF(OR(B2692="",E2692=""),"",IF(E2692="No","Missed",IF(F2692="","",IF(F2692&lt;=Settings!$B$7,"On time","Late"))))</f>
        <v/>
      </c>
      <c r="H2692" s="15"/>
      <c r="I2692" s="16"/>
      <c r="J2692" s="16"/>
      <c r="K2692" s="17" t="str">
        <f>IF(J2692="","",ROUND(J2692*Settings!$B$8,2))</f>
        <v/>
      </c>
      <c r="L2692" s="16"/>
      <c r="M2692" s="8" t="str">
        <f t="shared" si="41"/>
        <v/>
      </c>
      <c r="N2692" s="9"/>
    </row>
    <row r="2693" spans="1:14" ht="15.75">
      <c r="A2693" s="11"/>
      <c r="B2693" s="9"/>
      <c r="C2693" s="12" t="str">
        <f>IF(B2693="","",IFERROR(INDEX('Cashier Roster'!$C$5:$C$64,MATCH(B2693,'Cashier Roster'!$B$5:$B$64,0)),"Not on roster"))</f>
        <v/>
      </c>
      <c r="D2693" s="12" t="str">
        <f>IF(B2693="","",IFERROR(INDEX('Cashier Roster'!$D$5:$D$64,MATCH(B2693,'Cashier Roster'!$B$5:$B$64,0)),""))</f>
        <v/>
      </c>
      <c r="E2693" s="13"/>
      <c r="F2693" s="14"/>
      <c r="G2693" s="8" t="str">
        <f>IF(OR(B2693="",E2693=""),"",IF(E2693="No","Missed",IF(F2693="","",IF(F2693&lt;=Settings!$B$7,"On time","Late"))))</f>
        <v/>
      </c>
      <c r="H2693" s="15"/>
      <c r="I2693" s="16"/>
      <c r="J2693" s="16"/>
      <c r="K2693" s="17" t="str">
        <f>IF(J2693="","",ROUND(J2693*Settings!$B$8,2))</f>
        <v/>
      </c>
      <c r="L2693" s="16"/>
      <c r="M2693" s="8" t="str">
        <f t="shared" ref="M2693:M2756" si="42">IF(L2693="","",IF(L2693&lt;=0,"Yes","No"))</f>
        <v/>
      </c>
      <c r="N2693" s="9"/>
    </row>
    <row r="2694" spans="1:14" ht="15.75">
      <c r="A2694" s="11"/>
      <c r="B2694" s="9"/>
      <c r="C2694" s="12" t="str">
        <f>IF(B2694="","",IFERROR(INDEX('Cashier Roster'!$C$5:$C$64,MATCH(B2694,'Cashier Roster'!$B$5:$B$64,0)),"Not on roster"))</f>
        <v/>
      </c>
      <c r="D2694" s="12" t="str">
        <f>IF(B2694="","",IFERROR(INDEX('Cashier Roster'!$D$5:$D$64,MATCH(B2694,'Cashier Roster'!$B$5:$B$64,0)),""))</f>
        <v/>
      </c>
      <c r="E2694" s="13"/>
      <c r="F2694" s="14"/>
      <c r="G2694" s="8" t="str">
        <f>IF(OR(B2694="",E2694=""),"",IF(E2694="No","Missed",IF(F2694="","",IF(F2694&lt;=Settings!$B$7,"On time","Late"))))</f>
        <v/>
      </c>
      <c r="H2694" s="15"/>
      <c r="I2694" s="16"/>
      <c r="J2694" s="16"/>
      <c r="K2694" s="17" t="str">
        <f>IF(J2694="","",ROUND(J2694*Settings!$B$8,2))</f>
        <v/>
      </c>
      <c r="L2694" s="16"/>
      <c r="M2694" s="8" t="str">
        <f t="shared" si="42"/>
        <v/>
      </c>
      <c r="N2694" s="9"/>
    </row>
    <row r="2695" spans="1:14" ht="15.75">
      <c r="A2695" s="11"/>
      <c r="B2695" s="9"/>
      <c r="C2695" s="12" t="str">
        <f>IF(B2695="","",IFERROR(INDEX('Cashier Roster'!$C$5:$C$64,MATCH(B2695,'Cashier Roster'!$B$5:$B$64,0)),"Not on roster"))</f>
        <v/>
      </c>
      <c r="D2695" s="12" t="str">
        <f>IF(B2695="","",IFERROR(INDEX('Cashier Roster'!$D$5:$D$64,MATCH(B2695,'Cashier Roster'!$B$5:$B$64,0)),""))</f>
        <v/>
      </c>
      <c r="E2695" s="13"/>
      <c r="F2695" s="14"/>
      <c r="G2695" s="8" t="str">
        <f>IF(OR(B2695="",E2695=""),"",IF(E2695="No","Missed",IF(F2695="","",IF(F2695&lt;=Settings!$B$7,"On time","Late"))))</f>
        <v/>
      </c>
      <c r="H2695" s="15"/>
      <c r="I2695" s="16"/>
      <c r="J2695" s="16"/>
      <c r="K2695" s="17" t="str">
        <f>IF(J2695="","",ROUND(J2695*Settings!$B$8,2))</f>
        <v/>
      </c>
      <c r="L2695" s="16"/>
      <c r="M2695" s="8" t="str">
        <f t="shared" si="42"/>
        <v/>
      </c>
      <c r="N2695" s="9"/>
    </row>
    <row r="2696" spans="1:14" ht="15.75">
      <c r="A2696" s="11"/>
      <c r="B2696" s="9"/>
      <c r="C2696" s="12" t="str">
        <f>IF(B2696="","",IFERROR(INDEX('Cashier Roster'!$C$5:$C$64,MATCH(B2696,'Cashier Roster'!$B$5:$B$64,0)),"Not on roster"))</f>
        <v/>
      </c>
      <c r="D2696" s="12" t="str">
        <f>IF(B2696="","",IFERROR(INDEX('Cashier Roster'!$D$5:$D$64,MATCH(B2696,'Cashier Roster'!$B$5:$B$64,0)),""))</f>
        <v/>
      </c>
      <c r="E2696" s="13"/>
      <c r="F2696" s="14"/>
      <c r="G2696" s="8" t="str">
        <f>IF(OR(B2696="",E2696=""),"",IF(E2696="No","Missed",IF(F2696="","",IF(F2696&lt;=Settings!$B$7,"On time","Late"))))</f>
        <v/>
      </c>
      <c r="H2696" s="15"/>
      <c r="I2696" s="16"/>
      <c r="J2696" s="16"/>
      <c r="K2696" s="17" t="str">
        <f>IF(J2696="","",ROUND(J2696*Settings!$B$8,2))</f>
        <v/>
      </c>
      <c r="L2696" s="16"/>
      <c r="M2696" s="8" t="str">
        <f t="shared" si="42"/>
        <v/>
      </c>
      <c r="N2696" s="9"/>
    </row>
    <row r="2697" spans="1:14" ht="15.75">
      <c r="A2697" s="11"/>
      <c r="B2697" s="9"/>
      <c r="C2697" s="12" t="str">
        <f>IF(B2697="","",IFERROR(INDEX('Cashier Roster'!$C$5:$C$64,MATCH(B2697,'Cashier Roster'!$B$5:$B$64,0)),"Not on roster"))</f>
        <v/>
      </c>
      <c r="D2697" s="12" t="str">
        <f>IF(B2697="","",IFERROR(INDEX('Cashier Roster'!$D$5:$D$64,MATCH(B2697,'Cashier Roster'!$B$5:$B$64,0)),""))</f>
        <v/>
      </c>
      <c r="E2697" s="13"/>
      <c r="F2697" s="14"/>
      <c r="G2697" s="8" t="str">
        <f>IF(OR(B2697="",E2697=""),"",IF(E2697="No","Missed",IF(F2697="","",IF(F2697&lt;=Settings!$B$7,"On time","Late"))))</f>
        <v/>
      </c>
      <c r="H2697" s="15"/>
      <c r="I2697" s="16"/>
      <c r="J2697" s="16"/>
      <c r="K2697" s="17" t="str">
        <f>IF(J2697="","",ROUND(J2697*Settings!$B$8,2))</f>
        <v/>
      </c>
      <c r="L2697" s="16"/>
      <c r="M2697" s="8" t="str">
        <f t="shared" si="42"/>
        <v/>
      </c>
      <c r="N2697" s="9"/>
    </row>
    <row r="2698" spans="1:14" ht="15.75">
      <c r="A2698" s="11"/>
      <c r="B2698" s="9"/>
      <c r="C2698" s="12" t="str">
        <f>IF(B2698="","",IFERROR(INDEX('Cashier Roster'!$C$5:$C$64,MATCH(B2698,'Cashier Roster'!$B$5:$B$64,0)),"Not on roster"))</f>
        <v/>
      </c>
      <c r="D2698" s="12" t="str">
        <f>IF(B2698="","",IFERROR(INDEX('Cashier Roster'!$D$5:$D$64,MATCH(B2698,'Cashier Roster'!$B$5:$B$64,0)),""))</f>
        <v/>
      </c>
      <c r="E2698" s="13"/>
      <c r="F2698" s="14"/>
      <c r="G2698" s="8" t="str">
        <f>IF(OR(B2698="",E2698=""),"",IF(E2698="No","Missed",IF(F2698="","",IF(F2698&lt;=Settings!$B$7,"On time","Late"))))</f>
        <v/>
      </c>
      <c r="H2698" s="15"/>
      <c r="I2698" s="16"/>
      <c r="J2698" s="16"/>
      <c r="K2698" s="17" t="str">
        <f>IF(J2698="","",ROUND(J2698*Settings!$B$8,2))</f>
        <v/>
      </c>
      <c r="L2698" s="16"/>
      <c r="M2698" s="8" t="str">
        <f t="shared" si="42"/>
        <v/>
      </c>
      <c r="N2698" s="9"/>
    </row>
    <row r="2699" spans="1:14" ht="15.75">
      <c r="A2699" s="11"/>
      <c r="B2699" s="9"/>
      <c r="C2699" s="12" t="str">
        <f>IF(B2699="","",IFERROR(INDEX('Cashier Roster'!$C$5:$C$64,MATCH(B2699,'Cashier Roster'!$B$5:$B$64,0)),"Not on roster"))</f>
        <v/>
      </c>
      <c r="D2699" s="12" t="str">
        <f>IF(B2699="","",IFERROR(INDEX('Cashier Roster'!$D$5:$D$64,MATCH(B2699,'Cashier Roster'!$B$5:$B$64,0)),""))</f>
        <v/>
      </c>
      <c r="E2699" s="13"/>
      <c r="F2699" s="14"/>
      <c r="G2699" s="8" t="str">
        <f>IF(OR(B2699="",E2699=""),"",IF(E2699="No","Missed",IF(F2699="","",IF(F2699&lt;=Settings!$B$7,"On time","Late"))))</f>
        <v/>
      </c>
      <c r="H2699" s="15"/>
      <c r="I2699" s="16"/>
      <c r="J2699" s="16"/>
      <c r="K2699" s="17" t="str">
        <f>IF(J2699="","",ROUND(J2699*Settings!$B$8,2))</f>
        <v/>
      </c>
      <c r="L2699" s="16"/>
      <c r="M2699" s="8" t="str">
        <f t="shared" si="42"/>
        <v/>
      </c>
      <c r="N2699" s="9"/>
    </row>
    <row r="2700" spans="1:14" ht="15.75">
      <c r="A2700" s="11"/>
      <c r="B2700" s="9"/>
      <c r="C2700" s="12" t="str">
        <f>IF(B2700="","",IFERROR(INDEX('Cashier Roster'!$C$5:$C$64,MATCH(B2700,'Cashier Roster'!$B$5:$B$64,0)),"Not on roster"))</f>
        <v/>
      </c>
      <c r="D2700" s="12" t="str">
        <f>IF(B2700="","",IFERROR(INDEX('Cashier Roster'!$D$5:$D$64,MATCH(B2700,'Cashier Roster'!$B$5:$B$64,0)),""))</f>
        <v/>
      </c>
      <c r="E2700" s="13"/>
      <c r="F2700" s="14"/>
      <c r="G2700" s="8" t="str">
        <f>IF(OR(B2700="",E2700=""),"",IF(E2700="No","Missed",IF(F2700="","",IF(F2700&lt;=Settings!$B$7,"On time","Late"))))</f>
        <v/>
      </c>
      <c r="H2700" s="15"/>
      <c r="I2700" s="16"/>
      <c r="J2700" s="16"/>
      <c r="K2700" s="17" t="str">
        <f>IF(J2700="","",ROUND(J2700*Settings!$B$8,2))</f>
        <v/>
      </c>
      <c r="L2700" s="16"/>
      <c r="M2700" s="8" t="str">
        <f t="shared" si="42"/>
        <v/>
      </c>
      <c r="N2700" s="9"/>
    </row>
    <row r="2701" spans="1:14" ht="15.75">
      <c r="A2701" s="11"/>
      <c r="B2701" s="9"/>
      <c r="C2701" s="12" t="str">
        <f>IF(B2701="","",IFERROR(INDEX('Cashier Roster'!$C$5:$C$64,MATCH(B2701,'Cashier Roster'!$B$5:$B$64,0)),"Not on roster"))</f>
        <v/>
      </c>
      <c r="D2701" s="12" t="str">
        <f>IF(B2701="","",IFERROR(INDEX('Cashier Roster'!$D$5:$D$64,MATCH(B2701,'Cashier Roster'!$B$5:$B$64,0)),""))</f>
        <v/>
      </c>
      <c r="E2701" s="13"/>
      <c r="F2701" s="14"/>
      <c r="G2701" s="8" t="str">
        <f>IF(OR(B2701="",E2701=""),"",IF(E2701="No","Missed",IF(F2701="","",IF(F2701&lt;=Settings!$B$7,"On time","Late"))))</f>
        <v/>
      </c>
      <c r="H2701" s="15"/>
      <c r="I2701" s="16"/>
      <c r="J2701" s="16"/>
      <c r="K2701" s="17" t="str">
        <f>IF(J2701="","",ROUND(J2701*Settings!$B$8,2))</f>
        <v/>
      </c>
      <c r="L2701" s="16"/>
      <c r="M2701" s="8" t="str">
        <f t="shared" si="42"/>
        <v/>
      </c>
      <c r="N2701" s="9"/>
    </row>
    <row r="2702" spans="1:14" ht="15.75">
      <c r="A2702" s="11"/>
      <c r="B2702" s="9"/>
      <c r="C2702" s="12" t="str">
        <f>IF(B2702="","",IFERROR(INDEX('Cashier Roster'!$C$5:$C$64,MATCH(B2702,'Cashier Roster'!$B$5:$B$64,0)),"Not on roster"))</f>
        <v/>
      </c>
      <c r="D2702" s="12" t="str">
        <f>IF(B2702="","",IFERROR(INDEX('Cashier Roster'!$D$5:$D$64,MATCH(B2702,'Cashier Roster'!$B$5:$B$64,0)),""))</f>
        <v/>
      </c>
      <c r="E2702" s="13"/>
      <c r="F2702" s="14"/>
      <c r="G2702" s="8" t="str">
        <f>IF(OR(B2702="",E2702=""),"",IF(E2702="No","Missed",IF(F2702="","",IF(F2702&lt;=Settings!$B$7,"On time","Late"))))</f>
        <v/>
      </c>
      <c r="H2702" s="15"/>
      <c r="I2702" s="16"/>
      <c r="J2702" s="16"/>
      <c r="K2702" s="17" t="str">
        <f>IF(J2702="","",ROUND(J2702*Settings!$B$8,2))</f>
        <v/>
      </c>
      <c r="L2702" s="16"/>
      <c r="M2702" s="8" t="str">
        <f t="shared" si="42"/>
        <v/>
      </c>
      <c r="N2702" s="9"/>
    </row>
    <row r="2703" spans="1:14" ht="15.75">
      <c r="A2703" s="11"/>
      <c r="B2703" s="9"/>
      <c r="C2703" s="12" t="str">
        <f>IF(B2703="","",IFERROR(INDEX('Cashier Roster'!$C$5:$C$64,MATCH(B2703,'Cashier Roster'!$B$5:$B$64,0)),"Not on roster"))</f>
        <v/>
      </c>
      <c r="D2703" s="12" t="str">
        <f>IF(B2703="","",IFERROR(INDEX('Cashier Roster'!$D$5:$D$64,MATCH(B2703,'Cashier Roster'!$B$5:$B$64,0)),""))</f>
        <v/>
      </c>
      <c r="E2703" s="13"/>
      <c r="F2703" s="14"/>
      <c r="G2703" s="8" t="str">
        <f>IF(OR(B2703="",E2703=""),"",IF(E2703="No","Missed",IF(F2703="","",IF(F2703&lt;=Settings!$B$7,"On time","Late"))))</f>
        <v/>
      </c>
      <c r="H2703" s="15"/>
      <c r="I2703" s="16"/>
      <c r="J2703" s="16"/>
      <c r="K2703" s="17" t="str">
        <f>IF(J2703="","",ROUND(J2703*Settings!$B$8,2))</f>
        <v/>
      </c>
      <c r="L2703" s="16"/>
      <c r="M2703" s="8" t="str">
        <f t="shared" si="42"/>
        <v/>
      </c>
      <c r="N2703" s="9"/>
    </row>
    <row r="2704" spans="1:14" ht="15.75">
      <c r="A2704" s="11"/>
      <c r="B2704" s="9"/>
      <c r="C2704" s="12" t="str">
        <f>IF(B2704="","",IFERROR(INDEX('Cashier Roster'!$C$5:$C$64,MATCH(B2704,'Cashier Roster'!$B$5:$B$64,0)),"Not on roster"))</f>
        <v/>
      </c>
      <c r="D2704" s="12" t="str">
        <f>IF(B2704="","",IFERROR(INDEX('Cashier Roster'!$D$5:$D$64,MATCH(B2704,'Cashier Roster'!$B$5:$B$64,0)),""))</f>
        <v/>
      </c>
      <c r="E2704" s="13"/>
      <c r="F2704" s="14"/>
      <c r="G2704" s="8" t="str">
        <f>IF(OR(B2704="",E2704=""),"",IF(E2704="No","Missed",IF(F2704="","",IF(F2704&lt;=Settings!$B$7,"On time","Late"))))</f>
        <v/>
      </c>
      <c r="H2704" s="15"/>
      <c r="I2704" s="16"/>
      <c r="J2704" s="16"/>
      <c r="K2704" s="17" t="str">
        <f>IF(J2704="","",ROUND(J2704*Settings!$B$8,2))</f>
        <v/>
      </c>
      <c r="L2704" s="16"/>
      <c r="M2704" s="8" t="str">
        <f t="shared" si="42"/>
        <v/>
      </c>
      <c r="N2704" s="9"/>
    </row>
    <row r="2705" spans="1:14" ht="15.75">
      <c r="A2705" s="11"/>
      <c r="B2705" s="9"/>
      <c r="C2705" s="12" t="str">
        <f>IF(B2705="","",IFERROR(INDEX('Cashier Roster'!$C$5:$C$64,MATCH(B2705,'Cashier Roster'!$B$5:$B$64,0)),"Not on roster"))</f>
        <v/>
      </c>
      <c r="D2705" s="12" t="str">
        <f>IF(B2705="","",IFERROR(INDEX('Cashier Roster'!$D$5:$D$64,MATCH(B2705,'Cashier Roster'!$B$5:$B$64,0)),""))</f>
        <v/>
      </c>
      <c r="E2705" s="13"/>
      <c r="F2705" s="14"/>
      <c r="G2705" s="8" t="str">
        <f>IF(OR(B2705="",E2705=""),"",IF(E2705="No","Missed",IF(F2705="","",IF(F2705&lt;=Settings!$B$7,"On time","Late"))))</f>
        <v/>
      </c>
      <c r="H2705" s="15"/>
      <c r="I2705" s="16"/>
      <c r="J2705" s="16"/>
      <c r="K2705" s="17" t="str">
        <f>IF(J2705="","",ROUND(J2705*Settings!$B$8,2))</f>
        <v/>
      </c>
      <c r="L2705" s="16"/>
      <c r="M2705" s="8" t="str">
        <f t="shared" si="42"/>
        <v/>
      </c>
      <c r="N2705" s="9"/>
    </row>
    <row r="2706" spans="1:14" ht="15.75">
      <c r="A2706" s="11"/>
      <c r="B2706" s="9"/>
      <c r="C2706" s="12" t="str">
        <f>IF(B2706="","",IFERROR(INDEX('Cashier Roster'!$C$5:$C$64,MATCH(B2706,'Cashier Roster'!$B$5:$B$64,0)),"Not on roster"))</f>
        <v/>
      </c>
      <c r="D2706" s="12" t="str">
        <f>IF(B2706="","",IFERROR(INDEX('Cashier Roster'!$D$5:$D$64,MATCH(B2706,'Cashier Roster'!$B$5:$B$64,0)),""))</f>
        <v/>
      </c>
      <c r="E2706" s="13"/>
      <c r="F2706" s="14"/>
      <c r="G2706" s="8" t="str">
        <f>IF(OR(B2706="",E2706=""),"",IF(E2706="No","Missed",IF(F2706="","",IF(F2706&lt;=Settings!$B$7,"On time","Late"))))</f>
        <v/>
      </c>
      <c r="H2706" s="15"/>
      <c r="I2706" s="16"/>
      <c r="J2706" s="16"/>
      <c r="K2706" s="17" t="str">
        <f>IF(J2706="","",ROUND(J2706*Settings!$B$8,2))</f>
        <v/>
      </c>
      <c r="L2706" s="16"/>
      <c r="M2706" s="8" t="str">
        <f t="shared" si="42"/>
        <v/>
      </c>
      <c r="N2706" s="9"/>
    </row>
    <row r="2707" spans="1:14" ht="15.75">
      <c r="A2707" s="11"/>
      <c r="B2707" s="9"/>
      <c r="C2707" s="12" t="str">
        <f>IF(B2707="","",IFERROR(INDEX('Cashier Roster'!$C$5:$C$64,MATCH(B2707,'Cashier Roster'!$B$5:$B$64,0)),"Not on roster"))</f>
        <v/>
      </c>
      <c r="D2707" s="12" t="str">
        <f>IF(B2707="","",IFERROR(INDEX('Cashier Roster'!$D$5:$D$64,MATCH(B2707,'Cashier Roster'!$B$5:$B$64,0)),""))</f>
        <v/>
      </c>
      <c r="E2707" s="13"/>
      <c r="F2707" s="14"/>
      <c r="G2707" s="8" t="str">
        <f>IF(OR(B2707="",E2707=""),"",IF(E2707="No","Missed",IF(F2707="","",IF(F2707&lt;=Settings!$B$7,"On time","Late"))))</f>
        <v/>
      </c>
      <c r="H2707" s="15"/>
      <c r="I2707" s="16"/>
      <c r="J2707" s="16"/>
      <c r="K2707" s="17" t="str">
        <f>IF(J2707="","",ROUND(J2707*Settings!$B$8,2))</f>
        <v/>
      </c>
      <c r="L2707" s="16"/>
      <c r="M2707" s="8" t="str">
        <f t="shared" si="42"/>
        <v/>
      </c>
      <c r="N2707" s="9"/>
    </row>
    <row r="2708" spans="1:14" ht="15.75">
      <c r="A2708" s="11"/>
      <c r="B2708" s="9"/>
      <c r="C2708" s="12" t="str">
        <f>IF(B2708="","",IFERROR(INDEX('Cashier Roster'!$C$5:$C$64,MATCH(B2708,'Cashier Roster'!$B$5:$B$64,0)),"Not on roster"))</f>
        <v/>
      </c>
      <c r="D2708" s="12" t="str">
        <f>IF(B2708="","",IFERROR(INDEX('Cashier Roster'!$D$5:$D$64,MATCH(B2708,'Cashier Roster'!$B$5:$B$64,0)),""))</f>
        <v/>
      </c>
      <c r="E2708" s="13"/>
      <c r="F2708" s="14"/>
      <c r="G2708" s="8" t="str">
        <f>IF(OR(B2708="",E2708=""),"",IF(E2708="No","Missed",IF(F2708="","",IF(F2708&lt;=Settings!$B$7,"On time","Late"))))</f>
        <v/>
      </c>
      <c r="H2708" s="15"/>
      <c r="I2708" s="16"/>
      <c r="J2708" s="16"/>
      <c r="K2708" s="17" t="str">
        <f>IF(J2708="","",ROUND(J2708*Settings!$B$8,2))</f>
        <v/>
      </c>
      <c r="L2708" s="16"/>
      <c r="M2708" s="8" t="str">
        <f t="shared" si="42"/>
        <v/>
      </c>
      <c r="N2708" s="9"/>
    </row>
    <row r="2709" spans="1:14" ht="15.75">
      <c r="A2709" s="11"/>
      <c r="B2709" s="9"/>
      <c r="C2709" s="12" t="str">
        <f>IF(B2709="","",IFERROR(INDEX('Cashier Roster'!$C$5:$C$64,MATCH(B2709,'Cashier Roster'!$B$5:$B$64,0)),"Not on roster"))</f>
        <v/>
      </c>
      <c r="D2709" s="12" t="str">
        <f>IF(B2709="","",IFERROR(INDEX('Cashier Roster'!$D$5:$D$64,MATCH(B2709,'Cashier Roster'!$B$5:$B$64,0)),""))</f>
        <v/>
      </c>
      <c r="E2709" s="13"/>
      <c r="F2709" s="14"/>
      <c r="G2709" s="8" t="str">
        <f>IF(OR(B2709="",E2709=""),"",IF(E2709="No","Missed",IF(F2709="","",IF(F2709&lt;=Settings!$B$7,"On time","Late"))))</f>
        <v/>
      </c>
      <c r="H2709" s="15"/>
      <c r="I2709" s="16"/>
      <c r="J2709" s="16"/>
      <c r="K2709" s="17" t="str">
        <f>IF(J2709="","",ROUND(J2709*Settings!$B$8,2))</f>
        <v/>
      </c>
      <c r="L2709" s="16"/>
      <c r="M2709" s="8" t="str">
        <f t="shared" si="42"/>
        <v/>
      </c>
      <c r="N2709" s="9"/>
    </row>
    <row r="2710" spans="1:14" ht="15.75">
      <c r="A2710" s="11"/>
      <c r="B2710" s="9"/>
      <c r="C2710" s="12" t="str">
        <f>IF(B2710="","",IFERROR(INDEX('Cashier Roster'!$C$5:$C$64,MATCH(B2710,'Cashier Roster'!$B$5:$B$64,0)),"Not on roster"))</f>
        <v/>
      </c>
      <c r="D2710" s="12" t="str">
        <f>IF(B2710="","",IFERROR(INDEX('Cashier Roster'!$D$5:$D$64,MATCH(B2710,'Cashier Roster'!$B$5:$B$64,0)),""))</f>
        <v/>
      </c>
      <c r="E2710" s="13"/>
      <c r="F2710" s="14"/>
      <c r="G2710" s="8" t="str">
        <f>IF(OR(B2710="",E2710=""),"",IF(E2710="No","Missed",IF(F2710="","",IF(F2710&lt;=Settings!$B$7,"On time","Late"))))</f>
        <v/>
      </c>
      <c r="H2710" s="15"/>
      <c r="I2710" s="16"/>
      <c r="J2710" s="16"/>
      <c r="K2710" s="17" t="str">
        <f>IF(J2710="","",ROUND(J2710*Settings!$B$8,2))</f>
        <v/>
      </c>
      <c r="L2710" s="16"/>
      <c r="M2710" s="8" t="str">
        <f t="shared" si="42"/>
        <v/>
      </c>
      <c r="N2710" s="9"/>
    </row>
    <row r="2711" spans="1:14" ht="15.75">
      <c r="A2711" s="11"/>
      <c r="B2711" s="9"/>
      <c r="C2711" s="12" t="str">
        <f>IF(B2711="","",IFERROR(INDEX('Cashier Roster'!$C$5:$C$64,MATCH(B2711,'Cashier Roster'!$B$5:$B$64,0)),"Not on roster"))</f>
        <v/>
      </c>
      <c r="D2711" s="12" t="str">
        <f>IF(B2711="","",IFERROR(INDEX('Cashier Roster'!$D$5:$D$64,MATCH(B2711,'Cashier Roster'!$B$5:$B$64,0)),""))</f>
        <v/>
      </c>
      <c r="E2711" s="13"/>
      <c r="F2711" s="14"/>
      <c r="G2711" s="8" t="str">
        <f>IF(OR(B2711="",E2711=""),"",IF(E2711="No","Missed",IF(F2711="","",IF(F2711&lt;=Settings!$B$7,"On time","Late"))))</f>
        <v/>
      </c>
      <c r="H2711" s="15"/>
      <c r="I2711" s="16"/>
      <c r="J2711" s="16"/>
      <c r="K2711" s="17" t="str">
        <f>IF(J2711="","",ROUND(J2711*Settings!$B$8,2))</f>
        <v/>
      </c>
      <c r="L2711" s="16"/>
      <c r="M2711" s="8" t="str">
        <f t="shared" si="42"/>
        <v/>
      </c>
      <c r="N2711" s="9"/>
    </row>
    <row r="2712" spans="1:14" ht="15.75">
      <c r="A2712" s="11"/>
      <c r="B2712" s="9"/>
      <c r="C2712" s="12" t="str">
        <f>IF(B2712="","",IFERROR(INDEX('Cashier Roster'!$C$5:$C$64,MATCH(B2712,'Cashier Roster'!$B$5:$B$64,0)),"Not on roster"))</f>
        <v/>
      </c>
      <c r="D2712" s="12" t="str">
        <f>IF(B2712="","",IFERROR(INDEX('Cashier Roster'!$D$5:$D$64,MATCH(B2712,'Cashier Roster'!$B$5:$B$64,0)),""))</f>
        <v/>
      </c>
      <c r="E2712" s="13"/>
      <c r="F2712" s="14"/>
      <c r="G2712" s="8" t="str">
        <f>IF(OR(B2712="",E2712=""),"",IF(E2712="No","Missed",IF(F2712="","",IF(F2712&lt;=Settings!$B$7,"On time","Late"))))</f>
        <v/>
      </c>
      <c r="H2712" s="15"/>
      <c r="I2712" s="16"/>
      <c r="J2712" s="16"/>
      <c r="K2712" s="17" t="str">
        <f>IF(J2712="","",ROUND(J2712*Settings!$B$8,2))</f>
        <v/>
      </c>
      <c r="L2712" s="16"/>
      <c r="M2712" s="8" t="str">
        <f t="shared" si="42"/>
        <v/>
      </c>
      <c r="N2712" s="9"/>
    </row>
    <row r="2713" spans="1:14" ht="15.75">
      <c r="A2713" s="11"/>
      <c r="B2713" s="9"/>
      <c r="C2713" s="12" t="str">
        <f>IF(B2713="","",IFERROR(INDEX('Cashier Roster'!$C$5:$C$64,MATCH(B2713,'Cashier Roster'!$B$5:$B$64,0)),"Not on roster"))</f>
        <v/>
      </c>
      <c r="D2713" s="12" t="str">
        <f>IF(B2713="","",IFERROR(INDEX('Cashier Roster'!$D$5:$D$64,MATCH(B2713,'Cashier Roster'!$B$5:$B$64,0)),""))</f>
        <v/>
      </c>
      <c r="E2713" s="13"/>
      <c r="F2713" s="14"/>
      <c r="G2713" s="8" t="str">
        <f>IF(OR(B2713="",E2713=""),"",IF(E2713="No","Missed",IF(F2713="","",IF(F2713&lt;=Settings!$B$7,"On time","Late"))))</f>
        <v/>
      </c>
      <c r="H2713" s="15"/>
      <c r="I2713" s="16"/>
      <c r="J2713" s="16"/>
      <c r="K2713" s="17" t="str">
        <f>IF(J2713="","",ROUND(J2713*Settings!$B$8,2))</f>
        <v/>
      </c>
      <c r="L2713" s="16"/>
      <c r="M2713" s="8" t="str">
        <f t="shared" si="42"/>
        <v/>
      </c>
      <c r="N2713" s="9"/>
    </row>
    <row r="2714" spans="1:14" ht="15.75">
      <c r="A2714" s="11"/>
      <c r="B2714" s="9"/>
      <c r="C2714" s="12" t="str">
        <f>IF(B2714="","",IFERROR(INDEX('Cashier Roster'!$C$5:$C$64,MATCH(B2714,'Cashier Roster'!$B$5:$B$64,0)),"Not on roster"))</f>
        <v/>
      </c>
      <c r="D2714" s="12" t="str">
        <f>IF(B2714="","",IFERROR(INDEX('Cashier Roster'!$D$5:$D$64,MATCH(B2714,'Cashier Roster'!$B$5:$B$64,0)),""))</f>
        <v/>
      </c>
      <c r="E2714" s="13"/>
      <c r="F2714" s="14"/>
      <c r="G2714" s="8" t="str">
        <f>IF(OR(B2714="",E2714=""),"",IF(E2714="No","Missed",IF(F2714="","",IF(F2714&lt;=Settings!$B$7,"On time","Late"))))</f>
        <v/>
      </c>
      <c r="H2714" s="15"/>
      <c r="I2714" s="16"/>
      <c r="J2714" s="16"/>
      <c r="K2714" s="17" t="str">
        <f>IF(J2714="","",ROUND(J2714*Settings!$B$8,2))</f>
        <v/>
      </c>
      <c r="L2714" s="16"/>
      <c r="M2714" s="8" t="str">
        <f t="shared" si="42"/>
        <v/>
      </c>
      <c r="N2714" s="9"/>
    </row>
    <row r="2715" spans="1:14" ht="15.75">
      <c r="A2715" s="11"/>
      <c r="B2715" s="9"/>
      <c r="C2715" s="12" t="str">
        <f>IF(B2715="","",IFERROR(INDEX('Cashier Roster'!$C$5:$C$64,MATCH(B2715,'Cashier Roster'!$B$5:$B$64,0)),"Not on roster"))</f>
        <v/>
      </c>
      <c r="D2715" s="12" t="str">
        <f>IF(B2715="","",IFERROR(INDEX('Cashier Roster'!$D$5:$D$64,MATCH(B2715,'Cashier Roster'!$B$5:$B$64,0)),""))</f>
        <v/>
      </c>
      <c r="E2715" s="13"/>
      <c r="F2715" s="14"/>
      <c r="G2715" s="8" t="str">
        <f>IF(OR(B2715="",E2715=""),"",IF(E2715="No","Missed",IF(F2715="","",IF(F2715&lt;=Settings!$B$7,"On time","Late"))))</f>
        <v/>
      </c>
      <c r="H2715" s="15"/>
      <c r="I2715" s="16"/>
      <c r="J2715" s="16"/>
      <c r="K2715" s="17" t="str">
        <f>IF(J2715="","",ROUND(J2715*Settings!$B$8,2))</f>
        <v/>
      </c>
      <c r="L2715" s="16"/>
      <c r="M2715" s="8" t="str">
        <f t="shared" si="42"/>
        <v/>
      </c>
      <c r="N2715" s="9"/>
    </row>
    <row r="2716" spans="1:14" ht="15.75">
      <c r="A2716" s="11"/>
      <c r="B2716" s="9"/>
      <c r="C2716" s="12" t="str">
        <f>IF(B2716="","",IFERROR(INDEX('Cashier Roster'!$C$5:$C$64,MATCH(B2716,'Cashier Roster'!$B$5:$B$64,0)),"Not on roster"))</f>
        <v/>
      </c>
      <c r="D2716" s="12" t="str">
        <f>IF(B2716="","",IFERROR(INDEX('Cashier Roster'!$D$5:$D$64,MATCH(B2716,'Cashier Roster'!$B$5:$B$64,0)),""))</f>
        <v/>
      </c>
      <c r="E2716" s="13"/>
      <c r="F2716" s="14"/>
      <c r="G2716" s="8" t="str">
        <f>IF(OR(B2716="",E2716=""),"",IF(E2716="No","Missed",IF(F2716="","",IF(F2716&lt;=Settings!$B$7,"On time","Late"))))</f>
        <v/>
      </c>
      <c r="H2716" s="15"/>
      <c r="I2716" s="16"/>
      <c r="J2716" s="16"/>
      <c r="K2716" s="17" t="str">
        <f>IF(J2716="","",ROUND(J2716*Settings!$B$8,2))</f>
        <v/>
      </c>
      <c r="L2716" s="16"/>
      <c r="M2716" s="8" t="str">
        <f t="shared" si="42"/>
        <v/>
      </c>
      <c r="N2716" s="9"/>
    </row>
    <row r="2717" spans="1:14" ht="15.75">
      <c r="A2717" s="11"/>
      <c r="B2717" s="9"/>
      <c r="C2717" s="12" t="str">
        <f>IF(B2717="","",IFERROR(INDEX('Cashier Roster'!$C$5:$C$64,MATCH(B2717,'Cashier Roster'!$B$5:$B$64,0)),"Not on roster"))</f>
        <v/>
      </c>
      <c r="D2717" s="12" t="str">
        <f>IF(B2717="","",IFERROR(INDEX('Cashier Roster'!$D$5:$D$64,MATCH(B2717,'Cashier Roster'!$B$5:$B$64,0)),""))</f>
        <v/>
      </c>
      <c r="E2717" s="13"/>
      <c r="F2717" s="14"/>
      <c r="G2717" s="8" t="str">
        <f>IF(OR(B2717="",E2717=""),"",IF(E2717="No","Missed",IF(F2717="","",IF(F2717&lt;=Settings!$B$7,"On time","Late"))))</f>
        <v/>
      </c>
      <c r="H2717" s="15"/>
      <c r="I2717" s="16"/>
      <c r="J2717" s="16"/>
      <c r="K2717" s="17" t="str">
        <f>IF(J2717="","",ROUND(J2717*Settings!$B$8,2))</f>
        <v/>
      </c>
      <c r="L2717" s="16"/>
      <c r="M2717" s="8" t="str">
        <f t="shared" si="42"/>
        <v/>
      </c>
      <c r="N2717" s="9"/>
    </row>
    <row r="2718" spans="1:14" ht="15.75">
      <c r="A2718" s="11"/>
      <c r="B2718" s="9"/>
      <c r="C2718" s="12" t="str">
        <f>IF(B2718="","",IFERROR(INDEX('Cashier Roster'!$C$5:$C$64,MATCH(B2718,'Cashier Roster'!$B$5:$B$64,0)),"Not on roster"))</f>
        <v/>
      </c>
      <c r="D2718" s="12" t="str">
        <f>IF(B2718="","",IFERROR(INDEX('Cashier Roster'!$D$5:$D$64,MATCH(B2718,'Cashier Roster'!$B$5:$B$64,0)),""))</f>
        <v/>
      </c>
      <c r="E2718" s="13"/>
      <c r="F2718" s="14"/>
      <c r="G2718" s="8" t="str">
        <f>IF(OR(B2718="",E2718=""),"",IF(E2718="No","Missed",IF(F2718="","",IF(F2718&lt;=Settings!$B$7,"On time","Late"))))</f>
        <v/>
      </c>
      <c r="H2718" s="15"/>
      <c r="I2718" s="16"/>
      <c r="J2718" s="16"/>
      <c r="K2718" s="17" t="str">
        <f>IF(J2718="","",ROUND(J2718*Settings!$B$8,2))</f>
        <v/>
      </c>
      <c r="L2718" s="16"/>
      <c r="M2718" s="8" t="str">
        <f t="shared" si="42"/>
        <v/>
      </c>
      <c r="N2718" s="9"/>
    </row>
    <row r="2719" spans="1:14" ht="15.75">
      <c r="A2719" s="11"/>
      <c r="B2719" s="9"/>
      <c r="C2719" s="12" t="str">
        <f>IF(B2719="","",IFERROR(INDEX('Cashier Roster'!$C$5:$C$64,MATCH(B2719,'Cashier Roster'!$B$5:$B$64,0)),"Not on roster"))</f>
        <v/>
      </c>
      <c r="D2719" s="12" t="str">
        <f>IF(B2719="","",IFERROR(INDEX('Cashier Roster'!$D$5:$D$64,MATCH(B2719,'Cashier Roster'!$B$5:$B$64,0)),""))</f>
        <v/>
      </c>
      <c r="E2719" s="13"/>
      <c r="F2719" s="14"/>
      <c r="G2719" s="8" t="str">
        <f>IF(OR(B2719="",E2719=""),"",IF(E2719="No","Missed",IF(F2719="","",IF(F2719&lt;=Settings!$B$7,"On time","Late"))))</f>
        <v/>
      </c>
      <c r="H2719" s="15"/>
      <c r="I2719" s="16"/>
      <c r="J2719" s="16"/>
      <c r="K2719" s="17" t="str">
        <f>IF(J2719="","",ROUND(J2719*Settings!$B$8,2))</f>
        <v/>
      </c>
      <c r="L2719" s="16"/>
      <c r="M2719" s="8" t="str">
        <f t="shared" si="42"/>
        <v/>
      </c>
      <c r="N2719" s="9"/>
    </row>
    <row r="2720" spans="1:14" ht="15.75">
      <c r="A2720" s="11"/>
      <c r="B2720" s="9"/>
      <c r="C2720" s="12" t="str">
        <f>IF(B2720="","",IFERROR(INDEX('Cashier Roster'!$C$5:$C$64,MATCH(B2720,'Cashier Roster'!$B$5:$B$64,0)),"Not on roster"))</f>
        <v/>
      </c>
      <c r="D2720" s="12" t="str">
        <f>IF(B2720="","",IFERROR(INDEX('Cashier Roster'!$D$5:$D$64,MATCH(B2720,'Cashier Roster'!$B$5:$B$64,0)),""))</f>
        <v/>
      </c>
      <c r="E2720" s="13"/>
      <c r="F2720" s="14"/>
      <c r="G2720" s="8" t="str">
        <f>IF(OR(B2720="",E2720=""),"",IF(E2720="No","Missed",IF(F2720="","",IF(F2720&lt;=Settings!$B$7,"On time","Late"))))</f>
        <v/>
      </c>
      <c r="H2720" s="15"/>
      <c r="I2720" s="16"/>
      <c r="J2720" s="16"/>
      <c r="K2720" s="17" t="str">
        <f>IF(J2720="","",ROUND(J2720*Settings!$B$8,2))</f>
        <v/>
      </c>
      <c r="L2720" s="16"/>
      <c r="M2720" s="8" t="str">
        <f t="shared" si="42"/>
        <v/>
      </c>
      <c r="N2720" s="9"/>
    </row>
    <row r="2721" spans="1:14" ht="15.75">
      <c r="A2721" s="11"/>
      <c r="B2721" s="9"/>
      <c r="C2721" s="12" t="str">
        <f>IF(B2721="","",IFERROR(INDEX('Cashier Roster'!$C$5:$C$64,MATCH(B2721,'Cashier Roster'!$B$5:$B$64,0)),"Not on roster"))</f>
        <v/>
      </c>
      <c r="D2721" s="12" t="str">
        <f>IF(B2721="","",IFERROR(INDEX('Cashier Roster'!$D$5:$D$64,MATCH(B2721,'Cashier Roster'!$B$5:$B$64,0)),""))</f>
        <v/>
      </c>
      <c r="E2721" s="13"/>
      <c r="F2721" s="14"/>
      <c r="G2721" s="8" t="str">
        <f>IF(OR(B2721="",E2721=""),"",IF(E2721="No","Missed",IF(F2721="","",IF(F2721&lt;=Settings!$B$7,"On time","Late"))))</f>
        <v/>
      </c>
      <c r="H2721" s="15"/>
      <c r="I2721" s="16"/>
      <c r="J2721" s="16"/>
      <c r="K2721" s="17" t="str">
        <f>IF(J2721="","",ROUND(J2721*Settings!$B$8,2))</f>
        <v/>
      </c>
      <c r="L2721" s="16"/>
      <c r="M2721" s="8" t="str">
        <f t="shared" si="42"/>
        <v/>
      </c>
      <c r="N2721" s="9"/>
    </row>
    <row r="2722" spans="1:14" ht="15.75">
      <c r="A2722" s="11"/>
      <c r="B2722" s="9"/>
      <c r="C2722" s="12" t="str">
        <f>IF(B2722="","",IFERROR(INDEX('Cashier Roster'!$C$5:$C$64,MATCH(B2722,'Cashier Roster'!$B$5:$B$64,0)),"Not on roster"))</f>
        <v/>
      </c>
      <c r="D2722" s="12" t="str">
        <f>IF(B2722="","",IFERROR(INDEX('Cashier Roster'!$D$5:$D$64,MATCH(B2722,'Cashier Roster'!$B$5:$B$64,0)),""))</f>
        <v/>
      </c>
      <c r="E2722" s="13"/>
      <c r="F2722" s="14"/>
      <c r="G2722" s="8" t="str">
        <f>IF(OR(B2722="",E2722=""),"",IF(E2722="No","Missed",IF(F2722="","",IF(F2722&lt;=Settings!$B$7,"On time","Late"))))</f>
        <v/>
      </c>
      <c r="H2722" s="15"/>
      <c r="I2722" s="16"/>
      <c r="J2722" s="16"/>
      <c r="K2722" s="17" t="str">
        <f>IF(J2722="","",ROUND(J2722*Settings!$B$8,2))</f>
        <v/>
      </c>
      <c r="L2722" s="16"/>
      <c r="M2722" s="8" t="str">
        <f t="shared" si="42"/>
        <v/>
      </c>
      <c r="N2722" s="9"/>
    </row>
    <row r="2723" spans="1:14" ht="15.75">
      <c r="A2723" s="11"/>
      <c r="B2723" s="9"/>
      <c r="C2723" s="12" t="str">
        <f>IF(B2723="","",IFERROR(INDEX('Cashier Roster'!$C$5:$C$64,MATCH(B2723,'Cashier Roster'!$B$5:$B$64,0)),"Not on roster"))</f>
        <v/>
      </c>
      <c r="D2723" s="12" t="str">
        <f>IF(B2723="","",IFERROR(INDEX('Cashier Roster'!$D$5:$D$64,MATCH(B2723,'Cashier Roster'!$B$5:$B$64,0)),""))</f>
        <v/>
      </c>
      <c r="E2723" s="13"/>
      <c r="F2723" s="14"/>
      <c r="G2723" s="8" t="str">
        <f>IF(OR(B2723="",E2723=""),"",IF(E2723="No","Missed",IF(F2723="","",IF(F2723&lt;=Settings!$B$7,"On time","Late"))))</f>
        <v/>
      </c>
      <c r="H2723" s="15"/>
      <c r="I2723" s="16"/>
      <c r="J2723" s="16"/>
      <c r="K2723" s="17" t="str">
        <f>IF(J2723="","",ROUND(J2723*Settings!$B$8,2))</f>
        <v/>
      </c>
      <c r="L2723" s="16"/>
      <c r="M2723" s="8" t="str">
        <f t="shared" si="42"/>
        <v/>
      </c>
      <c r="N2723" s="9"/>
    </row>
    <row r="2724" spans="1:14" ht="15.75">
      <c r="A2724" s="11"/>
      <c r="B2724" s="9"/>
      <c r="C2724" s="12" t="str">
        <f>IF(B2724="","",IFERROR(INDEX('Cashier Roster'!$C$5:$C$64,MATCH(B2724,'Cashier Roster'!$B$5:$B$64,0)),"Not on roster"))</f>
        <v/>
      </c>
      <c r="D2724" s="12" t="str">
        <f>IF(B2724="","",IFERROR(INDEX('Cashier Roster'!$D$5:$D$64,MATCH(B2724,'Cashier Roster'!$B$5:$B$64,0)),""))</f>
        <v/>
      </c>
      <c r="E2724" s="13"/>
      <c r="F2724" s="14"/>
      <c r="G2724" s="8" t="str">
        <f>IF(OR(B2724="",E2724=""),"",IF(E2724="No","Missed",IF(F2724="","",IF(F2724&lt;=Settings!$B$7,"On time","Late"))))</f>
        <v/>
      </c>
      <c r="H2724" s="15"/>
      <c r="I2724" s="16"/>
      <c r="J2724" s="16"/>
      <c r="K2724" s="17" t="str">
        <f>IF(J2724="","",ROUND(J2724*Settings!$B$8,2))</f>
        <v/>
      </c>
      <c r="L2724" s="16"/>
      <c r="M2724" s="8" t="str">
        <f t="shared" si="42"/>
        <v/>
      </c>
      <c r="N2724" s="9"/>
    </row>
    <row r="2725" spans="1:14" ht="15.75">
      <c r="A2725" s="11"/>
      <c r="B2725" s="9"/>
      <c r="C2725" s="12" t="str">
        <f>IF(B2725="","",IFERROR(INDEX('Cashier Roster'!$C$5:$C$64,MATCH(B2725,'Cashier Roster'!$B$5:$B$64,0)),"Not on roster"))</f>
        <v/>
      </c>
      <c r="D2725" s="12" t="str">
        <f>IF(B2725="","",IFERROR(INDEX('Cashier Roster'!$D$5:$D$64,MATCH(B2725,'Cashier Roster'!$B$5:$B$64,0)),""))</f>
        <v/>
      </c>
      <c r="E2725" s="13"/>
      <c r="F2725" s="14"/>
      <c r="G2725" s="8" t="str">
        <f>IF(OR(B2725="",E2725=""),"",IF(E2725="No","Missed",IF(F2725="","",IF(F2725&lt;=Settings!$B$7,"On time","Late"))))</f>
        <v/>
      </c>
      <c r="H2725" s="15"/>
      <c r="I2725" s="16"/>
      <c r="J2725" s="16"/>
      <c r="K2725" s="17" t="str">
        <f>IF(J2725="","",ROUND(J2725*Settings!$B$8,2))</f>
        <v/>
      </c>
      <c r="L2725" s="16"/>
      <c r="M2725" s="8" t="str">
        <f t="shared" si="42"/>
        <v/>
      </c>
      <c r="N2725" s="9"/>
    </row>
    <row r="2726" spans="1:14" ht="15.75">
      <c r="A2726" s="11"/>
      <c r="B2726" s="9"/>
      <c r="C2726" s="12" t="str">
        <f>IF(B2726="","",IFERROR(INDEX('Cashier Roster'!$C$5:$C$64,MATCH(B2726,'Cashier Roster'!$B$5:$B$64,0)),"Not on roster"))</f>
        <v/>
      </c>
      <c r="D2726" s="12" t="str">
        <f>IF(B2726="","",IFERROR(INDEX('Cashier Roster'!$D$5:$D$64,MATCH(B2726,'Cashier Roster'!$B$5:$B$64,0)),""))</f>
        <v/>
      </c>
      <c r="E2726" s="13"/>
      <c r="F2726" s="14"/>
      <c r="G2726" s="8" t="str">
        <f>IF(OR(B2726="",E2726=""),"",IF(E2726="No","Missed",IF(F2726="","",IF(F2726&lt;=Settings!$B$7,"On time","Late"))))</f>
        <v/>
      </c>
      <c r="H2726" s="15"/>
      <c r="I2726" s="16"/>
      <c r="J2726" s="16"/>
      <c r="K2726" s="17" t="str">
        <f>IF(J2726="","",ROUND(J2726*Settings!$B$8,2))</f>
        <v/>
      </c>
      <c r="L2726" s="16"/>
      <c r="M2726" s="8" t="str">
        <f t="shared" si="42"/>
        <v/>
      </c>
      <c r="N2726" s="9"/>
    </row>
    <row r="2727" spans="1:14" ht="15.75">
      <c r="A2727" s="11"/>
      <c r="B2727" s="9"/>
      <c r="C2727" s="12" t="str">
        <f>IF(B2727="","",IFERROR(INDEX('Cashier Roster'!$C$5:$C$64,MATCH(B2727,'Cashier Roster'!$B$5:$B$64,0)),"Not on roster"))</f>
        <v/>
      </c>
      <c r="D2727" s="12" t="str">
        <f>IF(B2727="","",IFERROR(INDEX('Cashier Roster'!$D$5:$D$64,MATCH(B2727,'Cashier Roster'!$B$5:$B$64,0)),""))</f>
        <v/>
      </c>
      <c r="E2727" s="13"/>
      <c r="F2727" s="14"/>
      <c r="G2727" s="8" t="str">
        <f>IF(OR(B2727="",E2727=""),"",IF(E2727="No","Missed",IF(F2727="","",IF(F2727&lt;=Settings!$B$7,"On time","Late"))))</f>
        <v/>
      </c>
      <c r="H2727" s="15"/>
      <c r="I2727" s="16"/>
      <c r="J2727" s="16"/>
      <c r="K2727" s="17" t="str">
        <f>IF(J2727="","",ROUND(J2727*Settings!$B$8,2))</f>
        <v/>
      </c>
      <c r="L2727" s="16"/>
      <c r="M2727" s="8" t="str">
        <f t="shared" si="42"/>
        <v/>
      </c>
      <c r="N2727" s="9"/>
    </row>
    <row r="2728" spans="1:14" ht="15.75">
      <c r="A2728" s="11"/>
      <c r="B2728" s="9"/>
      <c r="C2728" s="12" t="str">
        <f>IF(B2728="","",IFERROR(INDEX('Cashier Roster'!$C$5:$C$64,MATCH(B2728,'Cashier Roster'!$B$5:$B$64,0)),"Not on roster"))</f>
        <v/>
      </c>
      <c r="D2728" s="12" t="str">
        <f>IF(B2728="","",IFERROR(INDEX('Cashier Roster'!$D$5:$D$64,MATCH(B2728,'Cashier Roster'!$B$5:$B$64,0)),""))</f>
        <v/>
      </c>
      <c r="E2728" s="13"/>
      <c r="F2728" s="14"/>
      <c r="G2728" s="8" t="str">
        <f>IF(OR(B2728="",E2728=""),"",IF(E2728="No","Missed",IF(F2728="","",IF(F2728&lt;=Settings!$B$7,"On time","Late"))))</f>
        <v/>
      </c>
      <c r="H2728" s="15"/>
      <c r="I2728" s="16"/>
      <c r="J2728" s="16"/>
      <c r="K2728" s="17" t="str">
        <f>IF(J2728="","",ROUND(J2728*Settings!$B$8,2))</f>
        <v/>
      </c>
      <c r="L2728" s="16"/>
      <c r="M2728" s="8" t="str">
        <f t="shared" si="42"/>
        <v/>
      </c>
      <c r="N2728" s="9"/>
    </row>
    <row r="2729" spans="1:14" ht="15.75">
      <c r="A2729" s="11"/>
      <c r="B2729" s="9"/>
      <c r="C2729" s="12" t="str">
        <f>IF(B2729="","",IFERROR(INDEX('Cashier Roster'!$C$5:$C$64,MATCH(B2729,'Cashier Roster'!$B$5:$B$64,0)),"Not on roster"))</f>
        <v/>
      </c>
      <c r="D2729" s="12" t="str">
        <f>IF(B2729="","",IFERROR(INDEX('Cashier Roster'!$D$5:$D$64,MATCH(B2729,'Cashier Roster'!$B$5:$B$64,0)),""))</f>
        <v/>
      </c>
      <c r="E2729" s="13"/>
      <c r="F2729" s="14"/>
      <c r="G2729" s="8" t="str">
        <f>IF(OR(B2729="",E2729=""),"",IF(E2729="No","Missed",IF(F2729="","",IF(F2729&lt;=Settings!$B$7,"On time","Late"))))</f>
        <v/>
      </c>
      <c r="H2729" s="15"/>
      <c r="I2729" s="16"/>
      <c r="J2729" s="16"/>
      <c r="K2729" s="17" t="str">
        <f>IF(J2729="","",ROUND(J2729*Settings!$B$8,2))</f>
        <v/>
      </c>
      <c r="L2729" s="16"/>
      <c r="M2729" s="8" t="str">
        <f t="shared" si="42"/>
        <v/>
      </c>
      <c r="N2729" s="9"/>
    </row>
    <row r="2730" spans="1:14" ht="15.75">
      <c r="A2730" s="11"/>
      <c r="B2730" s="9"/>
      <c r="C2730" s="12" t="str">
        <f>IF(B2730="","",IFERROR(INDEX('Cashier Roster'!$C$5:$C$64,MATCH(B2730,'Cashier Roster'!$B$5:$B$64,0)),"Not on roster"))</f>
        <v/>
      </c>
      <c r="D2730" s="12" t="str">
        <f>IF(B2730="","",IFERROR(INDEX('Cashier Roster'!$D$5:$D$64,MATCH(B2730,'Cashier Roster'!$B$5:$B$64,0)),""))</f>
        <v/>
      </c>
      <c r="E2730" s="13"/>
      <c r="F2730" s="14"/>
      <c r="G2730" s="8" t="str">
        <f>IF(OR(B2730="",E2730=""),"",IF(E2730="No","Missed",IF(F2730="","",IF(F2730&lt;=Settings!$B$7,"On time","Late"))))</f>
        <v/>
      </c>
      <c r="H2730" s="15"/>
      <c r="I2730" s="16"/>
      <c r="J2730" s="16"/>
      <c r="K2730" s="17" t="str">
        <f>IF(J2730="","",ROUND(J2730*Settings!$B$8,2))</f>
        <v/>
      </c>
      <c r="L2730" s="16"/>
      <c r="M2730" s="8" t="str">
        <f t="shared" si="42"/>
        <v/>
      </c>
      <c r="N2730" s="9"/>
    </row>
    <row r="2731" spans="1:14" ht="15.75">
      <c r="A2731" s="11"/>
      <c r="B2731" s="9"/>
      <c r="C2731" s="12" t="str">
        <f>IF(B2731="","",IFERROR(INDEX('Cashier Roster'!$C$5:$C$64,MATCH(B2731,'Cashier Roster'!$B$5:$B$64,0)),"Not on roster"))</f>
        <v/>
      </c>
      <c r="D2731" s="12" t="str">
        <f>IF(B2731="","",IFERROR(INDEX('Cashier Roster'!$D$5:$D$64,MATCH(B2731,'Cashier Roster'!$B$5:$B$64,0)),""))</f>
        <v/>
      </c>
      <c r="E2731" s="13"/>
      <c r="F2731" s="14"/>
      <c r="G2731" s="8" t="str">
        <f>IF(OR(B2731="",E2731=""),"",IF(E2731="No","Missed",IF(F2731="","",IF(F2731&lt;=Settings!$B$7,"On time","Late"))))</f>
        <v/>
      </c>
      <c r="H2731" s="15"/>
      <c r="I2731" s="16"/>
      <c r="J2731" s="16"/>
      <c r="K2731" s="17" t="str">
        <f>IF(J2731="","",ROUND(J2731*Settings!$B$8,2))</f>
        <v/>
      </c>
      <c r="L2731" s="16"/>
      <c r="M2731" s="8" t="str">
        <f t="shared" si="42"/>
        <v/>
      </c>
      <c r="N2731" s="9"/>
    </row>
    <row r="2732" spans="1:14" ht="15.75">
      <c r="A2732" s="11"/>
      <c r="B2732" s="9"/>
      <c r="C2732" s="12" t="str">
        <f>IF(B2732="","",IFERROR(INDEX('Cashier Roster'!$C$5:$C$64,MATCH(B2732,'Cashier Roster'!$B$5:$B$64,0)),"Not on roster"))</f>
        <v/>
      </c>
      <c r="D2732" s="12" t="str">
        <f>IF(B2732="","",IFERROR(INDEX('Cashier Roster'!$D$5:$D$64,MATCH(B2732,'Cashier Roster'!$B$5:$B$64,0)),""))</f>
        <v/>
      </c>
      <c r="E2732" s="13"/>
      <c r="F2732" s="14"/>
      <c r="G2732" s="8" t="str">
        <f>IF(OR(B2732="",E2732=""),"",IF(E2732="No","Missed",IF(F2732="","",IF(F2732&lt;=Settings!$B$7,"On time","Late"))))</f>
        <v/>
      </c>
      <c r="H2732" s="15"/>
      <c r="I2732" s="16"/>
      <c r="J2732" s="16"/>
      <c r="K2732" s="17" t="str">
        <f>IF(J2732="","",ROUND(J2732*Settings!$B$8,2))</f>
        <v/>
      </c>
      <c r="L2732" s="16"/>
      <c r="M2732" s="8" t="str">
        <f t="shared" si="42"/>
        <v/>
      </c>
      <c r="N2732" s="9"/>
    </row>
    <row r="2733" spans="1:14" ht="15.75">
      <c r="A2733" s="11"/>
      <c r="B2733" s="9"/>
      <c r="C2733" s="12" t="str">
        <f>IF(B2733="","",IFERROR(INDEX('Cashier Roster'!$C$5:$C$64,MATCH(B2733,'Cashier Roster'!$B$5:$B$64,0)),"Not on roster"))</f>
        <v/>
      </c>
      <c r="D2733" s="12" t="str">
        <f>IF(B2733="","",IFERROR(INDEX('Cashier Roster'!$D$5:$D$64,MATCH(B2733,'Cashier Roster'!$B$5:$B$64,0)),""))</f>
        <v/>
      </c>
      <c r="E2733" s="13"/>
      <c r="F2733" s="14"/>
      <c r="G2733" s="8" t="str">
        <f>IF(OR(B2733="",E2733=""),"",IF(E2733="No","Missed",IF(F2733="","",IF(F2733&lt;=Settings!$B$7,"On time","Late"))))</f>
        <v/>
      </c>
      <c r="H2733" s="15"/>
      <c r="I2733" s="16"/>
      <c r="J2733" s="16"/>
      <c r="K2733" s="17" t="str">
        <f>IF(J2733="","",ROUND(J2733*Settings!$B$8,2))</f>
        <v/>
      </c>
      <c r="L2733" s="16"/>
      <c r="M2733" s="8" t="str">
        <f t="shared" si="42"/>
        <v/>
      </c>
      <c r="N2733" s="9"/>
    </row>
    <row r="2734" spans="1:14" ht="15.75">
      <c r="A2734" s="11"/>
      <c r="B2734" s="9"/>
      <c r="C2734" s="12" t="str">
        <f>IF(B2734="","",IFERROR(INDEX('Cashier Roster'!$C$5:$C$64,MATCH(B2734,'Cashier Roster'!$B$5:$B$64,0)),"Not on roster"))</f>
        <v/>
      </c>
      <c r="D2734" s="12" t="str">
        <f>IF(B2734="","",IFERROR(INDEX('Cashier Roster'!$D$5:$D$64,MATCH(B2734,'Cashier Roster'!$B$5:$B$64,0)),""))</f>
        <v/>
      </c>
      <c r="E2734" s="13"/>
      <c r="F2734" s="14"/>
      <c r="G2734" s="8" t="str">
        <f>IF(OR(B2734="",E2734=""),"",IF(E2734="No","Missed",IF(F2734="","",IF(F2734&lt;=Settings!$B$7,"On time","Late"))))</f>
        <v/>
      </c>
      <c r="H2734" s="15"/>
      <c r="I2734" s="16"/>
      <c r="J2734" s="16"/>
      <c r="K2734" s="17" t="str">
        <f>IF(J2734="","",ROUND(J2734*Settings!$B$8,2))</f>
        <v/>
      </c>
      <c r="L2734" s="16"/>
      <c r="M2734" s="8" t="str">
        <f t="shared" si="42"/>
        <v/>
      </c>
      <c r="N2734" s="9"/>
    </row>
    <row r="2735" spans="1:14" ht="15.75">
      <c r="A2735" s="11"/>
      <c r="B2735" s="9"/>
      <c r="C2735" s="12" t="str">
        <f>IF(B2735="","",IFERROR(INDEX('Cashier Roster'!$C$5:$C$64,MATCH(B2735,'Cashier Roster'!$B$5:$B$64,0)),"Not on roster"))</f>
        <v/>
      </c>
      <c r="D2735" s="12" t="str">
        <f>IF(B2735="","",IFERROR(INDEX('Cashier Roster'!$D$5:$D$64,MATCH(B2735,'Cashier Roster'!$B$5:$B$64,0)),""))</f>
        <v/>
      </c>
      <c r="E2735" s="13"/>
      <c r="F2735" s="14"/>
      <c r="G2735" s="8" t="str">
        <f>IF(OR(B2735="",E2735=""),"",IF(E2735="No","Missed",IF(F2735="","",IF(F2735&lt;=Settings!$B$7,"On time","Late"))))</f>
        <v/>
      </c>
      <c r="H2735" s="15"/>
      <c r="I2735" s="16"/>
      <c r="J2735" s="16"/>
      <c r="K2735" s="17" t="str">
        <f>IF(J2735="","",ROUND(J2735*Settings!$B$8,2))</f>
        <v/>
      </c>
      <c r="L2735" s="16"/>
      <c r="M2735" s="8" t="str">
        <f t="shared" si="42"/>
        <v/>
      </c>
      <c r="N2735" s="9"/>
    </row>
    <row r="2736" spans="1:14" ht="15.75">
      <c r="A2736" s="11"/>
      <c r="B2736" s="9"/>
      <c r="C2736" s="12" t="str">
        <f>IF(B2736="","",IFERROR(INDEX('Cashier Roster'!$C$5:$C$64,MATCH(B2736,'Cashier Roster'!$B$5:$B$64,0)),"Not on roster"))</f>
        <v/>
      </c>
      <c r="D2736" s="12" t="str">
        <f>IF(B2736="","",IFERROR(INDEX('Cashier Roster'!$D$5:$D$64,MATCH(B2736,'Cashier Roster'!$B$5:$B$64,0)),""))</f>
        <v/>
      </c>
      <c r="E2736" s="13"/>
      <c r="F2736" s="14"/>
      <c r="G2736" s="8" t="str">
        <f>IF(OR(B2736="",E2736=""),"",IF(E2736="No","Missed",IF(F2736="","",IF(F2736&lt;=Settings!$B$7,"On time","Late"))))</f>
        <v/>
      </c>
      <c r="H2736" s="15"/>
      <c r="I2736" s="16"/>
      <c r="J2736" s="16"/>
      <c r="K2736" s="17" t="str">
        <f>IF(J2736="","",ROUND(J2736*Settings!$B$8,2))</f>
        <v/>
      </c>
      <c r="L2736" s="16"/>
      <c r="M2736" s="8" t="str">
        <f t="shared" si="42"/>
        <v/>
      </c>
      <c r="N2736" s="9"/>
    </row>
    <row r="2737" spans="1:14" ht="15.75">
      <c r="A2737" s="11"/>
      <c r="B2737" s="9"/>
      <c r="C2737" s="12" t="str">
        <f>IF(B2737="","",IFERROR(INDEX('Cashier Roster'!$C$5:$C$64,MATCH(B2737,'Cashier Roster'!$B$5:$B$64,0)),"Not on roster"))</f>
        <v/>
      </c>
      <c r="D2737" s="12" t="str">
        <f>IF(B2737="","",IFERROR(INDEX('Cashier Roster'!$D$5:$D$64,MATCH(B2737,'Cashier Roster'!$B$5:$B$64,0)),""))</f>
        <v/>
      </c>
      <c r="E2737" s="13"/>
      <c r="F2737" s="14"/>
      <c r="G2737" s="8" t="str">
        <f>IF(OR(B2737="",E2737=""),"",IF(E2737="No","Missed",IF(F2737="","",IF(F2737&lt;=Settings!$B$7,"On time","Late"))))</f>
        <v/>
      </c>
      <c r="H2737" s="15"/>
      <c r="I2737" s="16"/>
      <c r="J2737" s="16"/>
      <c r="K2737" s="17" t="str">
        <f>IF(J2737="","",ROUND(J2737*Settings!$B$8,2))</f>
        <v/>
      </c>
      <c r="L2737" s="16"/>
      <c r="M2737" s="8" t="str">
        <f t="shared" si="42"/>
        <v/>
      </c>
      <c r="N2737" s="9"/>
    </row>
    <row r="2738" spans="1:14" ht="15.75">
      <c r="A2738" s="11"/>
      <c r="B2738" s="9"/>
      <c r="C2738" s="12" t="str">
        <f>IF(B2738="","",IFERROR(INDEX('Cashier Roster'!$C$5:$C$64,MATCH(B2738,'Cashier Roster'!$B$5:$B$64,0)),"Not on roster"))</f>
        <v/>
      </c>
      <c r="D2738" s="12" t="str">
        <f>IF(B2738="","",IFERROR(INDEX('Cashier Roster'!$D$5:$D$64,MATCH(B2738,'Cashier Roster'!$B$5:$B$64,0)),""))</f>
        <v/>
      </c>
      <c r="E2738" s="13"/>
      <c r="F2738" s="14"/>
      <c r="G2738" s="8" t="str">
        <f>IF(OR(B2738="",E2738=""),"",IF(E2738="No","Missed",IF(F2738="","",IF(F2738&lt;=Settings!$B$7,"On time","Late"))))</f>
        <v/>
      </c>
      <c r="H2738" s="15"/>
      <c r="I2738" s="16"/>
      <c r="J2738" s="16"/>
      <c r="K2738" s="17" t="str">
        <f>IF(J2738="","",ROUND(J2738*Settings!$B$8,2))</f>
        <v/>
      </c>
      <c r="L2738" s="16"/>
      <c r="M2738" s="8" t="str">
        <f t="shared" si="42"/>
        <v/>
      </c>
      <c r="N2738" s="9"/>
    </row>
    <row r="2739" spans="1:14" ht="15.75">
      <c r="A2739" s="11"/>
      <c r="B2739" s="9"/>
      <c r="C2739" s="12" t="str">
        <f>IF(B2739="","",IFERROR(INDEX('Cashier Roster'!$C$5:$C$64,MATCH(B2739,'Cashier Roster'!$B$5:$B$64,0)),"Not on roster"))</f>
        <v/>
      </c>
      <c r="D2739" s="12" t="str">
        <f>IF(B2739="","",IFERROR(INDEX('Cashier Roster'!$D$5:$D$64,MATCH(B2739,'Cashier Roster'!$B$5:$B$64,0)),""))</f>
        <v/>
      </c>
      <c r="E2739" s="13"/>
      <c r="F2739" s="14"/>
      <c r="G2739" s="8" t="str">
        <f>IF(OR(B2739="",E2739=""),"",IF(E2739="No","Missed",IF(F2739="","",IF(F2739&lt;=Settings!$B$7,"On time","Late"))))</f>
        <v/>
      </c>
      <c r="H2739" s="15"/>
      <c r="I2739" s="16"/>
      <c r="J2739" s="16"/>
      <c r="K2739" s="17" t="str">
        <f>IF(J2739="","",ROUND(J2739*Settings!$B$8,2))</f>
        <v/>
      </c>
      <c r="L2739" s="16"/>
      <c r="M2739" s="8" t="str">
        <f t="shared" si="42"/>
        <v/>
      </c>
      <c r="N2739" s="9"/>
    </row>
    <row r="2740" spans="1:14" ht="15.75">
      <c r="A2740" s="11"/>
      <c r="B2740" s="9"/>
      <c r="C2740" s="12" t="str">
        <f>IF(B2740="","",IFERROR(INDEX('Cashier Roster'!$C$5:$C$64,MATCH(B2740,'Cashier Roster'!$B$5:$B$64,0)),"Not on roster"))</f>
        <v/>
      </c>
      <c r="D2740" s="12" t="str">
        <f>IF(B2740="","",IFERROR(INDEX('Cashier Roster'!$D$5:$D$64,MATCH(B2740,'Cashier Roster'!$B$5:$B$64,0)),""))</f>
        <v/>
      </c>
      <c r="E2740" s="13"/>
      <c r="F2740" s="14"/>
      <c r="G2740" s="8" t="str">
        <f>IF(OR(B2740="",E2740=""),"",IF(E2740="No","Missed",IF(F2740="","",IF(F2740&lt;=Settings!$B$7,"On time","Late"))))</f>
        <v/>
      </c>
      <c r="H2740" s="15"/>
      <c r="I2740" s="16"/>
      <c r="J2740" s="16"/>
      <c r="K2740" s="17" t="str">
        <f>IF(J2740="","",ROUND(J2740*Settings!$B$8,2))</f>
        <v/>
      </c>
      <c r="L2740" s="16"/>
      <c r="M2740" s="8" t="str">
        <f t="shared" si="42"/>
        <v/>
      </c>
      <c r="N2740" s="9"/>
    </row>
    <row r="2741" spans="1:14" ht="15.75">
      <c r="A2741" s="11"/>
      <c r="B2741" s="9"/>
      <c r="C2741" s="12" t="str">
        <f>IF(B2741="","",IFERROR(INDEX('Cashier Roster'!$C$5:$C$64,MATCH(B2741,'Cashier Roster'!$B$5:$B$64,0)),"Not on roster"))</f>
        <v/>
      </c>
      <c r="D2741" s="12" t="str">
        <f>IF(B2741="","",IFERROR(INDEX('Cashier Roster'!$D$5:$D$64,MATCH(B2741,'Cashier Roster'!$B$5:$B$64,0)),""))</f>
        <v/>
      </c>
      <c r="E2741" s="13"/>
      <c r="F2741" s="14"/>
      <c r="G2741" s="8" t="str">
        <f>IF(OR(B2741="",E2741=""),"",IF(E2741="No","Missed",IF(F2741="","",IF(F2741&lt;=Settings!$B$7,"On time","Late"))))</f>
        <v/>
      </c>
      <c r="H2741" s="15"/>
      <c r="I2741" s="16"/>
      <c r="J2741" s="16"/>
      <c r="K2741" s="17" t="str">
        <f>IF(J2741="","",ROUND(J2741*Settings!$B$8,2))</f>
        <v/>
      </c>
      <c r="L2741" s="16"/>
      <c r="M2741" s="8" t="str">
        <f t="shared" si="42"/>
        <v/>
      </c>
      <c r="N2741" s="9"/>
    </row>
    <row r="2742" spans="1:14" ht="15.75">
      <c r="A2742" s="11"/>
      <c r="B2742" s="9"/>
      <c r="C2742" s="12" t="str">
        <f>IF(B2742="","",IFERROR(INDEX('Cashier Roster'!$C$5:$C$64,MATCH(B2742,'Cashier Roster'!$B$5:$B$64,0)),"Not on roster"))</f>
        <v/>
      </c>
      <c r="D2742" s="12" t="str">
        <f>IF(B2742="","",IFERROR(INDEX('Cashier Roster'!$D$5:$D$64,MATCH(B2742,'Cashier Roster'!$B$5:$B$64,0)),""))</f>
        <v/>
      </c>
      <c r="E2742" s="13"/>
      <c r="F2742" s="14"/>
      <c r="G2742" s="8" t="str">
        <f>IF(OR(B2742="",E2742=""),"",IF(E2742="No","Missed",IF(F2742="","",IF(F2742&lt;=Settings!$B$7,"On time","Late"))))</f>
        <v/>
      </c>
      <c r="H2742" s="15"/>
      <c r="I2742" s="16"/>
      <c r="J2742" s="16"/>
      <c r="K2742" s="17" t="str">
        <f>IF(J2742="","",ROUND(J2742*Settings!$B$8,2))</f>
        <v/>
      </c>
      <c r="L2742" s="16"/>
      <c r="M2742" s="8" t="str">
        <f t="shared" si="42"/>
        <v/>
      </c>
      <c r="N2742" s="9"/>
    </row>
    <row r="2743" spans="1:14" ht="15.75">
      <c r="A2743" s="11"/>
      <c r="B2743" s="9"/>
      <c r="C2743" s="12" t="str">
        <f>IF(B2743="","",IFERROR(INDEX('Cashier Roster'!$C$5:$C$64,MATCH(B2743,'Cashier Roster'!$B$5:$B$64,0)),"Not on roster"))</f>
        <v/>
      </c>
      <c r="D2743" s="12" t="str">
        <f>IF(B2743="","",IFERROR(INDEX('Cashier Roster'!$D$5:$D$64,MATCH(B2743,'Cashier Roster'!$B$5:$B$64,0)),""))</f>
        <v/>
      </c>
      <c r="E2743" s="13"/>
      <c r="F2743" s="14"/>
      <c r="G2743" s="8" t="str">
        <f>IF(OR(B2743="",E2743=""),"",IF(E2743="No","Missed",IF(F2743="","",IF(F2743&lt;=Settings!$B$7,"On time","Late"))))</f>
        <v/>
      </c>
      <c r="H2743" s="15"/>
      <c r="I2743" s="16"/>
      <c r="J2743" s="16"/>
      <c r="K2743" s="17" t="str">
        <f>IF(J2743="","",ROUND(J2743*Settings!$B$8,2))</f>
        <v/>
      </c>
      <c r="L2743" s="16"/>
      <c r="M2743" s="8" t="str">
        <f t="shared" si="42"/>
        <v/>
      </c>
      <c r="N2743" s="9"/>
    </row>
    <row r="2744" spans="1:14" ht="15.75">
      <c r="A2744" s="11"/>
      <c r="B2744" s="9"/>
      <c r="C2744" s="12" t="str">
        <f>IF(B2744="","",IFERROR(INDEX('Cashier Roster'!$C$5:$C$64,MATCH(B2744,'Cashier Roster'!$B$5:$B$64,0)),"Not on roster"))</f>
        <v/>
      </c>
      <c r="D2744" s="12" t="str">
        <f>IF(B2744="","",IFERROR(INDEX('Cashier Roster'!$D$5:$D$64,MATCH(B2744,'Cashier Roster'!$B$5:$B$64,0)),""))</f>
        <v/>
      </c>
      <c r="E2744" s="13"/>
      <c r="F2744" s="14"/>
      <c r="G2744" s="8" t="str">
        <f>IF(OR(B2744="",E2744=""),"",IF(E2744="No","Missed",IF(F2744="","",IF(F2744&lt;=Settings!$B$7,"On time","Late"))))</f>
        <v/>
      </c>
      <c r="H2744" s="15"/>
      <c r="I2744" s="16"/>
      <c r="J2744" s="16"/>
      <c r="K2744" s="17" t="str">
        <f>IF(J2744="","",ROUND(J2744*Settings!$B$8,2))</f>
        <v/>
      </c>
      <c r="L2744" s="16"/>
      <c r="M2744" s="8" t="str">
        <f t="shared" si="42"/>
        <v/>
      </c>
      <c r="N2744" s="9"/>
    </row>
    <row r="2745" spans="1:14" ht="15.75">
      <c r="A2745" s="11"/>
      <c r="B2745" s="9"/>
      <c r="C2745" s="12" t="str">
        <f>IF(B2745="","",IFERROR(INDEX('Cashier Roster'!$C$5:$C$64,MATCH(B2745,'Cashier Roster'!$B$5:$B$64,0)),"Not on roster"))</f>
        <v/>
      </c>
      <c r="D2745" s="12" t="str">
        <f>IF(B2745="","",IFERROR(INDEX('Cashier Roster'!$D$5:$D$64,MATCH(B2745,'Cashier Roster'!$B$5:$B$64,0)),""))</f>
        <v/>
      </c>
      <c r="E2745" s="13"/>
      <c r="F2745" s="14"/>
      <c r="G2745" s="8" t="str">
        <f>IF(OR(B2745="",E2745=""),"",IF(E2745="No","Missed",IF(F2745="","",IF(F2745&lt;=Settings!$B$7,"On time","Late"))))</f>
        <v/>
      </c>
      <c r="H2745" s="15"/>
      <c r="I2745" s="16"/>
      <c r="J2745" s="16"/>
      <c r="K2745" s="17" t="str">
        <f>IF(J2745="","",ROUND(J2745*Settings!$B$8,2))</f>
        <v/>
      </c>
      <c r="L2745" s="16"/>
      <c r="M2745" s="8" t="str">
        <f t="shared" si="42"/>
        <v/>
      </c>
      <c r="N2745" s="9"/>
    </row>
    <row r="2746" spans="1:14" ht="15.75">
      <c r="A2746" s="11"/>
      <c r="B2746" s="9"/>
      <c r="C2746" s="12" t="str">
        <f>IF(B2746="","",IFERROR(INDEX('Cashier Roster'!$C$5:$C$64,MATCH(B2746,'Cashier Roster'!$B$5:$B$64,0)),"Not on roster"))</f>
        <v/>
      </c>
      <c r="D2746" s="12" t="str">
        <f>IF(B2746="","",IFERROR(INDEX('Cashier Roster'!$D$5:$D$64,MATCH(B2746,'Cashier Roster'!$B$5:$B$64,0)),""))</f>
        <v/>
      </c>
      <c r="E2746" s="13"/>
      <c r="F2746" s="14"/>
      <c r="G2746" s="8" t="str">
        <f>IF(OR(B2746="",E2746=""),"",IF(E2746="No","Missed",IF(F2746="","",IF(F2746&lt;=Settings!$B$7,"On time","Late"))))</f>
        <v/>
      </c>
      <c r="H2746" s="15"/>
      <c r="I2746" s="16"/>
      <c r="J2746" s="16"/>
      <c r="K2746" s="17" t="str">
        <f>IF(J2746="","",ROUND(J2746*Settings!$B$8,2))</f>
        <v/>
      </c>
      <c r="L2746" s="16"/>
      <c r="M2746" s="8" t="str">
        <f t="shared" si="42"/>
        <v/>
      </c>
      <c r="N2746" s="9"/>
    </row>
    <row r="2747" spans="1:14" ht="15.75">
      <c r="A2747" s="11"/>
      <c r="B2747" s="9"/>
      <c r="C2747" s="12" t="str">
        <f>IF(B2747="","",IFERROR(INDEX('Cashier Roster'!$C$5:$C$64,MATCH(B2747,'Cashier Roster'!$B$5:$B$64,0)),"Not on roster"))</f>
        <v/>
      </c>
      <c r="D2747" s="12" t="str">
        <f>IF(B2747="","",IFERROR(INDEX('Cashier Roster'!$D$5:$D$64,MATCH(B2747,'Cashier Roster'!$B$5:$B$64,0)),""))</f>
        <v/>
      </c>
      <c r="E2747" s="13"/>
      <c r="F2747" s="14"/>
      <c r="G2747" s="8" t="str">
        <f>IF(OR(B2747="",E2747=""),"",IF(E2747="No","Missed",IF(F2747="","",IF(F2747&lt;=Settings!$B$7,"On time","Late"))))</f>
        <v/>
      </c>
      <c r="H2747" s="15"/>
      <c r="I2747" s="16"/>
      <c r="J2747" s="16"/>
      <c r="K2747" s="17" t="str">
        <f>IF(J2747="","",ROUND(J2747*Settings!$B$8,2))</f>
        <v/>
      </c>
      <c r="L2747" s="16"/>
      <c r="M2747" s="8" t="str">
        <f t="shared" si="42"/>
        <v/>
      </c>
      <c r="N2747" s="9"/>
    </row>
    <row r="2748" spans="1:14" ht="15.75">
      <c r="A2748" s="11"/>
      <c r="B2748" s="9"/>
      <c r="C2748" s="12" t="str">
        <f>IF(B2748="","",IFERROR(INDEX('Cashier Roster'!$C$5:$C$64,MATCH(B2748,'Cashier Roster'!$B$5:$B$64,0)),"Not on roster"))</f>
        <v/>
      </c>
      <c r="D2748" s="12" t="str">
        <f>IF(B2748="","",IFERROR(INDEX('Cashier Roster'!$D$5:$D$64,MATCH(B2748,'Cashier Roster'!$B$5:$B$64,0)),""))</f>
        <v/>
      </c>
      <c r="E2748" s="13"/>
      <c r="F2748" s="14"/>
      <c r="G2748" s="8" t="str">
        <f>IF(OR(B2748="",E2748=""),"",IF(E2748="No","Missed",IF(F2748="","",IF(F2748&lt;=Settings!$B$7,"On time","Late"))))</f>
        <v/>
      </c>
      <c r="H2748" s="15"/>
      <c r="I2748" s="16"/>
      <c r="J2748" s="16"/>
      <c r="K2748" s="17" t="str">
        <f>IF(J2748="","",ROUND(J2748*Settings!$B$8,2))</f>
        <v/>
      </c>
      <c r="L2748" s="16"/>
      <c r="M2748" s="8" t="str">
        <f t="shared" si="42"/>
        <v/>
      </c>
      <c r="N2748" s="9"/>
    </row>
    <row r="2749" spans="1:14" ht="15.75">
      <c r="A2749" s="11"/>
      <c r="B2749" s="9"/>
      <c r="C2749" s="12" t="str">
        <f>IF(B2749="","",IFERROR(INDEX('Cashier Roster'!$C$5:$C$64,MATCH(B2749,'Cashier Roster'!$B$5:$B$64,0)),"Not on roster"))</f>
        <v/>
      </c>
      <c r="D2749" s="12" t="str">
        <f>IF(B2749="","",IFERROR(INDEX('Cashier Roster'!$D$5:$D$64,MATCH(B2749,'Cashier Roster'!$B$5:$B$64,0)),""))</f>
        <v/>
      </c>
      <c r="E2749" s="13"/>
      <c r="F2749" s="14"/>
      <c r="G2749" s="8" t="str">
        <f>IF(OR(B2749="",E2749=""),"",IF(E2749="No","Missed",IF(F2749="","",IF(F2749&lt;=Settings!$B$7,"On time","Late"))))</f>
        <v/>
      </c>
      <c r="H2749" s="15"/>
      <c r="I2749" s="16"/>
      <c r="J2749" s="16"/>
      <c r="K2749" s="17" t="str">
        <f>IF(J2749="","",ROUND(J2749*Settings!$B$8,2))</f>
        <v/>
      </c>
      <c r="L2749" s="16"/>
      <c r="M2749" s="8" t="str">
        <f t="shared" si="42"/>
        <v/>
      </c>
      <c r="N2749" s="9"/>
    </row>
    <row r="2750" spans="1:14" ht="15.75">
      <c r="A2750" s="11"/>
      <c r="B2750" s="9"/>
      <c r="C2750" s="12" t="str">
        <f>IF(B2750="","",IFERROR(INDEX('Cashier Roster'!$C$5:$C$64,MATCH(B2750,'Cashier Roster'!$B$5:$B$64,0)),"Not on roster"))</f>
        <v/>
      </c>
      <c r="D2750" s="12" t="str">
        <f>IF(B2750="","",IFERROR(INDEX('Cashier Roster'!$D$5:$D$64,MATCH(B2750,'Cashier Roster'!$B$5:$B$64,0)),""))</f>
        <v/>
      </c>
      <c r="E2750" s="13"/>
      <c r="F2750" s="14"/>
      <c r="G2750" s="8" t="str">
        <f>IF(OR(B2750="",E2750=""),"",IF(E2750="No","Missed",IF(F2750="","",IF(F2750&lt;=Settings!$B$7,"On time","Late"))))</f>
        <v/>
      </c>
      <c r="H2750" s="15"/>
      <c r="I2750" s="16"/>
      <c r="J2750" s="16"/>
      <c r="K2750" s="17" t="str">
        <f>IF(J2750="","",ROUND(J2750*Settings!$B$8,2))</f>
        <v/>
      </c>
      <c r="L2750" s="16"/>
      <c r="M2750" s="8" t="str">
        <f t="shared" si="42"/>
        <v/>
      </c>
      <c r="N2750" s="9"/>
    </row>
    <row r="2751" spans="1:14" ht="15.75">
      <c r="A2751" s="11"/>
      <c r="B2751" s="9"/>
      <c r="C2751" s="12" t="str">
        <f>IF(B2751="","",IFERROR(INDEX('Cashier Roster'!$C$5:$C$64,MATCH(B2751,'Cashier Roster'!$B$5:$B$64,0)),"Not on roster"))</f>
        <v/>
      </c>
      <c r="D2751" s="12" t="str">
        <f>IF(B2751="","",IFERROR(INDEX('Cashier Roster'!$D$5:$D$64,MATCH(B2751,'Cashier Roster'!$B$5:$B$64,0)),""))</f>
        <v/>
      </c>
      <c r="E2751" s="13"/>
      <c r="F2751" s="14"/>
      <c r="G2751" s="8" t="str">
        <f>IF(OR(B2751="",E2751=""),"",IF(E2751="No","Missed",IF(F2751="","",IF(F2751&lt;=Settings!$B$7,"On time","Late"))))</f>
        <v/>
      </c>
      <c r="H2751" s="15"/>
      <c r="I2751" s="16"/>
      <c r="J2751" s="16"/>
      <c r="K2751" s="17" t="str">
        <f>IF(J2751="","",ROUND(J2751*Settings!$B$8,2))</f>
        <v/>
      </c>
      <c r="L2751" s="16"/>
      <c r="M2751" s="8" t="str">
        <f t="shared" si="42"/>
        <v/>
      </c>
      <c r="N2751" s="9"/>
    </row>
    <row r="2752" spans="1:14" ht="15.75">
      <c r="A2752" s="11"/>
      <c r="B2752" s="9"/>
      <c r="C2752" s="12" t="str">
        <f>IF(B2752="","",IFERROR(INDEX('Cashier Roster'!$C$5:$C$64,MATCH(B2752,'Cashier Roster'!$B$5:$B$64,0)),"Not on roster"))</f>
        <v/>
      </c>
      <c r="D2752" s="12" t="str">
        <f>IF(B2752="","",IFERROR(INDEX('Cashier Roster'!$D$5:$D$64,MATCH(B2752,'Cashier Roster'!$B$5:$B$64,0)),""))</f>
        <v/>
      </c>
      <c r="E2752" s="13"/>
      <c r="F2752" s="14"/>
      <c r="G2752" s="8" t="str">
        <f>IF(OR(B2752="",E2752=""),"",IF(E2752="No","Missed",IF(F2752="","",IF(F2752&lt;=Settings!$B$7,"On time","Late"))))</f>
        <v/>
      </c>
      <c r="H2752" s="15"/>
      <c r="I2752" s="16"/>
      <c r="J2752" s="16"/>
      <c r="K2752" s="17" t="str">
        <f>IF(J2752="","",ROUND(J2752*Settings!$B$8,2))</f>
        <v/>
      </c>
      <c r="L2752" s="16"/>
      <c r="M2752" s="8" t="str">
        <f t="shared" si="42"/>
        <v/>
      </c>
      <c r="N2752" s="9"/>
    </row>
    <row r="2753" spans="1:14" ht="15.75">
      <c r="A2753" s="11"/>
      <c r="B2753" s="9"/>
      <c r="C2753" s="12" t="str">
        <f>IF(B2753="","",IFERROR(INDEX('Cashier Roster'!$C$5:$C$64,MATCH(B2753,'Cashier Roster'!$B$5:$B$64,0)),"Not on roster"))</f>
        <v/>
      </c>
      <c r="D2753" s="12" t="str">
        <f>IF(B2753="","",IFERROR(INDEX('Cashier Roster'!$D$5:$D$64,MATCH(B2753,'Cashier Roster'!$B$5:$B$64,0)),""))</f>
        <v/>
      </c>
      <c r="E2753" s="13"/>
      <c r="F2753" s="14"/>
      <c r="G2753" s="8" t="str">
        <f>IF(OR(B2753="",E2753=""),"",IF(E2753="No","Missed",IF(F2753="","",IF(F2753&lt;=Settings!$B$7,"On time","Late"))))</f>
        <v/>
      </c>
      <c r="H2753" s="15"/>
      <c r="I2753" s="16"/>
      <c r="J2753" s="16"/>
      <c r="K2753" s="17" t="str">
        <f>IF(J2753="","",ROUND(J2753*Settings!$B$8,2))</f>
        <v/>
      </c>
      <c r="L2753" s="16"/>
      <c r="M2753" s="8" t="str">
        <f t="shared" si="42"/>
        <v/>
      </c>
      <c r="N2753" s="9"/>
    </row>
    <row r="2754" spans="1:14" ht="15.75">
      <c r="A2754" s="11"/>
      <c r="B2754" s="9"/>
      <c r="C2754" s="12" t="str">
        <f>IF(B2754="","",IFERROR(INDEX('Cashier Roster'!$C$5:$C$64,MATCH(B2754,'Cashier Roster'!$B$5:$B$64,0)),"Not on roster"))</f>
        <v/>
      </c>
      <c r="D2754" s="12" t="str">
        <f>IF(B2754="","",IFERROR(INDEX('Cashier Roster'!$D$5:$D$64,MATCH(B2754,'Cashier Roster'!$B$5:$B$64,0)),""))</f>
        <v/>
      </c>
      <c r="E2754" s="13"/>
      <c r="F2754" s="14"/>
      <c r="G2754" s="8" t="str">
        <f>IF(OR(B2754="",E2754=""),"",IF(E2754="No","Missed",IF(F2754="","",IF(F2754&lt;=Settings!$B$7,"On time","Late"))))</f>
        <v/>
      </c>
      <c r="H2754" s="15"/>
      <c r="I2754" s="16"/>
      <c r="J2754" s="16"/>
      <c r="K2754" s="17" t="str">
        <f>IF(J2754="","",ROUND(J2754*Settings!$B$8,2))</f>
        <v/>
      </c>
      <c r="L2754" s="16"/>
      <c r="M2754" s="8" t="str">
        <f t="shared" si="42"/>
        <v/>
      </c>
      <c r="N2754" s="9"/>
    </row>
    <row r="2755" spans="1:14" ht="15.75">
      <c r="A2755" s="11"/>
      <c r="B2755" s="9"/>
      <c r="C2755" s="12" t="str">
        <f>IF(B2755="","",IFERROR(INDEX('Cashier Roster'!$C$5:$C$64,MATCH(B2755,'Cashier Roster'!$B$5:$B$64,0)),"Not on roster"))</f>
        <v/>
      </c>
      <c r="D2755" s="12" t="str">
        <f>IF(B2755="","",IFERROR(INDEX('Cashier Roster'!$D$5:$D$64,MATCH(B2755,'Cashier Roster'!$B$5:$B$64,0)),""))</f>
        <v/>
      </c>
      <c r="E2755" s="13"/>
      <c r="F2755" s="14"/>
      <c r="G2755" s="8" t="str">
        <f>IF(OR(B2755="",E2755=""),"",IF(E2755="No","Missed",IF(F2755="","",IF(F2755&lt;=Settings!$B$7,"On time","Late"))))</f>
        <v/>
      </c>
      <c r="H2755" s="15"/>
      <c r="I2755" s="16"/>
      <c r="J2755" s="16"/>
      <c r="K2755" s="17" t="str">
        <f>IF(J2755="","",ROUND(J2755*Settings!$B$8,2))</f>
        <v/>
      </c>
      <c r="L2755" s="16"/>
      <c r="M2755" s="8" t="str">
        <f t="shared" si="42"/>
        <v/>
      </c>
      <c r="N2755" s="9"/>
    </row>
    <row r="2756" spans="1:14" ht="15.75">
      <c r="A2756" s="11"/>
      <c r="B2756" s="9"/>
      <c r="C2756" s="12" t="str">
        <f>IF(B2756="","",IFERROR(INDEX('Cashier Roster'!$C$5:$C$64,MATCH(B2756,'Cashier Roster'!$B$5:$B$64,0)),"Not on roster"))</f>
        <v/>
      </c>
      <c r="D2756" s="12" t="str">
        <f>IF(B2756="","",IFERROR(INDEX('Cashier Roster'!$D$5:$D$64,MATCH(B2756,'Cashier Roster'!$B$5:$B$64,0)),""))</f>
        <v/>
      </c>
      <c r="E2756" s="13"/>
      <c r="F2756" s="14"/>
      <c r="G2756" s="8" t="str">
        <f>IF(OR(B2756="",E2756=""),"",IF(E2756="No","Missed",IF(F2756="","",IF(F2756&lt;=Settings!$B$7,"On time","Late"))))</f>
        <v/>
      </c>
      <c r="H2756" s="15"/>
      <c r="I2756" s="16"/>
      <c r="J2756" s="16"/>
      <c r="K2756" s="17" t="str">
        <f>IF(J2756="","",ROUND(J2756*Settings!$B$8,2))</f>
        <v/>
      </c>
      <c r="L2756" s="16"/>
      <c r="M2756" s="8" t="str">
        <f t="shared" si="42"/>
        <v/>
      </c>
      <c r="N2756" s="9"/>
    </row>
    <row r="2757" spans="1:14" ht="15.75">
      <c r="A2757" s="11"/>
      <c r="B2757" s="9"/>
      <c r="C2757" s="12" t="str">
        <f>IF(B2757="","",IFERROR(INDEX('Cashier Roster'!$C$5:$C$64,MATCH(B2757,'Cashier Roster'!$B$5:$B$64,0)),"Not on roster"))</f>
        <v/>
      </c>
      <c r="D2757" s="12" t="str">
        <f>IF(B2757="","",IFERROR(INDEX('Cashier Roster'!$D$5:$D$64,MATCH(B2757,'Cashier Roster'!$B$5:$B$64,0)),""))</f>
        <v/>
      </c>
      <c r="E2757" s="13"/>
      <c r="F2757" s="14"/>
      <c r="G2757" s="8" t="str">
        <f>IF(OR(B2757="",E2757=""),"",IF(E2757="No","Missed",IF(F2757="","",IF(F2757&lt;=Settings!$B$7,"On time","Late"))))</f>
        <v/>
      </c>
      <c r="H2757" s="15"/>
      <c r="I2757" s="16"/>
      <c r="J2757" s="16"/>
      <c r="K2757" s="17" t="str">
        <f>IF(J2757="","",ROUND(J2757*Settings!$B$8,2))</f>
        <v/>
      </c>
      <c r="L2757" s="16"/>
      <c r="M2757" s="8" t="str">
        <f t="shared" ref="M2757:M2820" si="43">IF(L2757="","",IF(L2757&lt;=0,"Yes","No"))</f>
        <v/>
      </c>
      <c r="N2757" s="9"/>
    </row>
    <row r="2758" spans="1:14" ht="15.75">
      <c r="A2758" s="11"/>
      <c r="B2758" s="9"/>
      <c r="C2758" s="12" t="str">
        <f>IF(B2758="","",IFERROR(INDEX('Cashier Roster'!$C$5:$C$64,MATCH(B2758,'Cashier Roster'!$B$5:$B$64,0)),"Not on roster"))</f>
        <v/>
      </c>
      <c r="D2758" s="12" t="str">
        <f>IF(B2758="","",IFERROR(INDEX('Cashier Roster'!$D$5:$D$64,MATCH(B2758,'Cashier Roster'!$B$5:$B$64,0)),""))</f>
        <v/>
      </c>
      <c r="E2758" s="13"/>
      <c r="F2758" s="14"/>
      <c r="G2758" s="8" t="str">
        <f>IF(OR(B2758="",E2758=""),"",IF(E2758="No","Missed",IF(F2758="","",IF(F2758&lt;=Settings!$B$7,"On time","Late"))))</f>
        <v/>
      </c>
      <c r="H2758" s="15"/>
      <c r="I2758" s="16"/>
      <c r="J2758" s="16"/>
      <c r="K2758" s="17" t="str">
        <f>IF(J2758="","",ROUND(J2758*Settings!$B$8,2))</f>
        <v/>
      </c>
      <c r="L2758" s="16"/>
      <c r="M2758" s="8" t="str">
        <f t="shared" si="43"/>
        <v/>
      </c>
      <c r="N2758" s="9"/>
    </row>
    <row r="2759" spans="1:14" ht="15.75">
      <c r="A2759" s="11"/>
      <c r="B2759" s="9"/>
      <c r="C2759" s="12" t="str">
        <f>IF(B2759="","",IFERROR(INDEX('Cashier Roster'!$C$5:$C$64,MATCH(B2759,'Cashier Roster'!$B$5:$B$64,0)),"Not on roster"))</f>
        <v/>
      </c>
      <c r="D2759" s="12" t="str">
        <f>IF(B2759="","",IFERROR(INDEX('Cashier Roster'!$D$5:$D$64,MATCH(B2759,'Cashier Roster'!$B$5:$B$64,0)),""))</f>
        <v/>
      </c>
      <c r="E2759" s="13"/>
      <c r="F2759" s="14"/>
      <c r="G2759" s="8" t="str">
        <f>IF(OR(B2759="",E2759=""),"",IF(E2759="No","Missed",IF(F2759="","",IF(F2759&lt;=Settings!$B$7,"On time","Late"))))</f>
        <v/>
      </c>
      <c r="H2759" s="15"/>
      <c r="I2759" s="16"/>
      <c r="J2759" s="16"/>
      <c r="K2759" s="17" t="str">
        <f>IF(J2759="","",ROUND(J2759*Settings!$B$8,2))</f>
        <v/>
      </c>
      <c r="L2759" s="16"/>
      <c r="M2759" s="8" t="str">
        <f t="shared" si="43"/>
        <v/>
      </c>
      <c r="N2759" s="9"/>
    </row>
    <row r="2760" spans="1:14" ht="15.75">
      <c r="A2760" s="11"/>
      <c r="B2760" s="9"/>
      <c r="C2760" s="12" t="str">
        <f>IF(B2760="","",IFERROR(INDEX('Cashier Roster'!$C$5:$C$64,MATCH(B2760,'Cashier Roster'!$B$5:$B$64,0)),"Not on roster"))</f>
        <v/>
      </c>
      <c r="D2760" s="12" t="str">
        <f>IF(B2760="","",IFERROR(INDEX('Cashier Roster'!$D$5:$D$64,MATCH(B2760,'Cashier Roster'!$B$5:$B$64,0)),""))</f>
        <v/>
      </c>
      <c r="E2760" s="13"/>
      <c r="F2760" s="14"/>
      <c r="G2760" s="8" t="str">
        <f>IF(OR(B2760="",E2760=""),"",IF(E2760="No","Missed",IF(F2760="","",IF(F2760&lt;=Settings!$B$7,"On time","Late"))))</f>
        <v/>
      </c>
      <c r="H2760" s="15"/>
      <c r="I2760" s="16"/>
      <c r="J2760" s="16"/>
      <c r="K2760" s="17" t="str">
        <f>IF(J2760="","",ROUND(J2760*Settings!$B$8,2))</f>
        <v/>
      </c>
      <c r="L2760" s="16"/>
      <c r="M2760" s="8" t="str">
        <f t="shared" si="43"/>
        <v/>
      </c>
      <c r="N2760" s="9"/>
    </row>
    <row r="2761" spans="1:14" ht="15.75">
      <c r="A2761" s="11"/>
      <c r="B2761" s="9"/>
      <c r="C2761" s="12" t="str">
        <f>IF(B2761="","",IFERROR(INDEX('Cashier Roster'!$C$5:$C$64,MATCH(B2761,'Cashier Roster'!$B$5:$B$64,0)),"Not on roster"))</f>
        <v/>
      </c>
      <c r="D2761" s="12" t="str">
        <f>IF(B2761="","",IFERROR(INDEX('Cashier Roster'!$D$5:$D$64,MATCH(B2761,'Cashier Roster'!$B$5:$B$64,0)),""))</f>
        <v/>
      </c>
      <c r="E2761" s="13"/>
      <c r="F2761" s="14"/>
      <c r="G2761" s="8" t="str">
        <f>IF(OR(B2761="",E2761=""),"",IF(E2761="No","Missed",IF(F2761="","",IF(F2761&lt;=Settings!$B$7,"On time","Late"))))</f>
        <v/>
      </c>
      <c r="H2761" s="15"/>
      <c r="I2761" s="16"/>
      <c r="J2761" s="16"/>
      <c r="K2761" s="17" t="str">
        <f>IF(J2761="","",ROUND(J2761*Settings!$B$8,2))</f>
        <v/>
      </c>
      <c r="L2761" s="16"/>
      <c r="M2761" s="8" t="str">
        <f t="shared" si="43"/>
        <v/>
      </c>
      <c r="N2761" s="9"/>
    </row>
    <row r="2762" spans="1:14" ht="15.75">
      <c r="A2762" s="11"/>
      <c r="B2762" s="9"/>
      <c r="C2762" s="12" t="str">
        <f>IF(B2762="","",IFERROR(INDEX('Cashier Roster'!$C$5:$C$64,MATCH(B2762,'Cashier Roster'!$B$5:$B$64,0)),"Not on roster"))</f>
        <v/>
      </c>
      <c r="D2762" s="12" t="str">
        <f>IF(B2762="","",IFERROR(INDEX('Cashier Roster'!$D$5:$D$64,MATCH(B2762,'Cashier Roster'!$B$5:$B$64,0)),""))</f>
        <v/>
      </c>
      <c r="E2762" s="13"/>
      <c r="F2762" s="14"/>
      <c r="G2762" s="8" t="str">
        <f>IF(OR(B2762="",E2762=""),"",IF(E2762="No","Missed",IF(F2762="","",IF(F2762&lt;=Settings!$B$7,"On time","Late"))))</f>
        <v/>
      </c>
      <c r="H2762" s="15"/>
      <c r="I2762" s="16"/>
      <c r="J2762" s="16"/>
      <c r="K2762" s="17" t="str">
        <f>IF(J2762="","",ROUND(J2762*Settings!$B$8,2))</f>
        <v/>
      </c>
      <c r="L2762" s="16"/>
      <c r="M2762" s="8" t="str">
        <f t="shared" si="43"/>
        <v/>
      </c>
      <c r="N2762" s="9"/>
    </row>
    <row r="2763" spans="1:14" ht="15.75">
      <c r="A2763" s="11"/>
      <c r="B2763" s="9"/>
      <c r="C2763" s="12" t="str">
        <f>IF(B2763="","",IFERROR(INDEX('Cashier Roster'!$C$5:$C$64,MATCH(B2763,'Cashier Roster'!$B$5:$B$64,0)),"Not on roster"))</f>
        <v/>
      </c>
      <c r="D2763" s="12" t="str">
        <f>IF(B2763="","",IFERROR(INDEX('Cashier Roster'!$D$5:$D$64,MATCH(B2763,'Cashier Roster'!$B$5:$B$64,0)),""))</f>
        <v/>
      </c>
      <c r="E2763" s="13"/>
      <c r="F2763" s="14"/>
      <c r="G2763" s="8" t="str">
        <f>IF(OR(B2763="",E2763=""),"",IF(E2763="No","Missed",IF(F2763="","",IF(F2763&lt;=Settings!$B$7,"On time","Late"))))</f>
        <v/>
      </c>
      <c r="H2763" s="15"/>
      <c r="I2763" s="16"/>
      <c r="J2763" s="16"/>
      <c r="K2763" s="17" t="str">
        <f>IF(J2763="","",ROUND(J2763*Settings!$B$8,2))</f>
        <v/>
      </c>
      <c r="L2763" s="16"/>
      <c r="M2763" s="8" t="str">
        <f t="shared" si="43"/>
        <v/>
      </c>
      <c r="N2763" s="9"/>
    </row>
    <row r="2764" spans="1:14" ht="15.75">
      <c r="A2764" s="11"/>
      <c r="B2764" s="9"/>
      <c r="C2764" s="12" t="str">
        <f>IF(B2764="","",IFERROR(INDEX('Cashier Roster'!$C$5:$C$64,MATCH(B2764,'Cashier Roster'!$B$5:$B$64,0)),"Not on roster"))</f>
        <v/>
      </c>
      <c r="D2764" s="12" t="str">
        <f>IF(B2764="","",IFERROR(INDEX('Cashier Roster'!$D$5:$D$64,MATCH(B2764,'Cashier Roster'!$B$5:$B$64,0)),""))</f>
        <v/>
      </c>
      <c r="E2764" s="13"/>
      <c r="F2764" s="14"/>
      <c r="G2764" s="8" t="str">
        <f>IF(OR(B2764="",E2764=""),"",IF(E2764="No","Missed",IF(F2764="","",IF(F2764&lt;=Settings!$B$7,"On time","Late"))))</f>
        <v/>
      </c>
      <c r="H2764" s="15"/>
      <c r="I2764" s="16"/>
      <c r="J2764" s="16"/>
      <c r="K2764" s="17" t="str">
        <f>IF(J2764="","",ROUND(J2764*Settings!$B$8,2))</f>
        <v/>
      </c>
      <c r="L2764" s="16"/>
      <c r="M2764" s="8" t="str">
        <f t="shared" si="43"/>
        <v/>
      </c>
      <c r="N2764" s="9"/>
    </row>
    <row r="2765" spans="1:14" ht="15.75">
      <c r="A2765" s="11"/>
      <c r="B2765" s="9"/>
      <c r="C2765" s="12" t="str">
        <f>IF(B2765="","",IFERROR(INDEX('Cashier Roster'!$C$5:$C$64,MATCH(B2765,'Cashier Roster'!$B$5:$B$64,0)),"Not on roster"))</f>
        <v/>
      </c>
      <c r="D2765" s="12" t="str">
        <f>IF(B2765="","",IFERROR(INDEX('Cashier Roster'!$D$5:$D$64,MATCH(B2765,'Cashier Roster'!$B$5:$B$64,0)),""))</f>
        <v/>
      </c>
      <c r="E2765" s="13"/>
      <c r="F2765" s="14"/>
      <c r="G2765" s="8" t="str">
        <f>IF(OR(B2765="",E2765=""),"",IF(E2765="No","Missed",IF(F2765="","",IF(F2765&lt;=Settings!$B$7,"On time","Late"))))</f>
        <v/>
      </c>
      <c r="H2765" s="15"/>
      <c r="I2765" s="16"/>
      <c r="J2765" s="16"/>
      <c r="K2765" s="17" t="str">
        <f>IF(J2765="","",ROUND(J2765*Settings!$B$8,2))</f>
        <v/>
      </c>
      <c r="L2765" s="16"/>
      <c r="M2765" s="8" t="str">
        <f t="shared" si="43"/>
        <v/>
      </c>
      <c r="N2765" s="9"/>
    </row>
    <row r="2766" spans="1:14" ht="15.75">
      <c r="A2766" s="11"/>
      <c r="B2766" s="9"/>
      <c r="C2766" s="12" t="str">
        <f>IF(B2766="","",IFERROR(INDEX('Cashier Roster'!$C$5:$C$64,MATCH(B2766,'Cashier Roster'!$B$5:$B$64,0)),"Not on roster"))</f>
        <v/>
      </c>
      <c r="D2766" s="12" t="str">
        <f>IF(B2766="","",IFERROR(INDEX('Cashier Roster'!$D$5:$D$64,MATCH(B2766,'Cashier Roster'!$B$5:$B$64,0)),""))</f>
        <v/>
      </c>
      <c r="E2766" s="13"/>
      <c r="F2766" s="14"/>
      <c r="G2766" s="8" t="str">
        <f>IF(OR(B2766="",E2766=""),"",IF(E2766="No","Missed",IF(F2766="","",IF(F2766&lt;=Settings!$B$7,"On time","Late"))))</f>
        <v/>
      </c>
      <c r="H2766" s="15"/>
      <c r="I2766" s="16"/>
      <c r="J2766" s="16"/>
      <c r="K2766" s="17" t="str">
        <f>IF(J2766="","",ROUND(J2766*Settings!$B$8,2))</f>
        <v/>
      </c>
      <c r="L2766" s="16"/>
      <c r="M2766" s="8" t="str">
        <f t="shared" si="43"/>
        <v/>
      </c>
      <c r="N2766" s="9"/>
    </row>
    <row r="2767" spans="1:14" ht="15.75">
      <c r="A2767" s="11"/>
      <c r="B2767" s="9"/>
      <c r="C2767" s="12" t="str">
        <f>IF(B2767="","",IFERROR(INDEX('Cashier Roster'!$C$5:$C$64,MATCH(B2767,'Cashier Roster'!$B$5:$B$64,0)),"Not on roster"))</f>
        <v/>
      </c>
      <c r="D2767" s="12" t="str">
        <f>IF(B2767="","",IFERROR(INDEX('Cashier Roster'!$D$5:$D$64,MATCH(B2767,'Cashier Roster'!$B$5:$B$64,0)),""))</f>
        <v/>
      </c>
      <c r="E2767" s="13"/>
      <c r="F2767" s="14"/>
      <c r="G2767" s="8" t="str">
        <f>IF(OR(B2767="",E2767=""),"",IF(E2767="No","Missed",IF(F2767="","",IF(F2767&lt;=Settings!$B$7,"On time","Late"))))</f>
        <v/>
      </c>
      <c r="H2767" s="15"/>
      <c r="I2767" s="16"/>
      <c r="J2767" s="16"/>
      <c r="K2767" s="17" t="str">
        <f>IF(J2767="","",ROUND(J2767*Settings!$B$8,2))</f>
        <v/>
      </c>
      <c r="L2767" s="16"/>
      <c r="M2767" s="8" t="str">
        <f t="shared" si="43"/>
        <v/>
      </c>
      <c r="N2767" s="9"/>
    </row>
    <row r="2768" spans="1:14" ht="15.75">
      <c r="A2768" s="11"/>
      <c r="B2768" s="9"/>
      <c r="C2768" s="12" t="str">
        <f>IF(B2768="","",IFERROR(INDEX('Cashier Roster'!$C$5:$C$64,MATCH(B2768,'Cashier Roster'!$B$5:$B$64,0)),"Not on roster"))</f>
        <v/>
      </c>
      <c r="D2768" s="12" t="str">
        <f>IF(B2768="","",IFERROR(INDEX('Cashier Roster'!$D$5:$D$64,MATCH(B2768,'Cashier Roster'!$B$5:$B$64,0)),""))</f>
        <v/>
      </c>
      <c r="E2768" s="13"/>
      <c r="F2768" s="14"/>
      <c r="G2768" s="8" t="str">
        <f>IF(OR(B2768="",E2768=""),"",IF(E2768="No","Missed",IF(F2768="","",IF(F2768&lt;=Settings!$B$7,"On time","Late"))))</f>
        <v/>
      </c>
      <c r="H2768" s="15"/>
      <c r="I2768" s="16"/>
      <c r="J2768" s="16"/>
      <c r="K2768" s="17" t="str">
        <f>IF(J2768="","",ROUND(J2768*Settings!$B$8,2))</f>
        <v/>
      </c>
      <c r="L2768" s="16"/>
      <c r="M2768" s="8" t="str">
        <f t="shared" si="43"/>
        <v/>
      </c>
      <c r="N2768" s="9"/>
    </row>
    <row r="2769" spans="1:14" ht="15.75">
      <c r="A2769" s="11"/>
      <c r="B2769" s="9"/>
      <c r="C2769" s="12" t="str">
        <f>IF(B2769="","",IFERROR(INDEX('Cashier Roster'!$C$5:$C$64,MATCH(B2769,'Cashier Roster'!$B$5:$B$64,0)),"Not on roster"))</f>
        <v/>
      </c>
      <c r="D2769" s="12" t="str">
        <f>IF(B2769="","",IFERROR(INDEX('Cashier Roster'!$D$5:$D$64,MATCH(B2769,'Cashier Roster'!$B$5:$B$64,0)),""))</f>
        <v/>
      </c>
      <c r="E2769" s="13"/>
      <c r="F2769" s="14"/>
      <c r="G2769" s="8" t="str">
        <f>IF(OR(B2769="",E2769=""),"",IF(E2769="No","Missed",IF(F2769="","",IF(F2769&lt;=Settings!$B$7,"On time","Late"))))</f>
        <v/>
      </c>
      <c r="H2769" s="15"/>
      <c r="I2769" s="16"/>
      <c r="J2769" s="16"/>
      <c r="K2769" s="17" t="str">
        <f>IF(J2769="","",ROUND(J2769*Settings!$B$8,2))</f>
        <v/>
      </c>
      <c r="L2769" s="16"/>
      <c r="M2769" s="8" t="str">
        <f t="shared" si="43"/>
        <v/>
      </c>
      <c r="N2769" s="9"/>
    </row>
    <row r="2770" spans="1:14" ht="15.75">
      <c r="A2770" s="11"/>
      <c r="B2770" s="9"/>
      <c r="C2770" s="12" t="str">
        <f>IF(B2770="","",IFERROR(INDEX('Cashier Roster'!$C$5:$C$64,MATCH(B2770,'Cashier Roster'!$B$5:$B$64,0)),"Not on roster"))</f>
        <v/>
      </c>
      <c r="D2770" s="12" t="str">
        <f>IF(B2770="","",IFERROR(INDEX('Cashier Roster'!$D$5:$D$64,MATCH(B2770,'Cashier Roster'!$B$5:$B$64,0)),""))</f>
        <v/>
      </c>
      <c r="E2770" s="13"/>
      <c r="F2770" s="14"/>
      <c r="G2770" s="8" t="str">
        <f>IF(OR(B2770="",E2770=""),"",IF(E2770="No","Missed",IF(F2770="","",IF(F2770&lt;=Settings!$B$7,"On time","Late"))))</f>
        <v/>
      </c>
      <c r="H2770" s="15"/>
      <c r="I2770" s="16"/>
      <c r="J2770" s="16"/>
      <c r="K2770" s="17" t="str">
        <f>IF(J2770="","",ROUND(J2770*Settings!$B$8,2))</f>
        <v/>
      </c>
      <c r="L2770" s="16"/>
      <c r="M2770" s="8" t="str">
        <f t="shared" si="43"/>
        <v/>
      </c>
      <c r="N2770" s="9"/>
    </row>
    <row r="2771" spans="1:14" ht="15.75">
      <c r="A2771" s="11"/>
      <c r="B2771" s="9"/>
      <c r="C2771" s="12" t="str">
        <f>IF(B2771="","",IFERROR(INDEX('Cashier Roster'!$C$5:$C$64,MATCH(B2771,'Cashier Roster'!$B$5:$B$64,0)),"Not on roster"))</f>
        <v/>
      </c>
      <c r="D2771" s="12" t="str">
        <f>IF(B2771="","",IFERROR(INDEX('Cashier Roster'!$D$5:$D$64,MATCH(B2771,'Cashier Roster'!$B$5:$B$64,0)),""))</f>
        <v/>
      </c>
      <c r="E2771" s="13"/>
      <c r="F2771" s="14"/>
      <c r="G2771" s="8" t="str">
        <f>IF(OR(B2771="",E2771=""),"",IF(E2771="No","Missed",IF(F2771="","",IF(F2771&lt;=Settings!$B$7,"On time","Late"))))</f>
        <v/>
      </c>
      <c r="H2771" s="15"/>
      <c r="I2771" s="16"/>
      <c r="J2771" s="16"/>
      <c r="K2771" s="17" t="str">
        <f>IF(J2771="","",ROUND(J2771*Settings!$B$8,2))</f>
        <v/>
      </c>
      <c r="L2771" s="16"/>
      <c r="M2771" s="8" t="str">
        <f t="shared" si="43"/>
        <v/>
      </c>
      <c r="N2771" s="9"/>
    </row>
    <row r="2772" spans="1:14" ht="15.75">
      <c r="A2772" s="11"/>
      <c r="B2772" s="9"/>
      <c r="C2772" s="12" t="str">
        <f>IF(B2772="","",IFERROR(INDEX('Cashier Roster'!$C$5:$C$64,MATCH(B2772,'Cashier Roster'!$B$5:$B$64,0)),"Not on roster"))</f>
        <v/>
      </c>
      <c r="D2772" s="12" t="str">
        <f>IF(B2772="","",IFERROR(INDEX('Cashier Roster'!$D$5:$D$64,MATCH(B2772,'Cashier Roster'!$B$5:$B$64,0)),""))</f>
        <v/>
      </c>
      <c r="E2772" s="13"/>
      <c r="F2772" s="14"/>
      <c r="G2772" s="8" t="str">
        <f>IF(OR(B2772="",E2772=""),"",IF(E2772="No","Missed",IF(F2772="","",IF(F2772&lt;=Settings!$B$7,"On time","Late"))))</f>
        <v/>
      </c>
      <c r="H2772" s="15"/>
      <c r="I2772" s="16"/>
      <c r="J2772" s="16"/>
      <c r="K2772" s="17" t="str">
        <f>IF(J2772="","",ROUND(J2772*Settings!$B$8,2))</f>
        <v/>
      </c>
      <c r="L2772" s="16"/>
      <c r="M2772" s="8" t="str">
        <f t="shared" si="43"/>
        <v/>
      </c>
      <c r="N2772" s="9"/>
    </row>
    <row r="2773" spans="1:14" ht="15.75">
      <c r="A2773" s="11"/>
      <c r="B2773" s="9"/>
      <c r="C2773" s="12" t="str">
        <f>IF(B2773="","",IFERROR(INDEX('Cashier Roster'!$C$5:$C$64,MATCH(B2773,'Cashier Roster'!$B$5:$B$64,0)),"Not on roster"))</f>
        <v/>
      </c>
      <c r="D2773" s="12" t="str">
        <f>IF(B2773="","",IFERROR(INDEX('Cashier Roster'!$D$5:$D$64,MATCH(B2773,'Cashier Roster'!$B$5:$B$64,0)),""))</f>
        <v/>
      </c>
      <c r="E2773" s="13"/>
      <c r="F2773" s="14"/>
      <c r="G2773" s="8" t="str">
        <f>IF(OR(B2773="",E2773=""),"",IF(E2773="No","Missed",IF(F2773="","",IF(F2773&lt;=Settings!$B$7,"On time","Late"))))</f>
        <v/>
      </c>
      <c r="H2773" s="15"/>
      <c r="I2773" s="16"/>
      <c r="J2773" s="16"/>
      <c r="K2773" s="17" t="str">
        <f>IF(J2773="","",ROUND(J2773*Settings!$B$8,2))</f>
        <v/>
      </c>
      <c r="L2773" s="16"/>
      <c r="M2773" s="8" t="str">
        <f t="shared" si="43"/>
        <v/>
      </c>
      <c r="N2773" s="9"/>
    </row>
    <row r="2774" spans="1:14" ht="15.75">
      <c r="A2774" s="11"/>
      <c r="B2774" s="9"/>
      <c r="C2774" s="12" t="str">
        <f>IF(B2774="","",IFERROR(INDEX('Cashier Roster'!$C$5:$C$64,MATCH(B2774,'Cashier Roster'!$B$5:$B$64,0)),"Not on roster"))</f>
        <v/>
      </c>
      <c r="D2774" s="12" t="str">
        <f>IF(B2774="","",IFERROR(INDEX('Cashier Roster'!$D$5:$D$64,MATCH(B2774,'Cashier Roster'!$B$5:$B$64,0)),""))</f>
        <v/>
      </c>
      <c r="E2774" s="13"/>
      <c r="F2774" s="14"/>
      <c r="G2774" s="8" t="str">
        <f>IF(OR(B2774="",E2774=""),"",IF(E2774="No","Missed",IF(F2774="","",IF(F2774&lt;=Settings!$B$7,"On time","Late"))))</f>
        <v/>
      </c>
      <c r="H2774" s="15"/>
      <c r="I2774" s="16"/>
      <c r="J2774" s="16"/>
      <c r="K2774" s="17" t="str">
        <f>IF(J2774="","",ROUND(J2774*Settings!$B$8,2))</f>
        <v/>
      </c>
      <c r="L2774" s="16"/>
      <c r="M2774" s="8" t="str">
        <f t="shared" si="43"/>
        <v/>
      </c>
      <c r="N2774" s="9"/>
    </row>
    <row r="2775" spans="1:14" ht="15.75">
      <c r="A2775" s="11"/>
      <c r="B2775" s="9"/>
      <c r="C2775" s="12" t="str">
        <f>IF(B2775="","",IFERROR(INDEX('Cashier Roster'!$C$5:$C$64,MATCH(B2775,'Cashier Roster'!$B$5:$B$64,0)),"Not on roster"))</f>
        <v/>
      </c>
      <c r="D2775" s="12" t="str">
        <f>IF(B2775="","",IFERROR(INDEX('Cashier Roster'!$D$5:$D$64,MATCH(B2775,'Cashier Roster'!$B$5:$B$64,0)),""))</f>
        <v/>
      </c>
      <c r="E2775" s="13"/>
      <c r="F2775" s="14"/>
      <c r="G2775" s="8" t="str">
        <f>IF(OR(B2775="",E2775=""),"",IF(E2775="No","Missed",IF(F2775="","",IF(F2775&lt;=Settings!$B$7,"On time","Late"))))</f>
        <v/>
      </c>
      <c r="H2775" s="15"/>
      <c r="I2775" s="16"/>
      <c r="J2775" s="16"/>
      <c r="K2775" s="17" t="str">
        <f>IF(J2775="","",ROUND(J2775*Settings!$B$8,2))</f>
        <v/>
      </c>
      <c r="L2775" s="16"/>
      <c r="M2775" s="8" t="str">
        <f t="shared" si="43"/>
        <v/>
      </c>
      <c r="N2775" s="9"/>
    </row>
    <row r="2776" spans="1:14" ht="15.75">
      <c r="A2776" s="11"/>
      <c r="B2776" s="9"/>
      <c r="C2776" s="12" t="str">
        <f>IF(B2776="","",IFERROR(INDEX('Cashier Roster'!$C$5:$C$64,MATCH(B2776,'Cashier Roster'!$B$5:$B$64,0)),"Not on roster"))</f>
        <v/>
      </c>
      <c r="D2776" s="12" t="str">
        <f>IF(B2776="","",IFERROR(INDEX('Cashier Roster'!$D$5:$D$64,MATCH(B2776,'Cashier Roster'!$B$5:$B$64,0)),""))</f>
        <v/>
      </c>
      <c r="E2776" s="13"/>
      <c r="F2776" s="14"/>
      <c r="G2776" s="8" t="str">
        <f>IF(OR(B2776="",E2776=""),"",IF(E2776="No","Missed",IF(F2776="","",IF(F2776&lt;=Settings!$B$7,"On time","Late"))))</f>
        <v/>
      </c>
      <c r="H2776" s="15"/>
      <c r="I2776" s="16"/>
      <c r="J2776" s="16"/>
      <c r="K2776" s="17" t="str">
        <f>IF(J2776="","",ROUND(J2776*Settings!$B$8,2))</f>
        <v/>
      </c>
      <c r="L2776" s="16"/>
      <c r="M2776" s="8" t="str">
        <f t="shared" si="43"/>
        <v/>
      </c>
      <c r="N2776" s="9"/>
    </row>
    <row r="2777" spans="1:14" ht="15.75">
      <c r="A2777" s="11"/>
      <c r="B2777" s="9"/>
      <c r="C2777" s="12" t="str">
        <f>IF(B2777="","",IFERROR(INDEX('Cashier Roster'!$C$5:$C$64,MATCH(B2777,'Cashier Roster'!$B$5:$B$64,0)),"Not on roster"))</f>
        <v/>
      </c>
      <c r="D2777" s="12" t="str">
        <f>IF(B2777="","",IFERROR(INDEX('Cashier Roster'!$D$5:$D$64,MATCH(B2777,'Cashier Roster'!$B$5:$B$64,0)),""))</f>
        <v/>
      </c>
      <c r="E2777" s="13"/>
      <c r="F2777" s="14"/>
      <c r="G2777" s="8" t="str">
        <f>IF(OR(B2777="",E2777=""),"",IF(E2777="No","Missed",IF(F2777="","",IF(F2777&lt;=Settings!$B$7,"On time","Late"))))</f>
        <v/>
      </c>
      <c r="H2777" s="15"/>
      <c r="I2777" s="16"/>
      <c r="J2777" s="16"/>
      <c r="K2777" s="17" t="str">
        <f>IF(J2777="","",ROUND(J2777*Settings!$B$8,2))</f>
        <v/>
      </c>
      <c r="L2777" s="16"/>
      <c r="M2777" s="8" t="str">
        <f t="shared" si="43"/>
        <v/>
      </c>
      <c r="N2777" s="9"/>
    </row>
    <row r="2778" spans="1:14" ht="15.75">
      <c r="A2778" s="11"/>
      <c r="B2778" s="9"/>
      <c r="C2778" s="12" t="str">
        <f>IF(B2778="","",IFERROR(INDEX('Cashier Roster'!$C$5:$C$64,MATCH(B2778,'Cashier Roster'!$B$5:$B$64,0)),"Not on roster"))</f>
        <v/>
      </c>
      <c r="D2778" s="12" t="str">
        <f>IF(B2778="","",IFERROR(INDEX('Cashier Roster'!$D$5:$D$64,MATCH(B2778,'Cashier Roster'!$B$5:$B$64,0)),""))</f>
        <v/>
      </c>
      <c r="E2778" s="13"/>
      <c r="F2778" s="14"/>
      <c r="G2778" s="8" t="str">
        <f>IF(OR(B2778="",E2778=""),"",IF(E2778="No","Missed",IF(F2778="","",IF(F2778&lt;=Settings!$B$7,"On time","Late"))))</f>
        <v/>
      </c>
      <c r="H2778" s="15"/>
      <c r="I2778" s="16"/>
      <c r="J2778" s="16"/>
      <c r="K2778" s="17" t="str">
        <f>IF(J2778="","",ROUND(J2778*Settings!$B$8,2))</f>
        <v/>
      </c>
      <c r="L2778" s="16"/>
      <c r="M2778" s="8" t="str">
        <f t="shared" si="43"/>
        <v/>
      </c>
      <c r="N2778" s="9"/>
    </row>
    <row r="2779" spans="1:14" ht="15.75">
      <c r="A2779" s="11"/>
      <c r="B2779" s="9"/>
      <c r="C2779" s="12" t="str">
        <f>IF(B2779="","",IFERROR(INDEX('Cashier Roster'!$C$5:$C$64,MATCH(B2779,'Cashier Roster'!$B$5:$B$64,0)),"Not on roster"))</f>
        <v/>
      </c>
      <c r="D2779" s="12" t="str">
        <f>IF(B2779="","",IFERROR(INDEX('Cashier Roster'!$D$5:$D$64,MATCH(B2779,'Cashier Roster'!$B$5:$B$64,0)),""))</f>
        <v/>
      </c>
      <c r="E2779" s="13"/>
      <c r="F2779" s="14"/>
      <c r="G2779" s="8" t="str">
        <f>IF(OR(B2779="",E2779=""),"",IF(E2779="No","Missed",IF(F2779="","",IF(F2779&lt;=Settings!$B$7,"On time","Late"))))</f>
        <v/>
      </c>
      <c r="H2779" s="15"/>
      <c r="I2779" s="16"/>
      <c r="J2779" s="16"/>
      <c r="K2779" s="17" t="str">
        <f>IF(J2779="","",ROUND(J2779*Settings!$B$8,2))</f>
        <v/>
      </c>
      <c r="L2779" s="16"/>
      <c r="M2779" s="8" t="str">
        <f t="shared" si="43"/>
        <v/>
      </c>
      <c r="N2779" s="9"/>
    </row>
    <row r="2780" spans="1:14" ht="15.75">
      <c r="A2780" s="11"/>
      <c r="B2780" s="9"/>
      <c r="C2780" s="12" t="str">
        <f>IF(B2780="","",IFERROR(INDEX('Cashier Roster'!$C$5:$C$64,MATCH(B2780,'Cashier Roster'!$B$5:$B$64,0)),"Not on roster"))</f>
        <v/>
      </c>
      <c r="D2780" s="12" t="str">
        <f>IF(B2780="","",IFERROR(INDEX('Cashier Roster'!$D$5:$D$64,MATCH(B2780,'Cashier Roster'!$B$5:$B$64,0)),""))</f>
        <v/>
      </c>
      <c r="E2780" s="13"/>
      <c r="F2780" s="14"/>
      <c r="G2780" s="8" t="str">
        <f>IF(OR(B2780="",E2780=""),"",IF(E2780="No","Missed",IF(F2780="","",IF(F2780&lt;=Settings!$B$7,"On time","Late"))))</f>
        <v/>
      </c>
      <c r="H2780" s="15"/>
      <c r="I2780" s="16"/>
      <c r="J2780" s="16"/>
      <c r="K2780" s="17" t="str">
        <f>IF(J2780="","",ROUND(J2780*Settings!$B$8,2))</f>
        <v/>
      </c>
      <c r="L2780" s="16"/>
      <c r="M2780" s="8" t="str">
        <f t="shared" si="43"/>
        <v/>
      </c>
      <c r="N2780" s="9"/>
    </row>
    <row r="2781" spans="1:14" ht="15.75">
      <c r="A2781" s="11"/>
      <c r="B2781" s="9"/>
      <c r="C2781" s="12" t="str">
        <f>IF(B2781="","",IFERROR(INDEX('Cashier Roster'!$C$5:$C$64,MATCH(B2781,'Cashier Roster'!$B$5:$B$64,0)),"Not on roster"))</f>
        <v/>
      </c>
      <c r="D2781" s="12" t="str">
        <f>IF(B2781="","",IFERROR(INDEX('Cashier Roster'!$D$5:$D$64,MATCH(B2781,'Cashier Roster'!$B$5:$B$64,0)),""))</f>
        <v/>
      </c>
      <c r="E2781" s="13"/>
      <c r="F2781" s="14"/>
      <c r="G2781" s="8" t="str">
        <f>IF(OR(B2781="",E2781=""),"",IF(E2781="No","Missed",IF(F2781="","",IF(F2781&lt;=Settings!$B$7,"On time","Late"))))</f>
        <v/>
      </c>
      <c r="H2781" s="15"/>
      <c r="I2781" s="16"/>
      <c r="J2781" s="16"/>
      <c r="K2781" s="17" t="str">
        <f>IF(J2781="","",ROUND(J2781*Settings!$B$8,2))</f>
        <v/>
      </c>
      <c r="L2781" s="16"/>
      <c r="M2781" s="8" t="str">
        <f t="shared" si="43"/>
        <v/>
      </c>
      <c r="N2781" s="9"/>
    </row>
    <row r="2782" spans="1:14" ht="15.75">
      <c r="A2782" s="11"/>
      <c r="B2782" s="9"/>
      <c r="C2782" s="12" t="str">
        <f>IF(B2782="","",IFERROR(INDEX('Cashier Roster'!$C$5:$C$64,MATCH(B2782,'Cashier Roster'!$B$5:$B$64,0)),"Not on roster"))</f>
        <v/>
      </c>
      <c r="D2782" s="12" t="str">
        <f>IF(B2782="","",IFERROR(INDEX('Cashier Roster'!$D$5:$D$64,MATCH(B2782,'Cashier Roster'!$B$5:$B$64,0)),""))</f>
        <v/>
      </c>
      <c r="E2782" s="13"/>
      <c r="F2782" s="14"/>
      <c r="G2782" s="8" t="str">
        <f>IF(OR(B2782="",E2782=""),"",IF(E2782="No","Missed",IF(F2782="","",IF(F2782&lt;=Settings!$B$7,"On time","Late"))))</f>
        <v/>
      </c>
      <c r="H2782" s="15"/>
      <c r="I2782" s="16"/>
      <c r="J2782" s="16"/>
      <c r="K2782" s="17" t="str">
        <f>IF(J2782="","",ROUND(J2782*Settings!$B$8,2))</f>
        <v/>
      </c>
      <c r="L2782" s="16"/>
      <c r="M2782" s="8" t="str">
        <f t="shared" si="43"/>
        <v/>
      </c>
      <c r="N2782" s="9"/>
    </row>
    <row r="2783" spans="1:14" ht="15.75">
      <c r="A2783" s="11"/>
      <c r="B2783" s="9"/>
      <c r="C2783" s="12" t="str">
        <f>IF(B2783="","",IFERROR(INDEX('Cashier Roster'!$C$5:$C$64,MATCH(B2783,'Cashier Roster'!$B$5:$B$64,0)),"Not on roster"))</f>
        <v/>
      </c>
      <c r="D2783" s="12" t="str">
        <f>IF(B2783="","",IFERROR(INDEX('Cashier Roster'!$D$5:$D$64,MATCH(B2783,'Cashier Roster'!$B$5:$B$64,0)),""))</f>
        <v/>
      </c>
      <c r="E2783" s="13"/>
      <c r="F2783" s="14"/>
      <c r="G2783" s="8" t="str">
        <f>IF(OR(B2783="",E2783=""),"",IF(E2783="No","Missed",IF(F2783="","",IF(F2783&lt;=Settings!$B$7,"On time","Late"))))</f>
        <v/>
      </c>
      <c r="H2783" s="15"/>
      <c r="I2783" s="16"/>
      <c r="J2783" s="16"/>
      <c r="K2783" s="17" t="str">
        <f>IF(J2783="","",ROUND(J2783*Settings!$B$8,2))</f>
        <v/>
      </c>
      <c r="L2783" s="16"/>
      <c r="M2783" s="8" t="str">
        <f t="shared" si="43"/>
        <v/>
      </c>
      <c r="N2783" s="9"/>
    </row>
    <row r="2784" spans="1:14" ht="15.75">
      <c r="A2784" s="11"/>
      <c r="B2784" s="9"/>
      <c r="C2784" s="12" t="str">
        <f>IF(B2784="","",IFERROR(INDEX('Cashier Roster'!$C$5:$C$64,MATCH(B2784,'Cashier Roster'!$B$5:$B$64,0)),"Not on roster"))</f>
        <v/>
      </c>
      <c r="D2784" s="12" t="str">
        <f>IF(B2784="","",IFERROR(INDEX('Cashier Roster'!$D$5:$D$64,MATCH(B2784,'Cashier Roster'!$B$5:$B$64,0)),""))</f>
        <v/>
      </c>
      <c r="E2784" s="13"/>
      <c r="F2784" s="14"/>
      <c r="G2784" s="8" t="str">
        <f>IF(OR(B2784="",E2784=""),"",IF(E2784="No","Missed",IF(F2784="","",IF(F2784&lt;=Settings!$B$7,"On time","Late"))))</f>
        <v/>
      </c>
      <c r="H2784" s="15"/>
      <c r="I2784" s="16"/>
      <c r="J2784" s="16"/>
      <c r="K2784" s="17" t="str">
        <f>IF(J2784="","",ROUND(J2784*Settings!$B$8,2))</f>
        <v/>
      </c>
      <c r="L2784" s="16"/>
      <c r="M2784" s="8" t="str">
        <f t="shared" si="43"/>
        <v/>
      </c>
      <c r="N2784" s="9"/>
    </row>
    <row r="2785" spans="1:14" ht="15.75">
      <c r="A2785" s="11"/>
      <c r="B2785" s="9"/>
      <c r="C2785" s="12" t="str">
        <f>IF(B2785="","",IFERROR(INDEX('Cashier Roster'!$C$5:$C$64,MATCH(B2785,'Cashier Roster'!$B$5:$B$64,0)),"Not on roster"))</f>
        <v/>
      </c>
      <c r="D2785" s="12" t="str">
        <f>IF(B2785="","",IFERROR(INDEX('Cashier Roster'!$D$5:$D$64,MATCH(B2785,'Cashier Roster'!$B$5:$B$64,0)),""))</f>
        <v/>
      </c>
      <c r="E2785" s="13"/>
      <c r="F2785" s="14"/>
      <c r="G2785" s="8" t="str">
        <f>IF(OR(B2785="",E2785=""),"",IF(E2785="No","Missed",IF(F2785="","",IF(F2785&lt;=Settings!$B$7,"On time","Late"))))</f>
        <v/>
      </c>
      <c r="H2785" s="15"/>
      <c r="I2785" s="16"/>
      <c r="J2785" s="16"/>
      <c r="K2785" s="17" t="str">
        <f>IF(J2785="","",ROUND(J2785*Settings!$B$8,2))</f>
        <v/>
      </c>
      <c r="L2785" s="16"/>
      <c r="M2785" s="8" t="str">
        <f t="shared" si="43"/>
        <v/>
      </c>
      <c r="N2785" s="9"/>
    </row>
    <row r="2786" spans="1:14" ht="15.75">
      <c r="A2786" s="11"/>
      <c r="B2786" s="9"/>
      <c r="C2786" s="12" t="str">
        <f>IF(B2786="","",IFERROR(INDEX('Cashier Roster'!$C$5:$C$64,MATCH(B2786,'Cashier Roster'!$B$5:$B$64,0)),"Not on roster"))</f>
        <v/>
      </c>
      <c r="D2786" s="12" t="str">
        <f>IF(B2786="","",IFERROR(INDEX('Cashier Roster'!$D$5:$D$64,MATCH(B2786,'Cashier Roster'!$B$5:$B$64,0)),""))</f>
        <v/>
      </c>
      <c r="E2786" s="13"/>
      <c r="F2786" s="14"/>
      <c r="G2786" s="8" t="str">
        <f>IF(OR(B2786="",E2786=""),"",IF(E2786="No","Missed",IF(F2786="","",IF(F2786&lt;=Settings!$B$7,"On time","Late"))))</f>
        <v/>
      </c>
      <c r="H2786" s="15"/>
      <c r="I2786" s="16"/>
      <c r="J2786" s="16"/>
      <c r="K2786" s="17" t="str">
        <f>IF(J2786="","",ROUND(J2786*Settings!$B$8,2))</f>
        <v/>
      </c>
      <c r="L2786" s="16"/>
      <c r="M2786" s="8" t="str">
        <f t="shared" si="43"/>
        <v/>
      </c>
      <c r="N2786" s="9"/>
    </row>
    <row r="2787" spans="1:14" ht="15.75">
      <c r="A2787" s="11"/>
      <c r="B2787" s="9"/>
      <c r="C2787" s="12" t="str">
        <f>IF(B2787="","",IFERROR(INDEX('Cashier Roster'!$C$5:$C$64,MATCH(B2787,'Cashier Roster'!$B$5:$B$64,0)),"Not on roster"))</f>
        <v/>
      </c>
      <c r="D2787" s="12" t="str">
        <f>IF(B2787="","",IFERROR(INDEX('Cashier Roster'!$D$5:$D$64,MATCH(B2787,'Cashier Roster'!$B$5:$B$64,0)),""))</f>
        <v/>
      </c>
      <c r="E2787" s="13"/>
      <c r="F2787" s="14"/>
      <c r="G2787" s="8" t="str">
        <f>IF(OR(B2787="",E2787=""),"",IF(E2787="No","Missed",IF(F2787="","",IF(F2787&lt;=Settings!$B$7,"On time","Late"))))</f>
        <v/>
      </c>
      <c r="H2787" s="15"/>
      <c r="I2787" s="16"/>
      <c r="J2787" s="16"/>
      <c r="K2787" s="17" t="str">
        <f>IF(J2787="","",ROUND(J2787*Settings!$B$8,2))</f>
        <v/>
      </c>
      <c r="L2787" s="16"/>
      <c r="M2787" s="8" t="str">
        <f t="shared" si="43"/>
        <v/>
      </c>
      <c r="N2787" s="9"/>
    </row>
    <row r="2788" spans="1:14" ht="15.75">
      <c r="A2788" s="11"/>
      <c r="B2788" s="9"/>
      <c r="C2788" s="12" t="str">
        <f>IF(B2788="","",IFERROR(INDEX('Cashier Roster'!$C$5:$C$64,MATCH(B2788,'Cashier Roster'!$B$5:$B$64,0)),"Not on roster"))</f>
        <v/>
      </c>
      <c r="D2788" s="12" t="str">
        <f>IF(B2788="","",IFERROR(INDEX('Cashier Roster'!$D$5:$D$64,MATCH(B2788,'Cashier Roster'!$B$5:$B$64,0)),""))</f>
        <v/>
      </c>
      <c r="E2788" s="13"/>
      <c r="F2788" s="14"/>
      <c r="G2788" s="8" t="str">
        <f>IF(OR(B2788="",E2788=""),"",IF(E2788="No","Missed",IF(F2788="","",IF(F2788&lt;=Settings!$B$7,"On time","Late"))))</f>
        <v/>
      </c>
      <c r="H2788" s="15"/>
      <c r="I2788" s="16"/>
      <c r="J2788" s="16"/>
      <c r="K2788" s="17" t="str">
        <f>IF(J2788="","",ROUND(J2788*Settings!$B$8,2))</f>
        <v/>
      </c>
      <c r="L2788" s="16"/>
      <c r="M2788" s="8" t="str">
        <f t="shared" si="43"/>
        <v/>
      </c>
      <c r="N2788" s="9"/>
    </row>
    <row r="2789" spans="1:14" ht="15.75">
      <c r="A2789" s="11"/>
      <c r="B2789" s="9"/>
      <c r="C2789" s="12" t="str">
        <f>IF(B2789="","",IFERROR(INDEX('Cashier Roster'!$C$5:$C$64,MATCH(B2789,'Cashier Roster'!$B$5:$B$64,0)),"Not on roster"))</f>
        <v/>
      </c>
      <c r="D2789" s="12" t="str">
        <f>IF(B2789="","",IFERROR(INDEX('Cashier Roster'!$D$5:$D$64,MATCH(B2789,'Cashier Roster'!$B$5:$B$64,0)),""))</f>
        <v/>
      </c>
      <c r="E2789" s="13"/>
      <c r="F2789" s="14"/>
      <c r="G2789" s="8" t="str">
        <f>IF(OR(B2789="",E2789=""),"",IF(E2789="No","Missed",IF(F2789="","",IF(F2789&lt;=Settings!$B$7,"On time","Late"))))</f>
        <v/>
      </c>
      <c r="H2789" s="15"/>
      <c r="I2789" s="16"/>
      <c r="J2789" s="16"/>
      <c r="K2789" s="17" t="str">
        <f>IF(J2789="","",ROUND(J2789*Settings!$B$8,2))</f>
        <v/>
      </c>
      <c r="L2789" s="16"/>
      <c r="M2789" s="8" t="str">
        <f t="shared" si="43"/>
        <v/>
      </c>
      <c r="N2789" s="9"/>
    </row>
    <row r="2790" spans="1:14" ht="15.75">
      <c r="A2790" s="11"/>
      <c r="B2790" s="9"/>
      <c r="C2790" s="12" t="str">
        <f>IF(B2790="","",IFERROR(INDEX('Cashier Roster'!$C$5:$C$64,MATCH(B2790,'Cashier Roster'!$B$5:$B$64,0)),"Not on roster"))</f>
        <v/>
      </c>
      <c r="D2790" s="12" t="str">
        <f>IF(B2790="","",IFERROR(INDEX('Cashier Roster'!$D$5:$D$64,MATCH(B2790,'Cashier Roster'!$B$5:$B$64,0)),""))</f>
        <v/>
      </c>
      <c r="E2790" s="13"/>
      <c r="F2790" s="14"/>
      <c r="G2790" s="8" t="str">
        <f>IF(OR(B2790="",E2790=""),"",IF(E2790="No","Missed",IF(F2790="","",IF(F2790&lt;=Settings!$B$7,"On time","Late"))))</f>
        <v/>
      </c>
      <c r="H2790" s="15"/>
      <c r="I2790" s="16"/>
      <c r="J2790" s="16"/>
      <c r="K2790" s="17" t="str">
        <f>IF(J2790="","",ROUND(J2790*Settings!$B$8,2))</f>
        <v/>
      </c>
      <c r="L2790" s="16"/>
      <c r="M2790" s="8" t="str">
        <f t="shared" si="43"/>
        <v/>
      </c>
      <c r="N2790" s="9"/>
    </row>
    <row r="2791" spans="1:14" ht="15.75">
      <c r="A2791" s="11"/>
      <c r="B2791" s="9"/>
      <c r="C2791" s="12" t="str">
        <f>IF(B2791="","",IFERROR(INDEX('Cashier Roster'!$C$5:$C$64,MATCH(B2791,'Cashier Roster'!$B$5:$B$64,0)),"Not on roster"))</f>
        <v/>
      </c>
      <c r="D2791" s="12" t="str">
        <f>IF(B2791="","",IFERROR(INDEX('Cashier Roster'!$D$5:$D$64,MATCH(B2791,'Cashier Roster'!$B$5:$B$64,0)),""))</f>
        <v/>
      </c>
      <c r="E2791" s="13"/>
      <c r="F2791" s="14"/>
      <c r="G2791" s="8" t="str">
        <f>IF(OR(B2791="",E2791=""),"",IF(E2791="No","Missed",IF(F2791="","",IF(F2791&lt;=Settings!$B$7,"On time","Late"))))</f>
        <v/>
      </c>
      <c r="H2791" s="15"/>
      <c r="I2791" s="16"/>
      <c r="J2791" s="16"/>
      <c r="K2791" s="17" t="str">
        <f>IF(J2791="","",ROUND(J2791*Settings!$B$8,2))</f>
        <v/>
      </c>
      <c r="L2791" s="16"/>
      <c r="M2791" s="8" t="str">
        <f t="shared" si="43"/>
        <v/>
      </c>
      <c r="N2791" s="9"/>
    </row>
    <row r="2792" spans="1:14" ht="15.75">
      <c r="A2792" s="11"/>
      <c r="B2792" s="9"/>
      <c r="C2792" s="12" t="str">
        <f>IF(B2792="","",IFERROR(INDEX('Cashier Roster'!$C$5:$C$64,MATCH(B2792,'Cashier Roster'!$B$5:$B$64,0)),"Not on roster"))</f>
        <v/>
      </c>
      <c r="D2792" s="12" t="str">
        <f>IF(B2792="","",IFERROR(INDEX('Cashier Roster'!$D$5:$D$64,MATCH(B2792,'Cashier Roster'!$B$5:$B$64,0)),""))</f>
        <v/>
      </c>
      <c r="E2792" s="13"/>
      <c r="F2792" s="14"/>
      <c r="G2792" s="8" t="str">
        <f>IF(OR(B2792="",E2792=""),"",IF(E2792="No","Missed",IF(F2792="","",IF(F2792&lt;=Settings!$B$7,"On time","Late"))))</f>
        <v/>
      </c>
      <c r="H2792" s="15"/>
      <c r="I2792" s="16"/>
      <c r="J2792" s="16"/>
      <c r="K2792" s="17" t="str">
        <f>IF(J2792="","",ROUND(J2792*Settings!$B$8,2))</f>
        <v/>
      </c>
      <c r="L2792" s="16"/>
      <c r="M2792" s="8" t="str">
        <f t="shared" si="43"/>
        <v/>
      </c>
      <c r="N2792" s="9"/>
    </row>
    <row r="2793" spans="1:14" ht="15.75">
      <c r="A2793" s="11"/>
      <c r="B2793" s="9"/>
      <c r="C2793" s="12" t="str">
        <f>IF(B2793="","",IFERROR(INDEX('Cashier Roster'!$C$5:$C$64,MATCH(B2793,'Cashier Roster'!$B$5:$B$64,0)),"Not on roster"))</f>
        <v/>
      </c>
      <c r="D2793" s="12" t="str">
        <f>IF(B2793="","",IFERROR(INDEX('Cashier Roster'!$D$5:$D$64,MATCH(B2793,'Cashier Roster'!$B$5:$B$64,0)),""))</f>
        <v/>
      </c>
      <c r="E2793" s="13"/>
      <c r="F2793" s="14"/>
      <c r="G2793" s="8" t="str">
        <f>IF(OR(B2793="",E2793=""),"",IF(E2793="No","Missed",IF(F2793="","",IF(F2793&lt;=Settings!$B$7,"On time","Late"))))</f>
        <v/>
      </c>
      <c r="H2793" s="15"/>
      <c r="I2793" s="16"/>
      <c r="J2793" s="16"/>
      <c r="K2793" s="17" t="str">
        <f>IF(J2793="","",ROUND(J2793*Settings!$B$8,2))</f>
        <v/>
      </c>
      <c r="L2793" s="16"/>
      <c r="M2793" s="8" t="str">
        <f t="shared" si="43"/>
        <v/>
      </c>
      <c r="N2793" s="9"/>
    </row>
    <row r="2794" spans="1:14" ht="15.75">
      <c r="A2794" s="11"/>
      <c r="B2794" s="9"/>
      <c r="C2794" s="12" t="str">
        <f>IF(B2794="","",IFERROR(INDEX('Cashier Roster'!$C$5:$C$64,MATCH(B2794,'Cashier Roster'!$B$5:$B$64,0)),"Not on roster"))</f>
        <v/>
      </c>
      <c r="D2794" s="12" t="str">
        <f>IF(B2794="","",IFERROR(INDEX('Cashier Roster'!$D$5:$D$64,MATCH(B2794,'Cashier Roster'!$B$5:$B$64,0)),""))</f>
        <v/>
      </c>
      <c r="E2794" s="13"/>
      <c r="F2794" s="14"/>
      <c r="G2794" s="8" t="str">
        <f>IF(OR(B2794="",E2794=""),"",IF(E2794="No","Missed",IF(F2794="","",IF(F2794&lt;=Settings!$B$7,"On time","Late"))))</f>
        <v/>
      </c>
      <c r="H2794" s="15"/>
      <c r="I2794" s="16"/>
      <c r="J2794" s="16"/>
      <c r="K2794" s="17" t="str">
        <f>IF(J2794="","",ROUND(J2794*Settings!$B$8,2))</f>
        <v/>
      </c>
      <c r="L2794" s="16"/>
      <c r="M2794" s="8" t="str">
        <f t="shared" si="43"/>
        <v/>
      </c>
      <c r="N2794" s="9"/>
    </row>
    <row r="2795" spans="1:14" ht="15.75">
      <c r="A2795" s="11"/>
      <c r="B2795" s="9"/>
      <c r="C2795" s="12" t="str">
        <f>IF(B2795="","",IFERROR(INDEX('Cashier Roster'!$C$5:$C$64,MATCH(B2795,'Cashier Roster'!$B$5:$B$64,0)),"Not on roster"))</f>
        <v/>
      </c>
      <c r="D2795" s="12" t="str">
        <f>IF(B2795="","",IFERROR(INDEX('Cashier Roster'!$D$5:$D$64,MATCH(B2795,'Cashier Roster'!$B$5:$B$64,0)),""))</f>
        <v/>
      </c>
      <c r="E2795" s="13"/>
      <c r="F2795" s="14"/>
      <c r="G2795" s="8" t="str">
        <f>IF(OR(B2795="",E2795=""),"",IF(E2795="No","Missed",IF(F2795="","",IF(F2795&lt;=Settings!$B$7,"On time","Late"))))</f>
        <v/>
      </c>
      <c r="H2795" s="15"/>
      <c r="I2795" s="16"/>
      <c r="J2795" s="16"/>
      <c r="K2795" s="17" t="str">
        <f>IF(J2795="","",ROUND(J2795*Settings!$B$8,2))</f>
        <v/>
      </c>
      <c r="L2795" s="16"/>
      <c r="M2795" s="8" t="str">
        <f t="shared" si="43"/>
        <v/>
      </c>
      <c r="N2795" s="9"/>
    </row>
    <row r="2796" spans="1:14" ht="15.75">
      <c r="A2796" s="11"/>
      <c r="B2796" s="9"/>
      <c r="C2796" s="12" t="str">
        <f>IF(B2796="","",IFERROR(INDEX('Cashier Roster'!$C$5:$C$64,MATCH(B2796,'Cashier Roster'!$B$5:$B$64,0)),"Not on roster"))</f>
        <v/>
      </c>
      <c r="D2796" s="12" t="str">
        <f>IF(B2796="","",IFERROR(INDEX('Cashier Roster'!$D$5:$D$64,MATCH(B2796,'Cashier Roster'!$B$5:$B$64,0)),""))</f>
        <v/>
      </c>
      <c r="E2796" s="13"/>
      <c r="F2796" s="14"/>
      <c r="G2796" s="8" t="str">
        <f>IF(OR(B2796="",E2796=""),"",IF(E2796="No","Missed",IF(F2796="","",IF(F2796&lt;=Settings!$B$7,"On time","Late"))))</f>
        <v/>
      </c>
      <c r="H2796" s="15"/>
      <c r="I2796" s="16"/>
      <c r="J2796" s="16"/>
      <c r="K2796" s="17" t="str">
        <f>IF(J2796="","",ROUND(J2796*Settings!$B$8,2))</f>
        <v/>
      </c>
      <c r="L2796" s="16"/>
      <c r="M2796" s="8" t="str">
        <f t="shared" si="43"/>
        <v/>
      </c>
      <c r="N2796" s="9"/>
    </row>
    <row r="2797" spans="1:14" ht="15.75">
      <c r="A2797" s="11"/>
      <c r="B2797" s="9"/>
      <c r="C2797" s="12" t="str">
        <f>IF(B2797="","",IFERROR(INDEX('Cashier Roster'!$C$5:$C$64,MATCH(B2797,'Cashier Roster'!$B$5:$B$64,0)),"Not on roster"))</f>
        <v/>
      </c>
      <c r="D2797" s="12" t="str">
        <f>IF(B2797="","",IFERROR(INDEX('Cashier Roster'!$D$5:$D$64,MATCH(B2797,'Cashier Roster'!$B$5:$B$64,0)),""))</f>
        <v/>
      </c>
      <c r="E2797" s="13"/>
      <c r="F2797" s="14"/>
      <c r="G2797" s="8" t="str">
        <f>IF(OR(B2797="",E2797=""),"",IF(E2797="No","Missed",IF(F2797="","",IF(F2797&lt;=Settings!$B$7,"On time","Late"))))</f>
        <v/>
      </c>
      <c r="H2797" s="15"/>
      <c r="I2797" s="16"/>
      <c r="J2797" s="16"/>
      <c r="K2797" s="17" t="str">
        <f>IF(J2797="","",ROUND(J2797*Settings!$B$8,2))</f>
        <v/>
      </c>
      <c r="L2797" s="16"/>
      <c r="M2797" s="8" t="str">
        <f t="shared" si="43"/>
        <v/>
      </c>
      <c r="N2797" s="9"/>
    </row>
    <row r="2798" spans="1:14" ht="15.75">
      <c r="A2798" s="11"/>
      <c r="B2798" s="9"/>
      <c r="C2798" s="12" t="str">
        <f>IF(B2798="","",IFERROR(INDEX('Cashier Roster'!$C$5:$C$64,MATCH(B2798,'Cashier Roster'!$B$5:$B$64,0)),"Not on roster"))</f>
        <v/>
      </c>
      <c r="D2798" s="12" t="str">
        <f>IF(B2798="","",IFERROR(INDEX('Cashier Roster'!$D$5:$D$64,MATCH(B2798,'Cashier Roster'!$B$5:$B$64,0)),""))</f>
        <v/>
      </c>
      <c r="E2798" s="13"/>
      <c r="F2798" s="14"/>
      <c r="G2798" s="8" t="str">
        <f>IF(OR(B2798="",E2798=""),"",IF(E2798="No","Missed",IF(F2798="","",IF(F2798&lt;=Settings!$B$7,"On time","Late"))))</f>
        <v/>
      </c>
      <c r="H2798" s="15"/>
      <c r="I2798" s="16"/>
      <c r="J2798" s="16"/>
      <c r="K2798" s="17" t="str">
        <f>IF(J2798="","",ROUND(J2798*Settings!$B$8,2))</f>
        <v/>
      </c>
      <c r="L2798" s="16"/>
      <c r="M2798" s="8" t="str">
        <f t="shared" si="43"/>
        <v/>
      </c>
      <c r="N2798" s="9"/>
    </row>
    <row r="2799" spans="1:14" ht="15.75">
      <c r="A2799" s="11"/>
      <c r="B2799" s="9"/>
      <c r="C2799" s="12" t="str">
        <f>IF(B2799="","",IFERROR(INDEX('Cashier Roster'!$C$5:$C$64,MATCH(B2799,'Cashier Roster'!$B$5:$B$64,0)),"Not on roster"))</f>
        <v/>
      </c>
      <c r="D2799" s="12" t="str">
        <f>IF(B2799="","",IFERROR(INDEX('Cashier Roster'!$D$5:$D$64,MATCH(B2799,'Cashier Roster'!$B$5:$B$64,0)),""))</f>
        <v/>
      </c>
      <c r="E2799" s="13"/>
      <c r="F2799" s="14"/>
      <c r="G2799" s="8" t="str">
        <f>IF(OR(B2799="",E2799=""),"",IF(E2799="No","Missed",IF(F2799="","",IF(F2799&lt;=Settings!$B$7,"On time","Late"))))</f>
        <v/>
      </c>
      <c r="H2799" s="15"/>
      <c r="I2799" s="16"/>
      <c r="J2799" s="16"/>
      <c r="K2799" s="17" t="str">
        <f>IF(J2799="","",ROUND(J2799*Settings!$B$8,2))</f>
        <v/>
      </c>
      <c r="L2799" s="16"/>
      <c r="M2799" s="8" t="str">
        <f t="shared" si="43"/>
        <v/>
      </c>
      <c r="N2799" s="9"/>
    </row>
    <row r="2800" spans="1:14" ht="15.75">
      <c r="A2800" s="11"/>
      <c r="B2800" s="9"/>
      <c r="C2800" s="12" t="str">
        <f>IF(B2800="","",IFERROR(INDEX('Cashier Roster'!$C$5:$C$64,MATCH(B2800,'Cashier Roster'!$B$5:$B$64,0)),"Not on roster"))</f>
        <v/>
      </c>
      <c r="D2800" s="12" t="str">
        <f>IF(B2800="","",IFERROR(INDEX('Cashier Roster'!$D$5:$D$64,MATCH(B2800,'Cashier Roster'!$B$5:$B$64,0)),""))</f>
        <v/>
      </c>
      <c r="E2800" s="13"/>
      <c r="F2800" s="14"/>
      <c r="G2800" s="8" t="str">
        <f>IF(OR(B2800="",E2800=""),"",IF(E2800="No","Missed",IF(F2800="","",IF(F2800&lt;=Settings!$B$7,"On time","Late"))))</f>
        <v/>
      </c>
      <c r="H2800" s="15"/>
      <c r="I2800" s="16"/>
      <c r="J2800" s="16"/>
      <c r="K2800" s="17" t="str">
        <f>IF(J2800="","",ROUND(J2800*Settings!$B$8,2))</f>
        <v/>
      </c>
      <c r="L2800" s="16"/>
      <c r="M2800" s="8" t="str">
        <f t="shared" si="43"/>
        <v/>
      </c>
      <c r="N2800" s="9"/>
    </row>
    <row r="2801" spans="1:14" ht="15.75">
      <c r="A2801" s="11"/>
      <c r="B2801" s="9"/>
      <c r="C2801" s="12" t="str">
        <f>IF(B2801="","",IFERROR(INDEX('Cashier Roster'!$C$5:$C$64,MATCH(B2801,'Cashier Roster'!$B$5:$B$64,0)),"Not on roster"))</f>
        <v/>
      </c>
      <c r="D2801" s="12" t="str">
        <f>IF(B2801="","",IFERROR(INDEX('Cashier Roster'!$D$5:$D$64,MATCH(B2801,'Cashier Roster'!$B$5:$B$64,0)),""))</f>
        <v/>
      </c>
      <c r="E2801" s="13"/>
      <c r="F2801" s="14"/>
      <c r="G2801" s="8" t="str">
        <f>IF(OR(B2801="",E2801=""),"",IF(E2801="No","Missed",IF(F2801="","",IF(F2801&lt;=Settings!$B$7,"On time","Late"))))</f>
        <v/>
      </c>
      <c r="H2801" s="15"/>
      <c r="I2801" s="16"/>
      <c r="J2801" s="16"/>
      <c r="K2801" s="17" t="str">
        <f>IF(J2801="","",ROUND(J2801*Settings!$B$8,2))</f>
        <v/>
      </c>
      <c r="L2801" s="16"/>
      <c r="M2801" s="8" t="str">
        <f t="shared" si="43"/>
        <v/>
      </c>
      <c r="N2801" s="9"/>
    </row>
    <row r="2802" spans="1:14" ht="15.75">
      <c r="A2802" s="11"/>
      <c r="B2802" s="9"/>
      <c r="C2802" s="12" t="str">
        <f>IF(B2802="","",IFERROR(INDEX('Cashier Roster'!$C$5:$C$64,MATCH(B2802,'Cashier Roster'!$B$5:$B$64,0)),"Not on roster"))</f>
        <v/>
      </c>
      <c r="D2802" s="12" t="str">
        <f>IF(B2802="","",IFERROR(INDEX('Cashier Roster'!$D$5:$D$64,MATCH(B2802,'Cashier Roster'!$B$5:$B$64,0)),""))</f>
        <v/>
      </c>
      <c r="E2802" s="13"/>
      <c r="F2802" s="14"/>
      <c r="G2802" s="8" t="str">
        <f>IF(OR(B2802="",E2802=""),"",IF(E2802="No","Missed",IF(F2802="","",IF(F2802&lt;=Settings!$B$7,"On time","Late"))))</f>
        <v/>
      </c>
      <c r="H2802" s="15"/>
      <c r="I2802" s="16"/>
      <c r="J2802" s="16"/>
      <c r="K2802" s="17" t="str">
        <f>IF(J2802="","",ROUND(J2802*Settings!$B$8,2))</f>
        <v/>
      </c>
      <c r="L2802" s="16"/>
      <c r="M2802" s="8" t="str">
        <f t="shared" si="43"/>
        <v/>
      </c>
      <c r="N2802" s="9"/>
    </row>
    <row r="2803" spans="1:14" ht="15.75">
      <c r="A2803" s="11"/>
      <c r="B2803" s="9"/>
      <c r="C2803" s="12" t="str">
        <f>IF(B2803="","",IFERROR(INDEX('Cashier Roster'!$C$5:$C$64,MATCH(B2803,'Cashier Roster'!$B$5:$B$64,0)),"Not on roster"))</f>
        <v/>
      </c>
      <c r="D2803" s="12" t="str">
        <f>IF(B2803="","",IFERROR(INDEX('Cashier Roster'!$D$5:$D$64,MATCH(B2803,'Cashier Roster'!$B$5:$B$64,0)),""))</f>
        <v/>
      </c>
      <c r="E2803" s="13"/>
      <c r="F2803" s="14"/>
      <c r="G2803" s="8" t="str">
        <f>IF(OR(B2803="",E2803=""),"",IF(E2803="No","Missed",IF(F2803="","",IF(F2803&lt;=Settings!$B$7,"On time","Late"))))</f>
        <v/>
      </c>
      <c r="H2803" s="15"/>
      <c r="I2803" s="16"/>
      <c r="J2803" s="16"/>
      <c r="K2803" s="17" t="str">
        <f>IF(J2803="","",ROUND(J2803*Settings!$B$8,2))</f>
        <v/>
      </c>
      <c r="L2803" s="16"/>
      <c r="M2803" s="8" t="str">
        <f t="shared" si="43"/>
        <v/>
      </c>
      <c r="N2803" s="9"/>
    </row>
    <row r="2804" spans="1:14" ht="15.75">
      <c r="A2804" s="11"/>
      <c r="B2804" s="9"/>
      <c r="C2804" s="12" t="str">
        <f>IF(B2804="","",IFERROR(INDEX('Cashier Roster'!$C$5:$C$64,MATCH(B2804,'Cashier Roster'!$B$5:$B$64,0)),"Not on roster"))</f>
        <v/>
      </c>
      <c r="D2804" s="12" t="str">
        <f>IF(B2804="","",IFERROR(INDEX('Cashier Roster'!$D$5:$D$64,MATCH(B2804,'Cashier Roster'!$B$5:$B$64,0)),""))</f>
        <v/>
      </c>
      <c r="E2804" s="13"/>
      <c r="F2804" s="14"/>
      <c r="G2804" s="8" t="str">
        <f>IF(OR(B2804="",E2804=""),"",IF(E2804="No","Missed",IF(F2804="","",IF(F2804&lt;=Settings!$B$7,"On time","Late"))))</f>
        <v/>
      </c>
      <c r="H2804" s="15"/>
      <c r="I2804" s="16"/>
      <c r="J2804" s="16"/>
      <c r="K2804" s="17" t="str">
        <f>IF(J2804="","",ROUND(J2804*Settings!$B$8,2))</f>
        <v/>
      </c>
      <c r="L2804" s="16"/>
      <c r="M2804" s="8" t="str">
        <f t="shared" si="43"/>
        <v/>
      </c>
      <c r="N2804" s="9"/>
    </row>
    <row r="2805" spans="1:14" ht="15.75">
      <c r="A2805" s="11"/>
      <c r="B2805" s="9"/>
      <c r="C2805" s="12" t="str">
        <f>IF(B2805="","",IFERROR(INDEX('Cashier Roster'!$C$5:$C$64,MATCH(B2805,'Cashier Roster'!$B$5:$B$64,0)),"Not on roster"))</f>
        <v/>
      </c>
      <c r="D2805" s="12" t="str">
        <f>IF(B2805="","",IFERROR(INDEX('Cashier Roster'!$D$5:$D$64,MATCH(B2805,'Cashier Roster'!$B$5:$B$64,0)),""))</f>
        <v/>
      </c>
      <c r="E2805" s="13"/>
      <c r="F2805" s="14"/>
      <c r="G2805" s="8" t="str">
        <f>IF(OR(B2805="",E2805=""),"",IF(E2805="No","Missed",IF(F2805="","",IF(F2805&lt;=Settings!$B$7,"On time","Late"))))</f>
        <v/>
      </c>
      <c r="H2805" s="15"/>
      <c r="I2805" s="16"/>
      <c r="J2805" s="16"/>
      <c r="K2805" s="17" t="str">
        <f>IF(J2805="","",ROUND(J2805*Settings!$B$8,2))</f>
        <v/>
      </c>
      <c r="L2805" s="16"/>
      <c r="M2805" s="8" t="str">
        <f t="shared" si="43"/>
        <v/>
      </c>
      <c r="N2805" s="9"/>
    </row>
    <row r="2806" spans="1:14" ht="15.75">
      <c r="A2806" s="11"/>
      <c r="B2806" s="9"/>
      <c r="C2806" s="12" t="str">
        <f>IF(B2806="","",IFERROR(INDEX('Cashier Roster'!$C$5:$C$64,MATCH(B2806,'Cashier Roster'!$B$5:$B$64,0)),"Not on roster"))</f>
        <v/>
      </c>
      <c r="D2806" s="12" t="str">
        <f>IF(B2806="","",IFERROR(INDEX('Cashier Roster'!$D$5:$D$64,MATCH(B2806,'Cashier Roster'!$B$5:$B$64,0)),""))</f>
        <v/>
      </c>
      <c r="E2806" s="13"/>
      <c r="F2806" s="14"/>
      <c r="G2806" s="8" t="str">
        <f>IF(OR(B2806="",E2806=""),"",IF(E2806="No","Missed",IF(F2806="","",IF(F2806&lt;=Settings!$B$7,"On time","Late"))))</f>
        <v/>
      </c>
      <c r="H2806" s="15"/>
      <c r="I2806" s="16"/>
      <c r="J2806" s="16"/>
      <c r="K2806" s="17" t="str">
        <f>IF(J2806="","",ROUND(J2806*Settings!$B$8,2))</f>
        <v/>
      </c>
      <c r="L2806" s="16"/>
      <c r="M2806" s="8" t="str">
        <f t="shared" si="43"/>
        <v/>
      </c>
      <c r="N2806" s="9"/>
    </row>
    <row r="2807" spans="1:14" ht="15.75">
      <c r="A2807" s="11"/>
      <c r="B2807" s="9"/>
      <c r="C2807" s="12" t="str">
        <f>IF(B2807="","",IFERROR(INDEX('Cashier Roster'!$C$5:$C$64,MATCH(B2807,'Cashier Roster'!$B$5:$B$64,0)),"Not on roster"))</f>
        <v/>
      </c>
      <c r="D2807" s="12" t="str">
        <f>IF(B2807="","",IFERROR(INDEX('Cashier Roster'!$D$5:$D$64,MATCH(B2807,'Cashier Roster'!$B$5:$B$64,0)),""))</f>
        <v/>
      </c>
      <c r="E2807" s="13"/>
      <c r="F2807" s="14"/>
      <c r="G2807" s="8" t="str">
        <f>IF(OR(B2807="",E2807=""),"",IF(E2807="No","Missed",IF(F2807="","",IF(F2807&lt;=Settings!$B$7,"On time","Late"))))</f>
        <v/>
      </c>
      <c r="H2807" s="15"/>
      <c r="I2807" s="16"/>
      <c r="J2807" s="16"/>
      <c r="K2807" s="17" t="str">
        <f>IF(J2807="","",ROUND(J2807*Settings!$B$8,2))</f>
        <v/>
      </c>
      <c r="L2807" s="16"/>
      <c r="M2807" s="8" t="str">
        <f t="shared" si="43"/>
        <v/>
      </c>
      <c r="N2807" s="9"/>
    </row>
    <row r="2808" spans="1:14" ht="15.75">
      <c r="A2808" s="11"/>
      <c r="B2808" s="9"/>
      <c r="C2808" s="12" t="str">
        <f>IF(B2808="","",IFERROR(INDEX('Cashier Roster'!$C$5:$C$64,MATCH(B2808,'Cashier Roster'!$B$5:$B$64,0)),"Not on roster"))</f>
        <v/>
      </c>
      <c r="D2808" s="12" t="str">
        <f>IF(B2808="","",IFERROR(INDEX('Cashier Roster'!$D$5:$D$64,MATCH(B2808,'Cashier Roster'!$B$5:$B$64,0)),""))</f>
        <v/>
      </c>
      <c r="E2808" s="13"/>
      <c r="F2808" s="14"/>
      <c r="G2808" s="8" t="str">
        <f>IF(OR(B2808="",E2808=""),"",IF(E2808="No","Missed",IF(F2808="","",IF(F2808&lt;=Settings!$B$7,"On time","Late"))))</f>
        <v/>
      </c>
      <c r="H2808" s="15"/>
      <c r="I2808" s="16"/>
      <c r="J2808" s="16"/>
      <c r="K2808" s="17" t="str">
        <f>IF(J2808="","",ROUND(J2808*Settings!$B$8,2))</f>
        <v/>
      </c>
      <c r="L2808" s="16"/>
      <c r="M2808" s="8" t="str">
        <f t="shared" si="43"/>
        <v/>
      </c>
      <c r="N2808" s="9"/>
    </row>
    <row r="2809" spans="1:14" ht="15.75">
      <c r="A2809" s="11"/>
      <c r="B2809" s="9"/>
      <c r="C2809" s="12" t="str">
        <f>IF(B2809="","",IFERROR(INDEX('Cashier Roster'!$C$5:$C$64,MATCH(B2809,'Cashier Roster'!$B$5:$B$64,0)),"Not on roster"))</f>
        <v/>
      </c>
      <c r="D2809" s="12" t="str">
        <f>IF(B2809="","",IFERROR(INDEX('Cashier Roster'!$D$5:$D$64,MATCH(B2809,'Cashier Roster'!$B$5:$B$64,0)),""))</f>
        <v/>
      </c>
      <c r="E2809" s="13"/>
      <c r="F2809" s="14"/>
      <c r="G2809" s="8" t="str">
        <f>IF(OR(B2809="",E2809=""),"",IF(E2809="No","Missed",IF(F2809="","",IF(F2809&lt;=Settings!$B$7,"On time","Late"))))</f>
        <v/>
      </c>
      <c r="H2809" s="15"/>
      <c r="I2809" s="16"/>
      <c r="J2809" s="16"/>
      <c r="K2809" s="17" t="str">
        <f>IF(J2809="","",ROUND(J2809*Settings!$B$8,2))</f>
        <v/>
      </c>
      <c r="L2809" s="16"/>
      <c r="M2809" s="8" t="str">
        <f t="shared" si="43"/>
        <v/>
      </c>
      <c r="N2809" s="9"/>
    </row>
    <row r="2810" spans="1:14" ht="15.75">
      <c r="A2810" s="11"/>
      <c r="B2810" s="9"/>
      <c r="C2810" s="12" t="str">
        <f>IF(B2810="","",IFERROR(INDEX('Cashier Roster'!$C$5:$C$64,MATCH(B2810,'Cashier Roster'!$B$5:$B$64,0)),"Not on roster"))</f>
        <v/>
      </c>
      <c r="D2810" s="12" t="str">
        <f>IF(B2810="","",IFERROR(INDEX('Cashier Roster'!$D$5:$D$64,MATCH(B2810,'Cashier Roster'!$B$5:$B$64,0)),""))</f>
        <v/>
      </c>
      <c r="E2810" s="13"/>
      <c r="F2810" s="14"/>
      <c r="G2810" s="8" t="str">
        <f>IF(OR(B2810="",E2810=""),"",IF(E2810="No","Missed",IF(F2810="","",IF(F2810&lt;=Settings!$B$7,"On time","Late"))))</f>
        <v/>
      </c>
      <c r="H2810" s="15"/>
      <c r="I2810" s="16"/>
      <c r="J2810" s="16"/>
      <c r="K2810" s="17" t="str">
        <f>IF(J2810="","",ROUND(J2810*Settings!$B$8,2))</f>
        <v/>
      </c>
      <c r="L2810" s="16"/>
      <c r="M2810" s="8" t="str">
        <f t="shared" si="43"/>
        <v/>
      </c>
      <c r="N2810" s="9"/>
    </row>
    <row r="2811" spans="1:14" ht="15.75">
      <c r="A2811" s="11"/>
      <c r="B2811" s="9"/>
      <c r="C2811" s="12" t="str">
        <f>IF(B2811="","",IFERROR(INDEX('Cashier Roster'!$C$5:$C$64,MATCH(B2811,'Cashier Roster'!$B$5:$B$64,0)),"Not on roster"))</f>
        <v/>
      </c>
      <c r="D2811" s="12" t="str">
        <f>IF(B2811="","",IFERROR(INDEX('Cashier Roster'!$D$5:$D$64,MATCH(B2811,'Cashier Roster'!$B$5:$B$64,0)),""))</f>
        <v/>
      </c>
      <c r="E2811" s="13"/>
      <c r="F2811" s="14"/>
      <c r="G2811" s="8" t="str">
        <f>IF(OR(B2811="",E2811=""),"",IF(E2811="No","Missed",IF(F2811="","",IF(F2811&lt;=Settings!$B$7,"On time","Late"))))</f>
        <v/>
      </c>
      <c r="H2811" s="15"/>
      <c r="I2811" s="16"/>
      <c r="J2811" s="16"/>
      <c r="K2811" s="17" t="str">
        <f>IF(J2811="","",ROUND(J2811*Settings!$B$8,2))</f>
        <v/>
      </c>
      <c r="L2811" s="16"/>
      <c r="M2811" s="8" t="str">
        <f t="shared" si="43"/>
        <v/>
      </c>
      <c r="N2811" s="9"/>
    </row>
    <row r="2812" spans="1:14" ht="15.75">
      <c r="A2812" s="11"/>
      <c r="B2812" s="9"/>
      <c r="C2812" s="12" t="str">
        <f>IF(B2812="","",IFERROR(INDEX('Cashier Roster'!$C$5:$C$64,MATCH(B2812,'Cashier Roster'!$B$5:$B$64,0)),"Not on roster"))</f>
        <v/>
      </c>
      <c r="D2812" s="12" t="str">
        <f>IF(B2812="","",IFERROR(INDEX('Cashier Roster'!$D$5:$D$64,MATCH(B2812,'Cashier Roster'!$B$5:$B$64,0)),""))</f>
        <v/>
      </c>
      <c r="E2812" s="13"/>
      <c r="F2812" s="14"/>
      <c r="G2812" s="8" t="str">
        <f>IF(OR(B2812="",E2812=""),"",IF(E2812="No","Missed",IF(F2812="","",IF(F2812&lt;=Settings!$B$7,"On time","Late"))))</f>
        <v/>
      </c>
      <c r="H2812" s="15"/>
      <c r="I2812" s="16"/>
      <c r="J2812" s="16"/>
      <c r="K2812" s="17" t="str">
        <f>IF(J2812="","",ROUND(J2812*Settings!$B$8,2))</f>
        <v/>
      </c>
      <c r="L2812" s="16"/>
      <c r="M2812" s="8" t="str">
        <f t="shared" si="43"/>
        <v/>
      </c>
      <c r="N2812" s="9"/>
    </row>
    <row r="2813" spans="1:14" ht="15.75">
      <c r="A2813" s="11"/>
      <c r="B2813" s="9"/>
      <c r="C2813" s="12" t="str">
        <f>IF(B2813="","",IFERROR(INDEX('Cashier Roster'!$C$5:$C$64,MATCH(B2813,'Cashier Roster'!$B$5:$B$64,0)),"Not on roster"))</f>
        <v/>
      </c>
      <c r="D2813" s="12" t="str">
        <f>IF(B2813="","",IFERROR(INDEX('Cashier Roster'!$D$5:$D$64,MATCH(B2813,'Cashier Roster'!$B$5:$B$64,0)),""))</f>
        <v/>
      </c>
      <c r="E2813" s="13"/>
      <c r="F2813" s="14"/>
      <c r="G2813" s="8" t="str">
        <f>IF(OR(B2813="",E2813=""),"",IF(E2813="No","Missed",IF(F2813="","",IF(F2813&lt;=Settings!$B$7,"On time","Late"))))</f>
        <v/>
      </c>
      <c r="H2813" s="15"/>
      <c r="I2813" s="16"/>
      <c r="J2813" s="16"/>
      <c r="K2813" s="17" t="str">
        <f>IF(J2813="","",ROUND(J2813*Settings!$B$8,2))</f>
        <v/>
      </c>
      <c r="L2813" s="16"/>
      <c r="M2813" s="8" t="str">
        <f t="shared" si="43"/>
        <v/>
      </c>
      <c r="N2813" s="9"/>
    </row>
    <row r="2814" spans="1:14" ht="15.75">
      <c r="A2814" s="11"/>
      <c r="B2814" s="9"/>
      <c r="C2814" s="12" t="str">
        <f>IF(B2814="","",IFERROR(INDEX('Cashier Roster'!$C$5:$C$64,MATCH(B2814,'Cashier Roster'!$B$5:$B$64,0)),"Not on roster"))</f>
        <v/>
      </c>
      <c r="D2814" s="12" t="str">
        <f>IF(B2814="","",IFERROR(INDEX('Cashier Roster'!$D$5:$D$64,MATCH(B2814,'Cashier Roster'!$B$5:$B$64,0)),""))</f>
        <v/>
      </c>
      <c r="E2814" s="13"/>
      <c r="F2814" s="14"/>
      <c r="G2814" s="8" t="str">
        <f>IF(OR(B2814="",E2814=""),"",IF(E2814="No","Missed",IF(F2814="","",IF(F2814&lt;=Settings!$B$7,"On time","Late"))))</f>
        <v/>
      </c>
      <c r="H2814" s="15"/>
      <c r="I2814" s="16"/>
      <c r="J2814" s="16"/>
      <c r="K2814" s="17" t="str">
        <f>IF(J2814="","",ROUND(J2814*Settings!$B$8,2))</f>
        <v/>
      </c>
      <c r="L2814" s="16"/>
      <c r="M2814" s="8" t="str">
        <f t="shared" si="43"/>
        <v/>
      </c>
      <c r="N2814" s="9"/>
    </row>
    <row r="2815" spans="1:14" ht="15.75">
      <c r="A2815" s="11"/>
      <c r="B2815" s="9"/>
      <c r="C2815" s="12" t="str">
        <f>IF(B2815="","",IFERROR(INDEX('Cashier Roster'!$C$5:$C$64,MATCH(B2815,'Cashier Roster'!$B$5:$B$64,0)),"Not on roster"))</f>
        <v/>
      </c>
      <c r="D2815" s="12" t="str">
        <f>IF(B2815="","",IFERROR(INDEX('Cashier Roster'!$D$5:$D$64,MATCH(B2815,'Cashier Roster'!$B$5:$B$64,0)),""))</f>
        <v/>
      </c>
      <c r="E2815" s="13"/>
      <c r="F2815" s="14"/>
      <c r="G2815" s="8" t="str">
        <f>IF(OR(B2815="",E2815=""),"",IF(E2815="No","Missed",IF(F2815="","",IF(F2815&lt;=Settings!$B$7,"On time","Late"))))</f>
        <v/>
      </c>
      <c r="H2815" s="15"/>
      <c r="I2815" s="16"/>
      <c r="J2815" s="16"/>
      <c r="K2815" s="17" t="str">
        <f>IF(J2815="","",ROUND(J2815*Settings!$B$8,2))</f>
        <v/>
      </c>
      <c r="L2815" s="16"/>
      <c r="M2815" s="8" t="str">
        <f t="shared" si="43"/>
        <v/>
      </c>
      <c r="N2815" s="9"/>
    </row>
    <row r="2816" spans="1:14" ht="15.75">
      <c r="A2816" s="11"/>
      <c r="B2816" s="9"/>
      <c r="C2816" s="12" t="str">
        <f>IF(B2816="","",IFERROR(INDEX('Cashier Roster'!$C$5:$C$64,MATCH(B2816,'Cashier Roster'!$B$5:$B$64,0)),"Not on roster"))</f>
        <v/>
      </c>
      <c r="D2816" s="12" t="str">
        <f>IF(B2816="","",IFERROR(INDEX('Cashier Roster'!$D$5:$D$64,MATCH(B2816,'Cashier Roster'!$B$5:$B$64,0)),""))</f>
        <v/>
      </c>
      <c r="E2816" s="13"/>
      <c r="F2816" s="14"/>
      <c r="G2816" s="8" t="str">
        <f>IF(OR(B2816="",E2816=""),"",IF(E2816="No","Missed",IF(F2816="","",IF(F2816&lt;=Settings!$B$7,"On time","Late"))))</f>
        <v/>
      </c>
      <c r="H2816" s="15"/>
      <c r="I2816" s="16"/>
      <c r="J2816" s="16"/>
      <c r="K2816" s="17" t="str">
        <f>IF(J2816="","",ROUND(J2816*Settings!$B$8,2))</f>
        <v/>
      </c>
      <c r="L2816" s="16"/>
      <c r="M2816" s="8" t="str">
        <f t="shared" si="43"/>
        <v/>
      </c>
      <c r="N2816" s="9"/>
    </row>
    <row r="2817" spans="1:14" ht="15.75">
      <c r="A2817" s="11"/>
      <c r="B2817" s="9"/>
      <c r="C2817" s="12" t="str">
        <f>IF(B2817="","",IFERROR(INDEX('Cashier Roster'!$C$5:$C$64,MATCH(B2817,'Cashier Roster'!$B$5:$B$64,0)),"Not on roster"))</f>
        <v/>
      </c>
      <c r="D2817" s="12" t="str">
        <f>IF(B2817="","",IFERROR(INDEX('Cashier Roster'!$D$5:$D$64,MATCH(B2817,'Cashier Roster'!$B$5:$B$64,0)),""))</f>
        <v/>
      </c>
      <c r="E2817" s="13"/>
      <c r="F2817" s="14"/>
      <c r="G2817" s="8" t="str">
        <f>IF(OR(B2817="",E2817=""),"",IF(E2817="No","Missed",IF(F2817="","",IF(F2817&lt;=Settings!$B$7,"On time","Late"))))</f>
        <v/>
      </c>
      <c r="H2817" s="15"/>
      <c r="I2817" s="16"/>
      <c r="J2817" s="16"/>
      <c r="K2817" s="17" t="str">
        <f>IF(J2817="","",ROUND(J2817*Settings!$B$8,2))</f>
        <v/>
      </c>
      <c r="L2817" s="16"/>
      <c r="M2817" s="8" t="str">
        <f t="shared" si="43"/>
        <v/>
      </c>
      <c r="N2817" s="9"/>
    </row>
    <row r="2818" spans="1:14" ht="15.75">
      <c r="A2818" s="11"/>
      <c r="B2818" s="9"/>
      <c r="C2818" s="12" t="str">
        <f>IF(B2818="","",IFERROR(INDEX('Cashier Roster'!$C$5:$C$64,MATCH(B2818,'Cashier Roster'!$B$5:$B$64,0)),"Not on roster"))</f>
        <v/>
      </c>
      <c r="D2818" s="12" t="str">
        <f>IF(B2818="","",IFERROR(INDEX('Cashier Roster'!$D$5:$D$64,MATCH(B2818,'Cashier Roster'!$B$5:$B$64,0)),""))</f>
        <v/>
      </c>
      <c r="E2818" s="13"/>
      <c r="F2818" s="14"/>
      <c r="G2818" s="8" t="str">
        <f>IF(OR(B2818="",E2818=""),"",IF(E2818="No","Missed",IF(F2818="","",IF(F2818&lt;=Settings!$B$7,"On time","Late"))))</f>
        <v/>
      </c>
      <c r="H2818" s="15"/>
      <c r="I2818" s="16"/>
      <c r="J2818" s="16"/>
      <c r="K2818" s="17" t="str">
        <f>IF(J2818="","",ROUND(J2818*Settings!$B$8,2))</f>
        <v/>
      </c>
      <c r="L2818" s="16"/>
      <c r="M2818" s="8" t="str">
        <f t="shared" si="43"/>
        <v/>
      </c>
      <c r="N2818" s="9"/>
    </row>
    <row r="2819" spans="1:14" ht="15.75">
      <c r="A2819" s="11"/>
      <c r="B2819" s="9"/>
      <c r="C2819" s="12" t="str">
        <f>IF(B2819="","",IFERROR(INDEX('Cashier Roster'!$C$5:$C$64,MATCH(B2819,'Cashier Roster'!$B$5:$B$64,0)),"Not on roster"))</f>
        <v/>
      </c>
      <c r="D2819" s="12" t="str">
        <f>IF(B2819="","",IFERROR(INDEX('Cashier Roster'!$D$5:$D$64,MATCH(B2819,'Cashier Roster'!$B$5:$B$64,0)),""))</f>
        <v/>
      </c>
      <c r="E2819" s="13"/>
      <c r="F2819" s="14"/>
      <c r="G2819" s="8" t="str">
        <f>IF(OR(B2819="",E2819=""),"",IF(E2819="No","Missed",IF(F2819="","",IF(F2819&lt;=Settings!$B$7,"On time","Late"))))</f>
        <v/>
      </c>
      <c r="H2819" s="15"/>
      <c r="I2819" s="16"/>
      <c r="J2819" s="16"/>
      <c r="K2819" s="17" t="str">
        <f>IF(J2819="","",ROUND(J2819*Settings!$B$8,2))</f>
        <v/>
      </c>
      <c r="L2819" s="16"/>
      <c r="M2819" s="8" t="str">
        <f t="shared" si="43"/>
        <v/>
      </c>
      <c r="N2819" s="9"/>
    </row>
    <row r="2820" spans="1:14" ht="15.75">
      <c r="A2820" s="11"/>
      <c r="B2820" s="9"/>
      <c r="C2820" s="12" t="str">
        <f>IF(B2820="","",IFERROR(INDEX('Cashier Roster'!$C$5:$C$64,MATCH(B2820,'Cashier Roster'!$B$5:$B$64,0)),"Not on roster"))</f>
        <v/>
      </c>
      <c r="D2820" s="12" t="str">
        <f>IF(B2820="","",IFERROR(INDEX('Cashier Roster'!$D$5:$D$64,MATCH(B2820,'Cashier Roster'!$B$5:$B$64,0)),""))</f>
        <v/>
      </c>
      <c r="E2820" s="13"/>
      <c r="F2820" s="14"/>
      <c r="G2820" s="8" t="str">
        <f>IF(OR(B2820="",E2820=""),"",IF(E2820="No","Missed",IF(F2820="","",IF(F2820&lt;=Settings!$B$7,"On time","Late"))))</f>
        <v/>
      </c>
      <c r="H2820" s="15"/>
      <c r="I2820" s="16"/>
      <c r="J2820" s="16"/>
      <c r="K2820" s="17" t="str">
        <f>IF(J2820="","",ROUND(J2820*Settings!$B$8,2))</f>
        <v/>
      </c>
      <c r="L2820" s="16"/>
      <c r="M2820" s="8" t="str">
        <f t="shared" si="43"/>
        <v/>
      </c>
      <c r="N2820" s="9"/>
    </row>
    <row r="2821" spans="1:14" ht="15.75">
      <c r="A2821" s="11"/>
      <c r="B2821" s="9"/>
      <c r="C2821" s="12" t="str">
        <f>IF(B2821="","",IFERROR(INDEX('Cashier Roster'!$C$5:$C$64,MATCH(B2821,'Cashier Roster'!$B$5:$B$64,0)),"Not on roster"))</f>
        <v/>
      </c>
      <c r="D2821" s="12" t="str">
        <f>IF(B2821="","",IFERROR(INDEX('Cashier Roster'!$D$5:$D$64,MATCH(B2821,'Cashier Roster'!$B$5:$B$64,0)),""))</f>
        <v/>
      </c>
      <c r="E2821" s="13"/>
      <c r="F2821" s="14"/>
      <c r="G2821" s="8" t="str">
        <f>IF(OR(B2821="",E2821=""),"",IF(E2821="No","Missed",IF(F2821="","",IF(F2821&lt;=Settings!$B$7,"On time","Late"))))</f>
        <v/>
      </c>
      <c r="H2821" s="15"/>
      <c r="I2821" s="16"/>
      <c r="J2821" s="16"/>
      <c r="K2821" s="17" t="str">
        <f>IF(J2821="","",ROUND(J2821*Settings!$B$8,2))</f>
        <v/>
      </c>
      <c r="L2821" s="16"/>
      <c r="M2821" s="8" t="str">
        <f t="shared" ref="M2821:M2884" si="44">IF(L2821="","",IF(L2821&lt;=0,"Yes","No"))</f>
        <v/>
      </c>
      <c r="N2821" s="9"/>
    </row>
    <row r="2822" spans="1:14" ht="15.75">
      <c r="A2822" s="11"/>
      <c r="B2822" s="9"/>
      <c r="C2822" s="12" t="str">
        <f>IF(B2822="","",IFERROR(INDEX('Cashier Roster'!$C$5:$C$64,MATCH(B2822,'Cashier Roster'!$B$5:$B$64,0)),"Not on roster"))</f>
        <v/>
      </c>
      <c r="D2822" s="12" t="str">
        <f>IF(B2822="","",IFERROR(INDEX('Cashier Roster'!$D$5:$D$64,MATCH(B2822,'Cashier Roster'!$B$5:$B$64,0)),""))</f>
        <v/>
      </c>
      <c r="E2822" s="13"/>
      <c r="F2822" s="14"/>
      <c r="G2822" s="8" t="str">
        <f>IF(OR(B2822="",E2822=""),"",IF(E2822="No","Missed",IF(F2822="","",IF(F2822&lt;=Settings!$B$7,"On time","Late"))))</f>
        <v/>
      </c>
      <c r="H2822" s="15"/>
      <c r="I2822" s="16"/>
      <c r="J2822" s="16"/>
      <c r="K2822" s="17" t="str">
        <f>IF(J2822="","",ROUND(J2822*Settings!$B$8,2))</f>
        <v/>
      </c>
      <c r="L2822" s="16"/>
      <c r="M2822" s="8" t="str">
        <f t="shared" si="44"/>
        <v/>
      </c>
      <c r="N2822" s="9"/>
    </row>
    <row r="2823" spans="1:14" ht="15.75">
      <c r="A2823" s="11"/>
      <c r="B2823" s="9"/>
      <c r="C2823" s="12" t="str">
        <f>IF(B2823="","",IFERROR(INDEX('Cashier Roster'!$C$5:$C$64,MATCH(B2823,'Cashier Roster'!$B$5:$B$64,0)),"Not on roster"))</f>
        <v/>
      </c>
      <c r="D2823" s="12" t="str">
        <f>IF(B2823="","",IFERROR(INDEX('Cashier Roster'!$D$5:$D$64,MATCH(B2823,'Cashier Roster'!$B$5:$B$64,0)),""))</f>
        <v/>
      </c>
      <c r="E2823" s="13"/>
      <c r="F2823" s="14"/>
      <c r="G2823" s="8" t="str">
        <f>IF(OR(B2823="",E2823=""),"",IF(E2823="No","Missed",IF(F2823="","",IF(F2823&lt;=Settings!$B$7,"On time","Late"))))</f>
        <v/>
      </c>
      <c r="H2823" s="15"/>
      <c r="I2823" s="16"/>
      <c r="J2823" s="16"/>
      <c r="K2823" s="17" t="str">
        <f>IF(J2823="","",ROUND(J2823*Settings!$B$8,2))</f>
        <v/>
      </c>
      <c r="L2823" s="16"/>
      <c r="M2823" s="8" t="str">
        <f t="shared" si="44"/>
        <v/>
      </c>
      <c r="N2823" s="9"/>
    </row>
    <row r="2824" spans="1:14" ht="15.75">
      <c r="A2824" s="11"/>
      <c r="B2824" s="9"/>
      <c r="C2824" s="12" t="str">
        <f>IF(B2824="","",IFERROR(INDEX('Cashier Roster'!$C$5:$C$64,MATCH(B2824,'Cashier Roster'!$B$5:$B$64,0)),"Not on roster"))</f>
        <v/>
      </c>
      <c r="D2824" s="12" t="str">
        <f>IF(B2824="","",IFERROR(INDEX('Cashier Roster'!$D$5:$D$64,MATCH(B2824,'Cashier Roster'!$B$5:$B$64,0)),""))</f>
        <v/>
      </c>
      <c r="E2824" s="13"/>
      <c r="F2824" s="14"/>
      <c r="G2824" s="8" t="str">
        <f>IF(OR(B2824="",E2824=""),"",IF(E2824="No","Missed",IF(F2824="","",IF(F2824&lt;=Settings!$B$7,"On time","Late"))))</f>
        <v/>
      </c>
      <c r="H2824" s="15"/>
      <c r="I2824" s="16"/>
      <c r="J2824" s="16"/>
      <c r="K2824" s="17" t="str">
        <f>IF(J2824="","",ROUND(J2824*Settings!$B$8,2))</f>
        <v/>
      </c>
      <c r="L2824" s="16"/>
      <c r="M2824" s="8" t="str">
        <f t="shared" si="44"/>
        <v/>
      </c>
      <c r="N2824" s="9"/>
    </row>
    <row r="2825" spans="1:14" ht="15.75">
      <c r="A2825" s="11"/>
      <c r="B2825" s="9"/>
      <c r="C2825" s="12" t="str">
        <f>IF(B2825="","",IFERROR(INDEX('Cashier Roster'!$C$5:$C$64,MATCH(B2825,'Cashier Roster'!$B$5:$B$64,0)),"Not on roster"))</f>
        <v/>
      </c>
      <c r="D2825" s="12" t="str">
        <f>IF(B2825="","",IFERROR(INDEX('Cashier Roster'!$D$5:$D$64,MATCH(B2825,'Cashier Roster'!$B$5:$B$64,0)),""))</f>
        <v/>
      </c>
      <c r="E2825" s="13"/>
      <c r="F2825" s="14"/>
      <c r="G2825" s="8" t="str">
        <f>IF(OR(B2825="",E2825=""),"",IF(E2825="No","Missed",IF(F2825="","",IF(F2825&lt;=Settings!$B$7,"On time","Late"))))</f>
        <v/>
      </c>
      <c r="H2825" s="15"/>
      <c r="I2825" s="16"/>
      <c r="J2825" s="16"/>
      <c r="K2825" s="17" t="str">
        <f>IF(J2825="","",ROUND(J2825*Settings!$B$8,2))</f>
        <v/>
      </c>
      <c r="L2825" s="16"/>
      <c r="M2825" s="8" t="str">
        <f t="shared" si="44"/>
        <v/>
      </c>
      <c r="N2825" s="9"/>
    </row>
    <row r="2826" spans="1:14" ht="15.75">
      <c r="A2826" s="11"/>
      <c r="B2826" s="9"/>
      <c r="C2826" s="12" t="str">
        <f>IF(B2826="","",IFERROR(INDEX('Cashier Roster'!$C$5:$C$64,MATCH(B2826,'Cashier Roster'!$B$5:$B$64,0)),"Not on roster"))</f>
        <v/>
      </c>
      <c r="D2826" s="12" t="str">
        <f>IF(B2826="","",IFERROR(INDEX('Cashier Roster'!$D$5:$D$64,MATCH(B2826,'Cashier Roster'!$B$5:$B$64,0)),""))</f>
        <v/>
      </c>
      <c r="E2826" s="13"/>
      <c r="F2826" s="14"/>
      <c r="G2826" s="8" t="str">
        <f>IF(OR(B2826="",E2826=""),"",IF(E2826="No","Missed",IF(F2826="","",IF(F2826&lt;=Settings!$B$7,"On time","Late"))))</f>
        <v/>
      </c>
      <c r="H2826" s="15"/>
      <c r="I2826" s="16"/>
      <c r="J2826" s="16"/>
      <c r="K2826" s="17" t="str">
        <f>IF(J2826="","",ROUND(J2826*Settings!$B$8,2))</f>
        <v/>
      </c>
      <c r="L2826" s="16"/>
      <c r="M2826" s="8" t="str">
        <f t="shared" si="44"/>
        <v/>
      </c>
      <c r="N2826" s="9"/>
    </row>
    <row r="2827" spans="1:14" ht="15.75">
      <c r="A2827" s="11"/>
      <c r="B2827" s="9"/>
      <c r="C2827" s="12" t="str">
        <f>IF(B2827="","",IFERROR(INDEX('Cashier Roster'!$C$5:$C$64,MATCH(B2827,'Cashier Roster'!$B$5:$B$64,0)),"Not on roster"))</f>
        <v/>
      </c>
      <c r="D2827" s="12" t="str">
        <f>IF(B2827="","",IFERROR(INDEX('Cashier Roster'!$D$5:$D$64,MATCH(B2827,'Cashier Roster'!$B$5:$B$64,0)),""))</f>
        <v/>
      </c>
      <c r="E2827" s="13"/>
      <c r="F2827" s="14"/>
      <c r="G2827" s="8" t="str">
        <f>IF(OR(B2827="",E2827=""),"",IF(E2827="No","Missed",IF(F2827="","",IF(F2827&lt;=Settings!$B$7,"On time","Late"))))</f>
        <v/>
      </c>
      <c r="H2827" s="15"/>
      <c r="I2827" s="16"/>
      <c r="J2827" s="16"/>
      <c r="K2827" s="17" t="str">
        <f>IF(J2827="","",ROUND(J2827*Settings!$B$8,2))</f>
        <v/>
      </c>
      <c r="L2827" s="16"/>
      <c r="M2827" s="8" t="str">
        <f t="shared" si="44"/>
        <v/>
      </c>
      <c r="N2827" s="9"/>
    </row>
    <row r="2828" spans="1:14" ht="15.75">
      <c r="A2828" s="11"/>
      <c r="B2828" s="9"/>
      <c r="C2828" s="12" t="str">
        <f>IF(B2828="","",IFERROR(INDEX('Cashier Roster'!$C$5:$C$64,MATCH(B2828,'Cashier Roster'!$B$5:$B$64,0)),"Not on roster"))</f>
        <v/>
      </c>
      <c r="D2828" s="12" t="str">
        <f>IF(B2828="","",IFERROR(INDEX('Cashier Roster'!$D$5:$D$64,MATCH(B2828,'Cashier Roster'!$B$5:$B$64,0)),""))</f>
        <v/>
      </c>
      <c r="E2828" s="13"/>
      <c r="F2828" s="14"/>
      <c r="G2828" s="8" t="str">
        <f>IF(OR(B2828="",E2828=""),"",IF(E2828="No","Missed",IF(F2828="","",IF(F2828&lt;=Settings!$B$7,"On time","Late"))))</f>
        <v/>
      </c>
      <c r="H2828" s="15"/>
      <c r="I2828" s="16"/>
      <c r="J2828" s="16"/>
      <c r="K2828" s="17" t="str">
        <f>IF(J2828="","",ROUND(J2828*Settings!$B$8,2))</f>
        <v/>
      </c>
      <c r="L2828" s="16"/>
      <c r="M2828" s="8" t="str">
        <f t="shared" si="44"/>
        <v/>
      </c>
      <c r="N2828" s="9"/>
    </row>
    <row r="2829" spans="1:14" ht="15.75">
      <c r="A2829" s="11"/>
      <c r="B2829" s="9"/>
      <c r="C2829" s="12" t="str">
        <f>IF(B2829="","",IFERROR(INDEX('Cashier Roster'!$C$5:$C$64,MATCH(B2829,'Cashier Roster'!$B$5:$B$64,0)),"Not on roster"))</f>
        <v/>
      </c>
      <c r="D2829" s="12" t="str">
        <f>IF(B2829="","",IFERROR(INDEX('Cashier Roster'!$D$5:$D$64,MATCH(B2829,'Cashier Roster'!$B$5:$B$64,0)),""))</f>
        <v/>
      </c>
      <c r="E2829" s="13"/>
      <c r="F2829" s="14"/>
      <c r="G2829" s="8" t="str">
        <f>IF(OR(B2829="",E2829=""),"",IF(E2829="No","Missed",IF(F2829="","",IF(F2829&lt;=Settings!$B$7,"On time","Late"))))</f>
        <v/>
      </c>
      <c r="H2829" s="15"/>
      <c r="I2829" s="16"/>
      <c r="J2829" s="16"/>
      <c r="K2829" s="17" t="str">
        <f>IF(J2829="","",ROUND(J2829*Settings!$B$8,2))</f>
        <v/>
      </c>
      <c r="L2829" s="16"/>
      <c r="M2829" s="8" t="str">
        <f t="shared" si="44"/>
        <v/>
      </c>
      <c r="N2829" s="9"/>
    </row>
    <row r="2830" spans="1:14" ht="15.75">
      <c r="A2830" s="11"/>
      <c r="B2830" s="9"/>
      <c r="C2830" s="12" t="str">
        <f>IF(B2830="","",IFERROR(INDEX('Cashier Roster'!$C$5:$C$64,MATCH(B2830,'Cashier Roster'!$B$5:$B$64,0)),"Not on roster"))</f>
        <v/>
      </c>
      <c r="D2830" s="12" t="str">
        <f>IF(B2830="","",IFERROR(INDEX('Cashier Roster'!$D$5:$D$64,MATCH(B2830,'Cashier Roster'!$B$5:$B$64,0)),""))</f>
        <v/>
      </c>
      <c r="E2830" s="13"/>
      <c r="F2830" s="14"/>
      <c r="G2830" s="8" t="str">
        <f>IF(OR(B2830="",E2830=""),"",IF(E2830="No","Missed",IF(F2830="","",IF(F2830&lt;=Settings!$B$7,"On time","Late"))))</f>
        <v/>
      </c>
      <c r="H2830" s="15"/>
      <c r="I2830" s="16"/>
      <c r="J2830" s="16"/>
      <c r="K2830" s="17" t="str">
        <f>IF(J2830="","",ROUND(J2830*Settings!$B$8,2))</f>
        <v/>
      </c>
      <c r="L2830" s="16"/>
      <c r="M2830" s="8" t="str">
        <f t="shared" si="44"/>
        <v/>
      </c>
      <c r="N2830" s="9"/>
    </row>
    <row r="2831" spans="1:14" ht="15.75">
      <c r="A2831" s="11"/>
      <c r="B2831" s="9"/>
      <c r="C2831" s="12" t="str">
        <f>IF(B2831="","",IFERROR(INDEX('Cashier Roster'!$C$5:$C$64,MATCH(B2831,'Cashier Roster'!$B$5:$B$64,0)),"Not on roster"))</f>
        <v/>
      </c>
      <c r="D2831" s="12" t="str">
        <f>IF(B2831="","",IFERROR(INDEX('Cashier Roster'!$D$5:$D$64,MATCH(B2831,'Cashier Roster'!$B$5:$B$64,0)),""))</f>
        <v/>
      </c>
      <c r="E2831" s="13"/>
      <c r="F2831" s="14"/>
      <c r="G2831" s="8" t="str">
        <f>IF(OR(B2831="",E2831=""),"",IF(E2831="No","Missed",IF(F2831="","",IF(F2831&lt;=Settings!$B$7,"On time","Late"))))</f>
        <v/>
      </c>
      <c r="H2831" s="15"/>
      <c r="I2831" s="16"/>
      <c r="J2831" s="16"/>
      <c r="K2831" s="17" t="str">
        <f>IF(J2831="","",ROUND(J2831*Settings!$B$8,2))</f>
        <v/>
      </c>
      <c r="L2831" s="16"/>
      <c r="M2831" s="8" t="str">
        <f t="shared" si="44"/>
        <v/>
      </c>
      <c r="N2831" s="9"/>
    </row>
    <row r="2832" spans="1:14" ht="15.75">
      <c r="A2832" s="11"/>
      <c r="B2832" s="9"/>
      <c r="C2832" s="12" t="str">
        <f>IF(B2832="","",IFERROR(INDEX('Cashier Roster'!$C$5:$C$64,MATCH(B2832,'Cashier Roster'!$B$5:$B$64,0)),"Not on roster"))</f>
        <v/>
      </c>
      <c r="D2832" s="12" t="str">
        <f>IF(B2832="","",IFERROR(INDEX('Cashier Roster'!$D$5:$D$64,MATCH(B2832,'Cashier Roster'!$B$5:$B$64,0)),""))</f>
        <v/>
      </c>
      <c r="E2832" s="13"/>
      <c r="F2832" s="14"/>
      <c r="G2832" s="8" t="str">
        <f>IF(OR(B2832="",E2832=""),"",IF(E2832="No","Missed",IF(F2832="","",IF(F2832&lt;=Settings!$B$7,"On time","Late"))))</f>
        <v/>
      </c>
      <c r="H2832" s="15"/>
      <c r="I2832" s="16"/>
      <c r="J2832" s="16"/>
      <c r="K2832" s="17" t="str">
        <f>IF(J2832="","",ROUND(J2832*Settings!$B$8,2))</f>
        <v/>
      </c>
      <c r="L2832" s="16"/>
      <c r="M2832" s="8" t="str">
        <f t="shared" si="44"/>
        <v/>
      </c>
      <c r="N2832" s="9"/>
    </row>
    <row r="2833" spans="1:14" ht="15.75">
      <c r="A2833" s="11"/>
      <c r="B2833" s="9"/>
      <c r="C2833" s="12" t="str">
        <f>IF(B2833="","",IFERROR(INDEX('Cashier Roster'!$C$5:$C$64,MATCH(B2833,'Cashier Roster'!$B$5:$B$64,0)),"Not on roster"))</f>
        <v/>
      </c>
      <c r="D2833" s="12" t="str">
        <f>IF(B2833="","",IFERROR(INDEX('Cashier Roster'!$D$5:$D$64,MATCH(B2833,'Cashier Roster'!$B$5:$B$64,0)),""))</f>
        <v/>
      </c>
      <c r="E2833" s="13"/>
      <c r="F2833" s="14"/>
      <c r="G2833" s="8" t="str">
        <f>IF(OR(B2833="",E2833=""),"",IF(E2833="No","Missed",IF(F2833="","",IF(F2833&lt;=Settings!$B$7,"On time","Late"))))</f>
        <v/>
      </c>
      <c r="H2833" s="15"/>
      <c r="I2833" s="16"/>
      <c r="J2833" s="16"/>
      <c r="K2833" s="17" t="str">
        <f>IF(J2833="","",ROUND(J2833*Settings!$B$8,2))</f>
        <v/>
      </c>
      <c r="L2833" s="16"/>
      <c r="M2833" s="8" t="str">
        <f t="shared" si="44"/>
        <v/>
      </c>
      <c r="N2833" s="9"/>
    </row>
    <row r="2834" spans="1:14" ht="15.75">
      <c r="A2834" s="11"/>
      <c r="B2834" s="9"/>
      <c r="C2834" s="12" t="str">
        <f>IF(B2834="","",IFERROR(INDEX('Cashier Roster'!$C$5:$C$64,MATCH(B2834,'Cashier Roster'!$B$5:$B$64,0)),"Not on roster"))</f>
        <v/>
      </c>
      <c r="D2834" s="12" t="str">
        <f>IF(B2834="","",IFERROR(INDEX('Cashier Roster'!$D$5:$D$64,MATCH(B2834,'Cashier Roster'!$B$5:$B$64,0)),""))</f>
        <v/>
      </c>
      <c r="E2834" s="13"/>
      <c r="F2834" s="14"/>
      <c r="G2834" s="8" t="str">
        <f>IF(OR(B2834="",E2834=""),"",IF(E2834="No","Missed",IF(F2834="","",IF(F2834&lt;=Settings!$B$7,"On time","Late"))))</f>
        <v/>
      </c>
      <c r="H2834" s="15"/>
      <c r="I2834" s="16"/>
      <c r="J2834" s="16"/>
      <c r="K2834" s="17" t="str">
        <f>IF(J2834="","",ROUND(J2834*Settings!$B$8,2))</f>
        <v/>
      </c>
      <c r="L2834" s="16"/>
      <c r="M2834" s="8" t="str">
        <f t="shared" si="44"/>
        <v/>
      </c>
      <c r="N2834" s="9"/>
    </row>
    <row r="2835" spans="1:14" ht="15.75">
      <c r="A2835" s="11"/>
      <c r="B2835" s="9"/>
      <c r="C2835" s="12" t="str">
        <f>IF(B2835="","",IFERROR(INDEX('Cashier Roster'!$C$5:$C$64,MATCH(B2835,'Cashier Roster'!$B$5:$B$64,0)),"Not on roster"))</f>
        <v/>
      </c>
      <c r="D2835" s="12" t="str">
        <f>IF(B2835="","",IFERROR(INDEX('Cashier Roster'!$D$5:$D$64,MATCH(B2835,'Cashier Roster'!$B$5:$B$64,0)),""))</f>
        <v/>
      </c>
      <c r="E2835" s="13"/>
      <c r="F2835" s="14"/>
      <c r="G2835" s="8" t="str">
        <f>IF(OR(B2835="",E2835=""),"",IF(E2835="No","Missed",IF(F2835="","",IF(F2835&lt;=Settings!$B$7,"On time","Late"))))</f>
        <v/>
      </c>
      <c r="H2835" s="15"/>
      <c r="I2835" s="16"/>
      <c r="J2835" s="16"/>
      <c r="K2835" s="17" t="str">
        <f>IF(J2835="","",ROUND(J2835*Settings!$B$8,2))</f>
        <v/>
      </c>
      <c r="L2835" s="16"/>
      <c r="M2835" s="8" t="str">
        <f t="shared" si="44"/>
        <v/>
      </c>
      <c r="N2835" s="9"/>
    </row>
    <row r="2836" spans="1:14" ht="15.75">
      <c r="A2836" s="11"/>
      <c r="B2836" s="9"/>
      <c r="C2836" s="12" t="str">
        <f>IF(B2836="","",IFERROR(INDEX('Cashier Roster'!$C$5:$C$64,MATCH(B2836,'Cashier Roster'!$B$5:$B$64,0)),"Not on roster"))</f>
        <v/>
      </c>
      <c r="D2836" s="12" t="str">
        <f>IF(B2836="","",IFERROR(INDEX('Cashier Roster'!$D$5:$D$64,MATCH(B2836,'Cashier Roster'!$B$5:$B$64,0)),""))</f>
        <v/>
      </c>
      <c r="E2836" s="13"/>
      <c r="F2836" s="14"/>
      <c r="G2836" s="8" t="str">
        <f>IF(OR(B2836="",E2836=""),"",IF(E2836="No","Missed",IF(F2836="","",IF(F2836&lt;=Settings!$B$7,"On time","Late"))))</f>
        <v/>
      </c>
      <c r="H2836" s="15"/>
      <c r="I2836" s="16"/>
      <c r="J2836" s="16"/>
      <c r="K2836" s="17" t="str">
        <f>IF(J2836="","",ROUND(J2836*Settings!$B$8,2))</f>
        <v/>
      </c>
      <c r="L2836" s="16"/>
      <c r="M2836" s="8" t="str">
        <f t="shared" si="44"/>
        <v/>
      </c>
      <c r="N2836" s="9"/>
    </row>
    <row r="2837" spans="1:14" ht="15.75">
      <c r="A2837" s="11"/>
      <c r="B2837" s="9"/>
      <c r="C2837" s="12" t="str">
        <f>IF(B2837="","",IFERROR(INDEX('Cashier Roster'!$C$5:$C$64,MATCH(B2837,'Cashier Roster'!$B$5:$B$64,0)),"Not on roster"))</f>
        <v/>
      </c>
      <c r="D2837" s="12" t="str">
        <f>IF(B2837="","",IFERROR(INDEX('Cashier Roster'!$D$5:$D$64,MATCH(B2837,'Cashier Roster'!$B$5:$B$64,0)),""))</f>
        <v/>
      </c>
      <c r="E2837" s="13"/>
      <c r="F2837" s="14"/>
      <c r="G2837" s="8" t="str">
        <f>IF(OR(B2837="",E2837=""),"",IF(E2837="No","Missed",IF(F2837="","",IF(F2837&lt;=Settings!$B$7,"On time","Late"))))</f>
        <v/>
      </c>
      <c r="H2837" s="15"/>
      <c r="I2837" s="16"/>
      <c r="J2837" s="16"/>
      <c r="K2837" s="17" t="str">
        <f>IF(J2837="","",ROUND(J2837*Settings!$B$8,2))</f>
        <v/>
      </c>
      <c r="L2837" s="16"/>
      <c r="M2837" s="8" t="str">
        <f t="shared" si="44"/>
        <v/>
      </c>
      <c r="N2837" s="9"/>
    </row>
    <row r="2838" spans="1:14" ht="15.75">
      <c r="A2838" s="11"/>
      <c r="B2838" s="9"/>
      <c r="C2838" s="12" t="str">
        <f>IF(B2838="","",IFERROR(INDEX('Cashier Roster'!$C$5:$C$64,MATCH(B2838,'Cashier Roster'!$B$5:$B$64,0)),"Not on roster"))</f>
        <v/>
      </c>
      <c r="D2838" s="12" t="str">
        <f>IF(B2838="","",IFERROR(INDEX('Cashier Roster'!$D$5:$D$64,MATCH(B2838,'Cashier Roster'!$B$5:$B$64,0)),""))</f>
        <v/>
      </c>
      <c r="E2838" s="13"/>
      <c r="F2838" s="14"/>
      <c r="G2838" s="8" t="str">
        <f>IF(OR(B2838="",E2838=""),"",IF(E2838="No","Missed",IF(F2838="","",IF(F2838&lt;=Settings!$B$7,"On time","Late"))))</f>
        <v/>
      </c>
      <c r="H2838" s="15"/>
      <c r="I2838" s="16"/>
      <c r="J2838" s="16"/>
      <c r="K2838" s="17" t="str">
        <f>IF(J2838="","",ROUND(J2838*Settings!$B$8,2))</f>
        <v/>
      </c>
      <c r="L2838" s="16"/>
      <c r="M2838" s="8" t="str">
        <f t="shared" si="44"/>
        <v/>
      </c>
      <c r="N2838" s="9"/>
    </row>
    <row r="2839" spans="1:14" ht="15.75">
      <c r="A2839" s="11"/>
      <c r="B2839" s="9"/>
      <c r="C2839" s="12" t="str">
        <f>IF(B2839="","",IFERROR(INDEX('Cashier Roster'!$C$5:$C$64,MATCH(B2839,'Cashier Roster'!$B$5:$B$64,0)),"Not on roster"))</f>
        <v/>
      </c>
      <c r="D2839" s="12" t="str">
        <f>IF(B2839="","",IFERROR(INDEX('Cashier Roster'!$D$5:$D$64,MATCH(B2839,'Cashier Roster'!$B$5:$B$64,0)),""))</f>
        <v/>
      </c>
      <c r="E2839" s="13"/>
      <c r="F2839" s="14"/>
      <c r="G2839" s="8" t="str">
        <f>IF(OR(B2839="",E2839=""),"",IF(E2839="No","Missed",IF(F2839="","",IF(F2839&lt;=Settings!$B$7,"On time","Late"))))</f>
        <v/>
      </c>
      <c r="H2839" s="15"/>
      <c r="I2839" s="16"/>
      <c r="J2839" s="16"/>
      <c r="K2839" s="17" t="str">
        <f>IF(J2839="","",ROUND(J2839*Settings!$B$8,2))</f>
        <v/>
      </c>
      <c r="L2839" s="16"/>
      <c r="M2839" s="8" t="str">
        <f t="shared" si="44"/>
        <v/>
      </c>
      <c r="N2839" s="9"/>
    </row>
    <row r="2840" spans="1:14" ht="15.75">
      <c r="A2840" s="11"/>
      <c r="B2840" s="9"/>
      <c r="C2840" s="12" t="str">
        <f>IF(B2840="","",IFERROR(INDEX('Cashier Roster'!$C$5:$C$64,MATCH(B2840,'Cashier Roster'!$B$5:$B$64,0)),"Not on roster"))</f>
        <v/>
      </c>
      <c r="D2840" s="12" t="str">
        <f>IF(B2840="","",IFERROR(INDEX('Cashier Roster'!$D$5:$D$64,MATCH(B2840,'Cashier Roster'!$B$5:$B$64,0)),""))</f>
        <v/>
      </c>
      <c r="E2840" s="13"/>
      <c r="F2840" s="14"/>
      <c r="G2840" s="8" t="str">
        <f>IF(OR(B2840="",E2840=""),"",IF(E2840="No","Missed",IF(F2840="","",IF(F2840&lt;=Settings!$B$7,"On time","Late"))))</f>
        <v/>
      </c>
      <c r="H2840" s="15"/>
      <c r="I2840" s="16"/>
      <c r="J2840" s="16"/>
      <c r="K2840" s="17" t="str">
        <f>IF(J2840="","",ROUND(J2840*Settings!$B$8,2))</f>
        <v/>
      </c>
      <c r="L2840" s="16"/>
      <c r="M2840" s="8" t="str">
        <f t="shared" si="44"/>
        <v/>
      </c>
      <c r="N2840" s="9"/>
    </row>
    <row r="2841" spans="1:14" ht="15.75">
      <c r="A2841" s="11"/>
      <c r="B2841" s="9"/>
      <c r="C2841" s="12" t="str">
        <f>IF(B2841="","",IFERROR(INDEX('Cashier Roster'!$C$5:$C$64,MATCH(B2841,'Cashier Roster'!$B$5:$B$64,0)),"Not on roster"))</f>
        <v/>
      </c>
      <c r="D2841" s="12" t="str">
        <f>IF(B2841="","",IFERROR(INDEX('Cashier Roster'!$D$5:$D$64,MATCH(B2841,'Cashier Roster'!$B$5:$B$64,0)),""))</f>
        <v/>
      </c>
      <c r="E2841" s="13"/>
      <c r="F2841" s="14"/>
      <c r="G2841" s="8" t="str">
        <f>IF(OR(B2841="",E2841=""),"",IF(E2841="No","Missed",IF(F2841="","",IF(F2841&lt;=Settings!$B$7,"On time","Late"))))</f>
        <v/>
      </c>
      <c r="H2841" s="15"/>
      <c r="I2841" s="16"/>
      <c r="J2841" s="16"/>
      <c r="K2841" s="17" t="str">
        <f>IF(J2841="","",ROUND(J2841*Settings!$B$8,2))</f>
        <v/>
      </c>
      <c r="L2841" s="16"/>
      <c r="M2841" s="8" t="str">
        <f t="shared" si="44"/>
        <v/>
      </c>
      <c r="N2841" s="9"/>
    </row>
    <row r="2842" spans="1:14" ht="15.75">
      <c r="A2842" s="11"/>
      <c r="B2842" s="9"/>
      <c r="C2842" s="12" t="str">
        <f>IF(B2842="","",IFERROR(INDEX('Cashier Roster'!$C$5:$C$64,MATCH(B2842,'Cashier Roster'!$B$5:$B$64,0)),"Not on roster"))</f>
        <v/>
      </c>
      <c r="D2842" s="12" t="str">
        <f>IF(B2842="","",IFERROR(INDEX('Cashier Roster'!$D$5:$D$64,MATCH(B2842,'Cashier Roster'!$B$5:$B$64,0)),""))</f>
        <v/>
      </c>
      <c r="E2842" s="13"/>
      <c r="F2842" s="14"/>
      <c r="G2842" s="8" t="str">
        <f>IF(OR(B2842="",E2842=""),"",IF(E2842="No","Missed",IF(F2842="","",IF(F2842&lt;=Settings!$B$7,"On time","Late"))))</f>
        <v/>
      </c>
      <c r="H2842" s="15"/>
      <c r="I2842" s="16"/>
      <c r="J2842" s="16"/>
      <c r="K2842" s="17" t="str">
        <f>IF(J2842="","",ROUND(J2842*Settings!$B$8,2))</f>
        <v/>
      </c>
      <c r="L2842" s="16"/>
      <c r="M2842" s="8" t="str">
        <f t="shared" si="44"/>
        <v/>
      </c>
      <c r="N2842" s="9"/>
    </row>
    <row r="2843" spans="1:14" ht="15.75">
      <c r="A2843" s="11"/>
      <c r="B2843" s="9"/>
      <c r="C2843" s="12" t="str">
        <f>IF(B2843="","",IFERROR(INDEX('Cashier Roster'!$C$5:$C$64,MATCH(B2843,'Cashier Roster'!$B$5:$B$64,0)),"Not on roster"))</f>
        <v/>
      </c>
      <c r="D2843" s="12" t="str">
        <f>IF(B2843="","",IFERROR(INDEX('Cashier Roster'!$D$5:$D$64,MATCH(B2843,'Cashier Roster'!$B$5:$B$64,0)),""))</f>
        <v/>
      </c>
      <c r="E2843" s="13"/>
      <c r="F2843" s="14"/>
      <c r="G2843" s="8" t="str">
        <f>IF(OR(B2843="",E2843=""),"",IF(E2843="No","Missed",IF(F2843="","",IF(F2843&lt;=Settings!$B$7,"On time","Late"))))</f>
        <v/>
      </c>
      <c r="H2843" s="15"/>
      <c r="I2843" s="16"/>
      <c r="J2843" s="16"/>
      <c r="K2843" s="17" t="str">
        <f>IF(J2843="","",ROUND(J2843*Settings!$B$8,2))</f>
        <v/>
      </c>
      <c r="L2843" s="16"/>
      <c r="M2843" s="8" t="str">
        <f t="shared" si="44"/>
        <v/>
      </c>
      <c r="N2843" s="9"/>
    </row>
    <row r="2844" spans="1:14" ht="15.75">
      <c r="A2844" s="11"/>
      <c r="B2844" s="9"/>
      <c r="C2844" s="12" t="str">
        <f>IF(B2844="","",IFERROR(INDEX('Cashier Roster'!$C$5:$C$64,MATCH(B2844,'Cashier Roster'!$B$5:$B$64,0)),"Not on roster"))</f>
        <v/>
      </c>
      <c r="D2844" s="12" t="str">
        <f>IF(B2844="","",IFERROR(INDEX('Cashier Roster'!$D$5:$D$64,MATCH(B2844,'Cashier Roster'!$B$5:$B$64,0)),""))</f>
        <v/>
      </c>
      <c r="E2844" s="13"/>
      <c r="F2844" s="14"/>
      <c r="G2844" s="8" t="str">
        <f>IF(OR(B2844="",E2844=""),"",IF(E2844="No","Missed",IF(F2844="","",IF(F2844&lt;=Settings!$B$7,"On time","Late"))))</f>
        <v/>
      </c>
      <c r="H2844" s="15"/>
      <c r="I2844" s="16"/>
      <c r="J2844" s="16"/>
      <c r="K2844" s="17" t="str">
        <f>IF(J2844="","",ROUND(J2844*Settings!$B$8,2))</f>
        <v/>
      </c>
      <c r="L2844" s="16"/>
      <c r="M2844" s="8" t="str">
        <f t="shared" si="44"/>
        <v/>
      </c>
      <c r="N2844" s="9"/>
    </row>
    <row r="2845" spans="1:14" ht="15.75">
      <c r="A2845" s="11"/>
      <c r="B2845" s="9"/>
      <c r="C2845" s="12" t="str">
        <f>IF(B2845="","",IFERROR(INDEX('Cashier Roster'!$C$5:$C$64,MATCH(B2845,'Cashier Roster'!$B$5:$B$64,0)),"Not on roster"))</f>
        <v/>
      </c>
      <c r="D2845" s="12" t="str">
        <f>IF(B2845="","",IFERROR(INDEX('Cashier Roster'!$D$5:$D$64,MATCH(B2845,'Cashier Roster'!$B$5:$B$64,0)),""))</f>
        <v/>
      </c>
      <c r="E2845" s="13"/>
      <c r="F2845" s="14"/>
      <c r="G2845" s="8" t="str">
        <f>IF(OR(B2845="",E2845=""),"",IF(E2845="No","Missed",IF(F2845="","",IF(F2845&lt;=Settings!$B$7,"On time","Late"))))</f>
        <v/>
      </c>
      <c r="H2845" s="15"/>
      <c r="I2845" s="16"/>
      <c r="J2845" s="16"/>
      <c r="K2845" s="17" t="str">
        <f>IF(J2845="","",ROUND(J2845*Settings!$B$8,2))</f>
        <v/>
      </c>
      <c r="L2845" s="16"/>
      <c r="M2845" s="8" t="str">
        <f t="shared" si="44"/>
        <v/>
      </c>
      <c r="N2845" s="9"/>
    </row>
    <row r="2846" spans="1:14" ht="15.75">
      <c r="A2846" s="11"/>
      <c r="B2846" s="9"/>
      <c r="C2846" s="12" t="str">
        <f>IF(B2846="","",IFERROR(INDEX('Cashier Roster'!$C$5:$C$64,MATCH(B2846,'Cashier Roster'!$B$5:$B$64,0)),"Not on roster"))</f>
        <v/>
      </c>
      <c r="D2846" s="12" t="str">
        <f>IF(B2846="","",IFERROR(INDEX('Cashier Roster'!$D$5:$D$64,MATCH(B2846,'Cashier Roster'!$B$5:$B$64,0)),""))</f>
        <v/>
      </c>
      <c r="E2846" s="13"/>
      <c r="F2846" s="14"/>
      <c r="G2846" s="8" t="str">
        <f>IF(OR(B2846="",E2846=""),"",IF(E2846="No","Missed",IF(F2846="","",IF(F2846&lt;=Settings!$B$7,"On time","Late"))))</f>
        <v/>
      </c>
      <c r="H2846" s="15"/>
      <c r="I2846" s="16"/>
      <c r="J2846" s="16"/>
      <c r="K2846" s="17" t="str">
        <f>IF(J2846="","",ROUND(J2846*Settings!$B$8,2))</f>
        <v/>
      </c>
      <c r="L2846" s="16"/>
      <c r="M2846" s="8" t="str">
        <f t="shared" si="44"/>
        <v/>
      </c>
      <c r="N2846" s="9"/>
    </row>
    <row r="2847" spans="1:14" ht="15.75">
      <c r="A2847" s="11"/>
      <c r="B2847" s="9"/>
      <c r="C2847" s="12" t="str">
        <f>IF(B2847="","",IFERROR(INDEX('Cashier Roster'!$C$5:$C$64,MATCH(B2847,'Cashier Roster'!$B$5:$B$64,0)),"Not on roster"))</f>
        <v/>
      </c>
      <c r="D2847" s="12" t="str">
        <f>IF(B2847="","",IFERROR(INDEX('Cashier Roster'!$D$5:$D$64,MATCH(B2847,'Cashier Roster'!$B$5:$B$64,0)),""))</f>
        <v/>
      </c>
      <c r="E2847" s="13"/>
      <c r="F2847" s="14"/>
      <c r="G2847" s="8" t="str">
        <f>IF(OR(B2847="",E2847=""),"",IF(E2847="No","Missed",IF(F2847="","",IF(F2847&lt;=Settings!$B$7,"On time","Late"))))</f>
        <v/>
      </c>
      <c r="H2847" s="15"/>
      <c r="I2847" s="16"/>
      <c r="J2847" s="16"/>
      <c r="K2847" s="17" t="str">
        <f>IF(J2847="","",ROUND(J2847*Settings!$B$8,2))</f>
        <v/>
      </c>
      <c r="L2847" s="16"/>
      <c r="M2847" s="8" t="str">
        <f t="shared" si="44"/>
        <v/>
      </c>
      <c r="N2847" s="9"/>
    </row>
    <row r="2848" spans="1:14" ht="15.75">
      <c r="A2848" s="11"/>
      <c r="B2848" s="9"/>
      <c r="C2848" s="12" t="str">
        <f>IF(B2848="","",IFERROR(INDEX('Cashier Roster'!$C$5:$C$64,MATCH(B2848,'Cashier Roster'!$B$5:$B$64,0)),"Not on roster"))</f>
        <v/>
      </c>
      <c r="D2848" s="12" t="str">
        <f>IF(B2848="","",IFERROR(INDEX('Cashier Roster'!$D$5:$D$64,MATCH(B2848,'Cashier Roster'!$B$5:$B$64,0)),""))</f>
        <v/>
      </c>
      <c r="E2848" s="13"/>
      <c r="F2848" s="14"/>
      <c r="G2848" s="8" t="str">
        <f>IF(OR(B2848="",E2848=""),"",IF(E2848="No","Missed",IF(F2848="","",IF(F2848&lt;=Settings!$B$7,"On time","Late"))))</f>
        <v/>
      </c>
      <c r="H2848" s="15"/>
      <c r="I2848" s="16"/>
      <c r="J2848" s="16"/>
      <c r="K2848" s="17" t="str">
        <f>IF(J2848="","",ROUND(J2848*Settings!$B$8,2))</f>
        <v/>
      </c>
      <c r="L2848" s="16"/>
      <c r="M2848" s="8" t="str">
        <f t="shared" si="44"/>
        <v/>
      </c>
      <c r="N2848" s="9"/>
    </row>
    <row r="2849" spans="1:14" ht="15.75">
      <c r="A2849" s="11"/>
      <c r="B2849" s="9"/>
      <c r="C2849" s="12" t="str">
        <f>IF(B2849="","",IFERROR(INDEX('Cashier Roster'!$C$5:$C$64,MATCH(B2849,'Cashier Roster'!$B$5:$B$64,0)),"Not on roster"))</f>
        <v/>
      </c>
      <c r="D2849" s="12" t="str">
        <f>IF(B2849="","",IFERROR(INDEX('Cashier Roster'!$D$5:$D$64,MATCH(B2849,'Cashier Roster'!$B$5:$B$64,0)),""))</f>
        <v/>
      </c>
      <c r="E2849" s="13"/>
      <c r="F2849" s="14"/>
      <c r="G2849" s="8" t="str">
        <f>IF(OR(B2849="",E2849=""),"",IF(E2849="No","Missed",IF(F2849="","",IF(F2849&lt;=Settings!$B$7,"On time","Late"))))</f>
        <v/>
      </c>
      <c r="H2849" s="15"/>
      <c r="I2849" s="16"/>
      <c r="J2849" s="16"/>
      <c r="K2849" s="17" t="str">
        <f>IF(J2849="","",ROUND(J2849*Settings!$B$8,2))</f>
        <v/>
      </c>
      <c r="L2849" s="16"/>
      <c r="M2849" s="8" t="str">
        <f t="shared" si="44"/>
        <v/>
      </c>
      <c r="N2849" s="9"/>
    </row>
    <row r="2850" spans="1:14" ht="15.75">
      <c r="A2850" s="11"/>
      <c r="B2850" s="9"/>
      <c r="C2850" s="12" t="str">
        <f>IF(B2850="","",IFERROR(INDEX('Cashier Roster'!$C$5:$C$64,MATCH(B2850,'Cashier Roster'!$B$5:$B$64,0)),"Not on roster"))</f>
        <v/>
      </c>
      <c r="D2850" s="12" t="str">
        <f>IF(B2850="","",IFERROR(INDEX('Cashier Roster'!$D$5:$D$64,MATCH(B2850,'Cashier Roster'!$B$5:$B$64,0)),""))</f>
        <v/>
      </c>
      <c r="E2850" s="13"/>
      <c r="F2850" s="14"/>
      <c r="G2850" s="8" t="str">
        <f>IF(OR(B2850="",E2850=""),"",IF(E2850="No","Missed",IF(F2850="","",IF(F2850&lt;=Settings!$B$7,"On time","Late"))))</f>
        <v/>
      </c>
      <c r="H2850" s="15"/>
      <c r="I2850" s="16"/>
      <c r="J2850" s="16"/>
      <c r="K2850" s="17" t="str">
        <f>IF(J2850="","",ROUND(J2850*Settings!$B$8,2))</f>
        <v/>
      </c>
      <c r="L2850" s="16"/>
      <c r="M2850" s="8" t="str">
        <f t="shared" si="44"/>
        <v/>
      </c>
      <c r="N2850" s="9"/>
    </row>
    <row r="2851" spans="1:14" ht="15.75">
      <c r="A2851" s="11"/>
      <c r="B2851" s="9"/>
      <c r="C2851" s="12" t="str">
        <f>IF(B2851="","",IFERROR(INDEX('Cashier Roster'!$C$5:$C$64,MATCH(B2851,'Cashier Roster'!$B$5:$B$64,0)),"Not on roster"))</f>
        <v/>
      </c>
      <c r="D2851" s="12" t="str">
        <f>IF(B2851="","",IFERROR(INDEX('Cashier Roster'!$D$5:$D$64,MATCH(B2851,'Cashier Roster'!$B$5:$B$64,0)),""))</f>
        <v/>
      </c>
      <c r="E2851" s="13"/>
      <c r="F2851" s="14"/>
      <c r="G2851" s="8" t="str">
        <f>IF(OR(B2851="",E2851=""),"",IF(E2851="No","Missed",IF(F2851="","",IF(F2851&lt;=Settings!$B$7,"On time","Late"))))</f>
        <v/>
      </c>
      <c r="H2851" s="15"/>
      <c r="I2851" s="16"/>
      <c r="J2851" s="16"/>
      <c r="K2851" s="17" t="str">
        <f>IF(J2851="","",ROUND(J2851*Settings!$B$8,2))</f>
        <v/>
      </c>
      <c r="L2851" s="16"/>
      <c r="M2851" s="8" t="str">
        <f t="shared" si="44"/>
        <v/>
      </c>
      <c r="N2851" s="9"/>
    </row>
    <row r="2852" spans="1:14" ht="15.75">
      <c r="A2852" s="11"/>
      <c r="B2852" s="9"/>
      <c r="C2852" s="12" t="str">
        <f>IF(B2852="","",IFERROR(INDEX('Cashier Roster'!$C$5:$C$64,MATCH(B2852,'Cashier Roster'!$B$5:$B$64,0)),"Not on roster"))</f>
        <v/>
      </c>
      <c r="D2852" s="12" t="str">
        <f>IF(B2852="","",IFERROR(INDEX('Cashier Roster'!$D$5:$D$64,MATCH(B2852,'Cashier Roster'!$B$5:$B$64,0)),""))</f>
        <v/>
      </c>
      <c r="E2852" s="13"/>
      <c r="F2852" s="14"/>
      <c r="G2852" s="8" t="str">
        <f>IF(OR(B2852="",E2852=""),"",IF(E2852="No","Missed",IF(F2852="","",IF(F2852&lt;=Settings!$B$7,"On time","Late"))))</f>
        <v/>
      </c>
      <c r="H2852" s="15"/>
      <c r="I2852" s="16"/>
      <c r="J2852" s="16"/>
      <c r="K2852" s="17" t="str">
        <f>IF(J2852="","",ROUND(J2852*Settings!$B$8,2))</f>
        <v/>
      </c>
      <c r="L2852" s="16"/>
      <c r="M2852" s="8" t="str">
        <f t="shared" si="44"/>
        <v/>
      </c>
      <c r="N2852" s="9"/>
    </row>
    <row r="2853" spans="1:14" ht="15.75">
      <c r="A2853" s="11"/>
      <c r="B2853" s="9"/>
      <c r="C2853" s="12" t="str">
        <f>IF(B2853="","",IFERROR(INDEX('Cashier Roster'!$C$5:$C$64,MATCH(B2853,'Cashier Roster'!$B$5:$B$64,0)),"Not on roster"))</f>
        <v/>
      </c>
      <c r="D2853" s="12" t="str">
        <f>IF(B2853="","",IFERROR(INDEX('Cashier Roster'!$D$5:$D$64,MATCH(B2853,'Cashier Roster'!$B$5:$B$64,0)),""))</f>
        <v/>
      </c>
      <c r="E2853" s="13"/>
      <c r="F2853" s="14"/>
      <c r="G2853" s="8" t="str">
        <f>IF(OR(B2853="",E2853=""),"",IF(E2853="No","Missed",IF(F2853="","",IF(F2853&lt;=Settings!$B$7,"On time","Late"))))</f>
        <v/>
      </c>
      <c r="H2853" s="15"/>
      <c r="I2853" s="16"/>
      <c r="J2853" s="16"/>
      <c r="K2853" s="17" t="str">
        <f>IF(J2853="","",ROUND(J2853*Settings!$B$8,2))</f>
        <v/>
      </c>
      <c r="L2853" s="16"/>
      <c r="M2853" s="8" t="str">
        <f t="shared" si="44"/>
        <v/>
      </c>
      <c r="N2853" s="9"/>
    </row>
    <row r="2854" spans="1:14" ht="15.75">
      <c r="A2854" s="11"/>
      <c r="B2854" s="9"/>
      <c r="C2854" s="12" t="str">
        <f>IF(B2854="","",IFERROR(INDEX('Cashier Roster'!$C$5:$C$64,MATCH(B2854,'Cashier Roster'!$B$5:$B$64,0)),"Not on roster"))</f>
        <v/>
      </c>
      <c r="D2854" s="12" t="str">
        <f>IF(B2854="","",IFERROR(INDEX('Cashier Roster'!$D$5:$D$64,MATCH(B2854,'Cashier Roster'!$B$5:$B$64,0)),""))</f>
        <v/>
      </c>
      <c r="E2854" s="13"/>
      <c r="F2854" s="14"/>
      <c r="G2854" s="8" t="str">
        <f>IF(OR(B2854="",E2854=""),"",IF(E2854="No","Missed",IF(F2854="","",IF(F2854&lt;=Settings!$B$7,"On time","Late"))))</f>
        <v/>
      </c>
      <c r="H2854" s="15"/>
      <c r="I2854" s="16"/>
      <c r="J2854" s="16"/>
      <c r="K2854" s="17" t="str">
        <f>IF(J2854="","",ROUND(J2854*Settings!$B$8,2))</f>
        <v/>
      </c>
      <c r="L2854" s="16"/>
      <c r="M2854" s="8" t="str">
        <f t="shared" si="44"/>
        <v/>
      </c>
      <c r="N2854" s="9"/>
    </row>
    <row r="2855" spans="1:14" ht="15.75">
      <c r="A2855" s="11"/>
      <c r="B2855" s="9"/>
      <c r="C2855" s="12" t="str">
        <f>IF(B2855="","",IFERROR(INDEX('Cashier Roster'!$C$5:$C$64,MATCH(B2855,'Cashier Roster'!$B$5:$B$64,0)),"Not on roster"))</f>
        <v/>
      </c>
      <c r="D2855" s="12" t="str">
        <f>IF(B2855="","",IFERROR(INDEX('Cashier Roster'!$D$5:$D$64,MATCH(B2855,'Cashier Roster'!$B$5:$B$64,0)),""))</f>
        <v/>
      </c>
      <c r="E2855" s="13"/>
      <c r="F2855" s="14"/>
      <c r="G2855" s="8" t="str">
        <f>IF(OR(B2855="",E2855=""),"",IF(E2855="No","Missed",IF(F2855="","",IF(F2855&lt;=Settings!$B$7,"On time","Late"))))</f>
        <v/>
      </c>
      <c r="H2855" s="15"/>
      <c r="I2855" s="16"/>
      <c r="J2855" s="16"/>
      <c r="K2855" s="17" t="str">
        <f>IF(J2855="","",ROUND(J2855*Settings!$B$8,2))</f>
        <v/>
      </c>
      <c r="L2855" s="16"/>
      <c r="M2855" s="8" t="str">
        <f t="shared" si="44"/>
        <v/>
      </c>
      <c r="N2855" s="9"/>
    </row>
    <row r="2856" spans="1:14" ht="15.75">
      <c r="A2856" s="11"/>
      <c r="B2856" s="9"/>
      <c r="C2856" s="12" t="str">
        <f>IF(B2856="","",IFERROR(INDEX('Cashier Roster'!$C$5:$C$64,MATCH(B2856,'Cashier Roster'!$B$5:$B$64,0)),"Not on roster"))</f>
        <v/>
      </c>
      <c r="D2856" s="12" t="str">
        <f>IF(B2856="","",IFERROR(INDEX('Cashier Roster'!$D$5:$D$64,MATCH(B2856,'Cashier Roster'!$B$5:$B$64,0)),""))</f>
        <v/>
      </c>
      <c r="E2856" s="13"/>
      <c r="F2856" s="14"/>
      <c r="G2856" s="8" t="str">
        <f>IF(OR(B2856="",E2856=""),"",IF(E2856="No","Missed",IF(F2856="","",IF(F2856&lt;=Settings!$B$7,"On time","Late"))))</f>
        <v/>
      </c>
      <c r="H2856" s="15"/>
      <c r="I2856" s="16"/>
      <c r="J2856" s="16"/>
      <c r="K2856" s="17" t="str">
        <f>IF(J2856="","",ROUND(J2856*Settings!$B$8,2))</f>
        <v/>
      </c>
      <c r="L2856" s="16"/>
      <c r="M2856" s="8" t="str">
        <f t="shared" si="44"/>
        <v/>
      </c>
      <c r="N2856" s="9"/>
    </row>
    <row r="2857" spans="1:14" ht="15.75">
      <c r="A2857" s="11"/>
      <c r="B2857" s="9"/>
      <c r="C2857" s="12" t="str">
        <f>IF(B2857="","",IFERROR(INDEX('Cashier Roster'!$C$5:$C$64,MATCH(B2857,'Cashier Roster'!$B$5:$B$64,0)),"Not on roster"))</f>
        <v/>
      </c>
      <c r="D2857" s="12" t="str">
        <f>IF(B2857="","",IFERROR(INDEX('Cashier Roster'!$D$5:$D$64,MATCH(B2857,'Cashier Roster'!$B$5:$B$64,0)),""))</f>
        <v/>
      </c>
      <c r="E2857" s="13"/>
      <c r="F2857" s="14"/>
      <c r="G2857" s="8" t="str">
        <f>IF(OR(B2857="",E2857=""),"",IF(E2857="No","Missed",IF(F2857="","",IF(F2857&lt;=Settings!$B$7,"On time","Late"))))</f>
        <v/>
      </c>
      <c r="H2857" s="15"/>
      <c r="I2857" s="16"/>
      <c r="J2857" s="16"/>
      <c r="K2857" s="17" t="str">
        <f>IF(J2857="","",ROUND(J2857*Settings!$B$8,2))</f>
        <v/>
      </c>
      <c r="L2857" s="16"/>
      <c r="M2857" s="8" t="str">
        <f t="shared" si="44"/>
        <v/>
      </c>
      <c r="N2857" s="9"/>
    </row>
    <row r="2858" spans="1:14" ht="15.75">
      <c r="A2858" s="11"/>
      <c r="B2858" s="9"/>
      <c r="C2858" s="12" t="str">
        <f>IF(B2858="","",IFERROR(INDEX('Cashier Roster'!$C$5:$C$64,MATCH(B2858,'Cashier Roster'!$B$5:$B$64,0)),"Not on roster"))</f>
        <v/>
      </c>
      <c r="D2858" s="12" t="str">
        <f>IF(B2858="","",IFERROR(INDEX('Cashier Roster'!$D$5:$D$64,MATCH(B2858,'Cashier Roster'!$B$5:$B$64,0)),""))</f>
        <v/>
      </c>
      <c r="E2858" s="13"/>
      <c r="F2858" s="14"/>
      <c r="G2858" s="8" t="str">
        <f>IF(OR(B2858="",E2858=""),"",IF(E2858="No","Missed",IF(F2858="","",IF(F2858&lt;=Settings!$B$7,"On time","Late"))))</f>
        <v/>
      </c>
      <c r="H2858" s="15"/>
      <c r="I2858" s="16"/>
      <c r="J2858" s="16"/>
      <c r="K2858" s="17" t="str">
        <f>IF(J2858="","",ROUND(J2858*Settings!$B$8,2))</f>
        <v/>
      </c>
      <c r="L2858" s="16"/>
      <c r="M2858" s="8" t="str">
        <f t="shared" si="44"/>
        <v/>
      </c>
      <c r="N2858" s="9"/>
    </row>
    <row r="2859" spans="1:14" ht="15.75">
      <c r="A2859" s="11"/>
      <c r="B2859" s="9"/>
      <c r="C2859" s="12" t="str">
        <f>IF(B2859="","",IFERROR(INDEX('Cashier Roster'!$C$5:$C$64,MATCH(B2859,'Cashier Roster'!$B$5:$B$64,0)),"Not on roster"))</f>
        <v/>
      </c>
      <c r="D2859" s="12" t="str">
        <f>IF(B2859="","",IFERROR(INDEX('Cashier Roster'!$D$5:$D$64,MATCH(B2859,'Cashier Roster'!$B$5:$B$64,0)),""))</f>
        <v/>
      </c>
      <c r="E2859" s="13"/>
      <c r="F2859" s="14"/>
      <c r="G2859" s="8" t="str">
        <f>IF(OR(B2859="",E2859=""),"",IF(E2859="No","Missed",IF(F2859="","",IF(F2859&lt;=Settings!$B$7,"On time","Late"))))</f>
        <v/>
      </c>
      <c r="H2859" s="15"/>
      <c r="I2859" s="16"/>
      <c r="J2859" s="16"/>
      <c r="K2859" s="17" t="str">
        <f>IF(J2859="","",ROUND(J2859*Settings!$B$8,2))</f>
        <v/>
      </c>
      <c r="L2859" s="16"/>
      <c r="M2859" s="8" t="str">
        <f t="shared" si="44"/>
        <v/>
      </c>
      <c r="N2859" s="9"/>
    </row>
    <row r="2860" spans="1:14" ht="15.75">
      <c r="A2860" s="11"/>
      <c r="B2860" s="9"/>
      <c r="C2860" s="12" t="str">
        <f>IF(B2860="","",IFERROR(INDEX('Cashier Roster'!$C$5:$C$64,MATCH(B2860,'Cashier Roster'!$B$5:$B$64,0)),"Not on roster"))</f>
        <v/>
      </c>
      <c r="D2860" s="12" t="str">
        <f>IF(B2860="","",IFERROR(INDEX('Cashier Roster'!$D$5:$D$64,MATCH(B2860,'Cashier Roster'!$B$5:$B$64,0)),""))</f>
        <v/>
      </c>
      <c r="E2860" s="13"/>
      <c r="F2860" s="14"/>
      <c r="G2860" s="8" t="str">
        <f>IF(OR(B2860="",E2860=""),"",IF(E2860="No","Missed",IF(F2860="","",IF(F2860&lt;=Settings!$B$7,"On time","Late"))))</f>
        <v/>
      </c>
      <c r="H2860" s="15"/>
      <c r="I2860" s="16"/>
      <c r="J2860" s="16"/>
      <c r="K2860" s="17" t="str">
        <f>IF(J2860="","",ROUND(J2860*Settings!$B$8,2))</f>
        <v/>
      </c>
      <c r="L2860" s="16"/>
      <c r="M2860" s="8" t="str">
        <f t="shared" si="44"/>
        <v/>
      </c>
      <c r="N2860" s="9"/>
    </row>
    <row r="2861" spans="1:14" ht="15.75">
      <c r="A2861" s="11"/>
      <c r="B2861" s="9"/>
      <c r="C2861" s="12" t="str">
        <f>IF(B2861="","",IFERROR(INDEX('Cashier Roster'!$C$5:$C$64,MATCH(B2861,'Cashier Roster'!$B$5:$B$64,0)),"Not on roster"))</f>
        <v/>
      </c>
      <c r="D2861" s="12" t="str">
        <f>IF(B2861="","",IFERROR(INDEX('Cashier Roster'!$D$5:$D$64,MATCH(B2861,'Cashier Roster'!$B$5:$B$64,0)),""))</f>
        <v/>
      </c>
      <c r="E2861" s="13"/>
      <c r="F2861" s="14"/>
      <c r="G2861" s="8" t="str">
        <f>IF(OR(B2861="",E2861=""),"",IF(E2861="No","Missed",IF(F2861="","",IF(F2861&lt;=Settings!$B$7,"On time","Late"))))</f>
        <v/>
      </c>
      <c r="H2861" s="15"/>
      <c r="I2861" s="16"/>
      <c r="J2861" s="16"/>
      <c r="K2861" s="17" t="str">
        <f>IF(J2861="","",ROUND(J2861*Settings!$B$8,2))</f>
        <v/>
      </c>
      <c r="L2861" s="16"/>
      <c r="M2861" s="8" t="str">
        <f t="shared" si="44"/>
        <v/>
      </c>
      <c r="N2861" s="9"/>
    </row>
    <row r="2862" spans="1:14" ht="15.75">
      <c r="A2862" s="11"/>
      <c r="B2862" s="9"/>
      <c r="C2862" s="12" t="str">
        <f>IF(B2862="","",IFERROR(INDEX('Cashier Roster'!$C$5:$C$64,MATCH(B2862,'Cashier Roster'!$B$5:$B$64,0)),"Not on roster"))</f>
        <v/>
      </c>
      <c r="D2862" s="12" t="str">
        <f>IF(B2862="","",IFERROR(INDEX('Cashier Roster'!$D$5:$D$64,MATCH(B2862,'Cashier Roster'!$B$5:$B$64,0)),""))</f>
        <v/>
      </c>
      <c r="E2862" s="13"/>
      <c r="F2862" s="14"/>
      <c r="G2862" s="8" t="str">
        <f>IF(OR(B2862="",E2862=""),"",IF(E2862="No","Missed",IF(F2862="","",IF(F2862&lt;=Settings!$B$7,"On time","Late"))))</f>
        <v/>
      </c>
      <c r="H2862" s="15"/>
      <c r="I2862" s="16"/>
      <c r="J2862" s="16"/>
      <c r="K2862" s="17" t="str">
        <f>IF(J2862="","",ROUND(J2862*Settings!$B$8,2))</f>
        <v/>
      </c>
      <c r="L2862" s="16"/>
      <c r="M2862" s="8" t="str">
        <f t="shared" si="44"/>
        <v/>
      </c>
      <c r="N2862" s="9"/>
    </row>
    <row r="2863" spans="1:14" ht="15.75">
      <c r="A2863" s="11"/>
      <c r="B2863" s="9"/>
      <c r="C2863" s="12" t="str">
        <f>IF(B2863="","",IFERROR(INDEX('Cashier Roster'!$C$5:$C$64,MATCH(B2863,'Cashier Roster'!$B$5:$B$64,0)),"Not on roster"))</f>
        <v/>
      </c>
      <c r="D2863" s="12" t="str">
        <f>IF(B2863="","",IFERROR(INDEX('Cashier Roster'!$D$5:$D$64,MATCH(B2863,'Cashier Roster'!$B$5:$B$64,0)),""))</f>
        <v/>
      </c>
      <c r="E2863" s="13"/>
      <c r="F2863" s="14"/>
      <c r="G2863" s="8" t="str">
        <f>IF(OR(B2863="",E2863=""),"",IF(E2863="No","Missed",IF(F2863="","",IF(F2863&lt;=Settings!$B$7,"On time","Late"))))</f>
        <v/>
      </c>
      <c r="H2863" s="15"/>
      <c r="I2863" s="16"/>
      <c r="J2863" s="16"/>
      <c r="K2863" s="17" t="str">
        <f>IF(J2863="","",ROUND(J2863*Settings!$B$8,2))</f>
        <v/>
      </c>
      <c r="L2863" s="16"/>
      <c r="M2863" s="8" t="str">
        <f t="shared" si="44"/>
        <v/>
      </c>
      <c r="N2863" s="9"/>
    </row>
    <row r="2864" spans="1:14" ht="15.75">
      <c r="A2864" s="11"/>
      <c r="B2864" s="9"/>
      <c r="C2864" s="12" t="str">
        <f>IF(B2864="","",IFERROR(INDEX('Cashier Roster'!$C$5:$C$64,MATCH(B2864,'Cashier Roster'!$B$5:$B$64,0)),"Not on roster"))</f>
        <v/>
      </c>
      <c r="D2864" s="12" t="str">
        <f>IF(B2864="","",IFERROR(INDEX('Cashier Roster'!$D$5:$D$64,MATCH(B2864,'Cashier Roster'!$B$5:$B$64,0)),""))</f>
        <v/>
      </c>
      <c r="E2864" s="13"/>
      <c r="F2864" s="14"/>
      <c r="G2864" s="8" t="str">
        <f>IF(OR(B2864="",E2864=""),"",IF(E2864="No","Missed",IF(F2864="","",IF(F2864&lt;=Settings!$B$7,"On time","Late"))))</f>
        <v/>
      </c>
      <c r="H2864" s="15"/>
      <c r="I2864" s="16"/>
      <c r="J2864" s="16"/>
      <c r="K2864" s="17" t="str">
        <f>IF(J2864="","",ROUND(J2864*Settings!$B$8,2))</f>
        <v/>
      </c>
      <c r="L2864" s="16"/>
      <c r="M2864" s="8" t="str">
        <f t="shared" si="44"/>
        <v/>
      </c>
      <c r="N2864" s="9"/>
    </row>
    <row r="2865" spans="1:14" ht="15.75">
      <c r="A2865" s="11"/>
      <c r="B2865" s="9"/>
      <c r="C2865" s="12" t="str">
        <f>IF(B2865="","",IFERROR(INDEX('Cashier Roster'!$C$5:$C$64,MATCH(B2865,'Cashier Roster'!$B$5:$B$64,0)),"Not on roster"))</f>
        <v/>
      </c>
      <c r="D2865" s="12" t="str">
        <f>IF(B2865="","",IFERROR(INDEX('Cashier Roster'!$D$5:$D$64,MATCH(B2865,'Cashier Roster'!$B$5:$B$64,0)),""))</f>
        <v/>
      </c>
      <c r="E2865" s="13"/>
      <c r="F2865" s="14"/>
      <c r="G2865" s="8" t="str">
        <f>IF(OR(B2865="",E2865=""),"",IF(E2865="No","Missed",IF(F2865="","",IF(F2865&lt;=Settings!$B$7,"On time","Late"))))</f>
        <v/>
      </c>
      <c r="H2865" s="15"/>
      <c r="I2865" s="16"/>
      <c r="J2865" s="16"/>
      <c r="K2865" s="17" t="str">
        <f>IF(J2865="","",ROUND(J2865*Settings!$B$8,2))</f>
        <v/>
      </c>
      <c r="L2865" s="16"/>
      <c r="M2865" s="8" t="str">
        <f t="shared" si="44"/>
        <v/>
      </c>
      <c r="N2865" s="9"/>
    </row>
    <row r="2866" spans="1:14" ht="15.75">
      <c r="A2866" s="11"/>
      <c r="B2866" s="9"/>
      <c r="C2866" s="12" t="str">
        <f>IF(B2866="","",IFERROR(INDEX('Cashier Roster'!$C$5:$C$64,MATCH(B2866,'Cashier Roster'!$B$5:$B$64,0)),"Not on roster"))</f>
        <v/>
      </c>
      <c r="D2866" s="12" t="str">
        <f>IF(B2866="","",IFERROR(INDEX('Cashier Roster'!$D$5:$D$64,MATCH(B2866,'Cashier Roster'!$B$5:$B$64,0)),""))</f>
        <v/>
      </c>
      <c r="E2866" s="13"/>
      <c r="F2866" s="14"/>
      <c r="G2866" s="8" t="str">
        <f>IF(OR(B2866="",E2866=""),"",IF(E2866="No","Missed",IF(F2866="","",IF(F2866&lt;=Settings!$B$7,"On time","Late"))))</f>
        <v/>
      </c>
      <c r="H2866" s="15"/>
      <c r="I2866" s="16"/>
      <c r="J2866" s="16"/>
      <c r="K2866" s="17" t="str">
        <f>IF(J2866="","",ROUND(J2866*Settings!$B$8,2))</f>
        <v/>
      </c>
      <c r="L2866" s="16"/>
      <c r="M2866" s="8" t="str">
        <f t="shared" si="44"/>
        <v/>
      </c>
      <c r="N2866" s="9"/>
    </row>
    <row r="2867" spans="1:14" ht="15.75">
      <c r="A2867" s="11"/>
      <c r="B2867" s="9"/>
      <c r="C2867" s="12" t="str">
        <f>IF(B2867="","",IFERROR(INDEX('Cashier Roster'!$C$5:$C$64,MATCH(B2867,'Cashier Roster'!$B$5:$B$64,0)),"Not on roster"))</f>
        <v/>
      </c>
      <c r="D2867" s="12" t="str">
        <f>IF(B2867="","",IFERROR(INDEX('Cashier Roster'!$D$5:$D$64,MATCH(B2867,'Cashier Roster'!$B$5:$B$64,0)),""))</f>
        <v/>
      </c>
      <c r="E2867" s="13"/>
      <c r="F2867" s="14"/>
      <c r="G2867" s="8" t="str">
        <f>IF(OR(B2867="",E2867=""),"",IF(E2867="No","Missed",IF(F2867="","",IF(F2867&lt;=Settings!$B$7,"On time","Late"))))</f>
        <v/>
      </c>
      <c r="H2867" s="15"/>
      <c r="I2867" s="16"/>
      <c r="J2867" s="16"/>
      <c r="K2867" s="17" t="str">
        <f>IF(J2867="","",ROUND(J2867*Settings!$B$8,2))</f>
        <v/>
      </c>
      <c r="L2867" s="16"/>
      <c r="M2867" s="8" t="str">
        <f t="shared" si="44"/>
        <v/>
      </c>
      <c r="N2867" s="9"/>
    </row>
    <row r="2868" spans="1:14" ht="15.75">
      <c r="A2868" s="11"/>
      <c r="B2868" s="9"/>
      <c r="C2868" s="12" t="str">
        <f>IF(B2868="","",IFERROR(INDEX('Cashier Roster'!$C$5:$C$64,MATCH(B2868,'Cashier Roster'!$B$5:$B$64,0)),"Not on roster"))</f>
        <v/>
      </c>
      <c r="D2868" s="12" t="str">
        <f>IF(B2868="","",IFERROR(INDEX('Cashier Roster'!$D$5:$D$64,MATCH(B2868,'Cashier Roster'!$B$5:$B$64,0)),""))</f>
        <v/>
      </c>
      <c r="E2868" s="13"/>
      <c r="F2868" s="14"/>
      <c r="G2868" s="8" t="str">
        <f>IF(OR(B2868="",E2868=""),"",IF(E2868="No","Missed",IF(F2868="","",IF(F2868&lt;=Settings!$B$7,"On time","Late"))))</f>
        <v/>
      </c>
      <c r="H2868" s="15"/>
      <c r="I2868" s="16"/>
      <c r="J2868" s="16"/>
      <c r="K2868" s="17" t="str">
        <f>IF(J2868="","",ROUND(J2868*Settings!$B$8,2))</f>
        <v/>
      </c>
      <c r="L2868" s="16"/>
      <c r="M2868" s="8" t="str">
        <f t="shared" si="44"/>
        <v/>
      </c>
      <c r="N2868" s="9"/>
    </row>
    <row r="2869" spans="1:14" ht="15.75">
      <c r="A2869" s="11"/>
      <c r="B2869" s="9"/>
      <c r="C2869" s="12" t="str">
        <f>IF(B2869="","",IFERROR(INDEX('Cashier Roster'!$C$5:$C$64,MATCH(B2869,'Cashier Roster'!$B$5:$B$64,0)),"Not on roster"))</f>
        <v/>
      </c>
      <c r="D2869" s="12" t="str">
        <f>IF(B2869="","",IFERROR(INDEX('Cashier Roster'!$D$5:$D$64,MATCH(B2869,'Cashier Roster'!$B$5:$B$64,0)),""))</f>
        <v/>
      </c>
      <c r="E2869" s="13"/>
      <c r="F2869" s="14"/>
      <c r="G2869" s="8" t="str">
        <f>IF(OR(B2869="",E2869=""),"",IF(E2869="No","Missed",IF(F2869="","",IF(F2869&lt;=Settings!$B$7,"On time","Late"))))</f>
        <v/>
      </c>
      <c r="H2869" s="15"/>
      <c r="I2869" s="16"/>
      <c r="J2869" s="16"/>
      <c r="K2869" s="17" t="str">
        <f>IF(J2869="","",ROUND(J2869*Settings!$B$8,2))</f>
        <v/>
      </c>
      <c r="L2869" s="16"/>
      <c r="M2869" s="8" t="str">
        <f t="shared" si="44"/>
        <v/>
      </c>
      <c r="N2869" s="9"/>
    </row>
    <row r="2870" spans="1:14" ht="15.75">
      <c r="A2870" s="11"/>
      <c r="B2870" s="9"/>
      <c r="C2870" s="12" t="str">
        <f>IF(B2870="","",IFERROR(INDEX('Cashier Roster'!$C$5:$C$64,MATCH(B2870,'Cashier Roster'!$B$5:$B$64,0)),"Not on roster"))</f>
        <v/>
      </c>
      <c r="D2870" s="12" t="str">
        <f>IF(B2870="","",IFERROR(INDEX('Cashier Roster'!$D$5:$D$64,MATCH(B2870,'Cashier Roster'!$B$5:$B$64,0)),""))</f>
        <v/>
      </c>
      <c r="E2870" s="13"/>
      <c r="F2870" s="14"/>
      <c r="G2870" s="8" t="str">
        <f>IF(OR(B2870="",E2870=""),"",IF(E2870="No","Missed",IF(F2870="","",IF(F2870&lt;=Settings!$B$7,"On time","Late"))))</f>
        <v/>
      </c>
      <c r="H2870" s="15"/>
      <c r="I2870" s="16"/>
      <c r="J2870" s="16"/>
      <c r="K2870" s="17" t="str">
        <f>IF(J2870="","",ROUND(J2870*Settings!$B$8,2))</f>
        <v/>
      </c>
      <c r="L2870" s="16"/>
      <c r="M2870" s="8" t="str">
        <f t="shared" si="44"/>
        <v/>
      </c>
      <c r="N2870" s="9"/>
    </row>
    <row r="2871" spans="1:14" ht="15.75">
      <c r="A2871" s="11"/>
      <c r="B2871" s="9"/>
      <c r="C2871" s="12" t="str">
        <f>IF(B2871="","",IFERROR(INDEX('Cashier Roster'!$C$5:$C$64,MATCH(B2871,'Cashier Roster'!$B$5:$B$64,0)),"Not on roster"))</f>
        <v/>
      </c>
      <c r="D2871" s="12" t="str">
        <f>IF(B2871="","",IFERROR(INDEX('Cashier Roster'!$D$5:$D$64,MATCH(B2871,'Cashier Roster'!$B$5:$B$64,0)),""))</f>
        <v/>
      </c>
      <c r="E2871" s="13"/>
      <c r="F2871" s="14"/>
      <c r="G2871" s="8" t="str">
        <f>IF(OR(B2871="",E2871=""),"",IF(E2871="No","Missed",IF(F2871="","",IF(F2871&lt;=Settings!$B$7,"On time","Late"))))</f>
        <v/>
      </c>
      <c r="H2871" s="15"/>
      <c r="I2871" s="16"/>
      <c r="J2871" s="16"/>
      <c r="K2871" s="17" t="str">
        <f>IF(J2871="","",ROUND(J2871*Settings!$B$8,2))</f>
        <v/>
      </c>
      <c r="L2871" s="16"/>
      <c r="M2871" s="8" t="str">
        <f t="shared" si="44"/>
        <v/>
      </c>
      <c r="N2871" s="9"/>
    </row>
    <row r="2872" spans="1:14" ht="15.75">
      <c r="A2872" s="11"/>
      <c r="B2872" s="9"/>
      <c r="C2872" s="12" t="str">
        <f>IF(B2872="","",IFERROR(INDEX('Cashier Roster'!$C$5:$C$64,MATCH(B2872,'Cashier Roster'!$B$5:$B$64,0)),"Not on roster"))</f>
        <v/>
      </c>
      <c r="D2872" s="12" t="str">
        <f>IF(B2872="","",IFERROR(INDEX('Cashier Roster'!$D$5:$D$64,MATCH(B2872,'Cashier Roster'!$B$5:$B$64,0)),""))</f>
        <v/>
      </c>
      <c r="E2872" s="13"/>
      <c r="F2872" s="14"/>
      <c r="G2872" s="8" t="str">
        <f>IF(OR(B2872="",E2872=""),"",IF(E2872="No","Missed",IF(F2872="","",IF(F2872&lt;=Settings!$B$7,"On time","Late"))))</f>
        <v/>
      </c>
      <c r="H2872" s="15"/>
      <c r="I2872" s="16"/>
      <c r="J2872" s="16"/>
      <c r="K2872" s="17" t="str">
        <f>IF(J2872="","",ROUND(J2872*Settings!$B$8,2))</f>
        <v/>
      </c>
      <c r="L2872" s="16"/>
      <c r="M2872" s="8" t="str">
        <f t="shared" si="44"/>
        <v/>
      </c>
      <c r="N2872" s="9"/>
    </row>
    <row r="2873" spans="1:14" ht="15.75">
      <c r="A2873" s="11"/>
      <c r="B2873" s="9"/>
      <c r="C2873" s="12" t="str">
        <f>IF(B2873="","",IFERROR(INDEX('Cashier Roster'!$C$5:$C$64,MATCH(B2873,'Cashier Roster'!$B$5:$B$64,0)),"Not on roster"))</f>
        <v/>
      </c>
      <c r="D2873" s="12" t="str">
        <f>IF(B2873="","",IFERROR(INDEX('Cashier Roster'!$D$5:$D$64,MATCH(B2873,'Cashier Roster'!$B$5:$B$64,0)),""))</f>
        <v/>
      </c>
      <c r="E2873" s="13"/>
      <c r="F2873" s="14"/>
      <c r="G2873" s="8" t="str">
        <f>IF(OR(B2873="",E2873=""),"",IF(E2873="No","Missed",IF(F2873="","",IF(F2873&lt;=Settings!$B$7,"On time","Late"))))</f>
        <v/>
      </c>
      <c r="H2873" s="15"/>
      <c r="I2873" s="16"/>
      <c r="J2873" s="16"/>
      <c r="K2873" s="17" t="str">
        <f>IF(J2873="","",ROUND(J2873*Settings!$B$8,2))</f>
        <v/>
      </c>
      <c r="L2873" s="16"/>
      <c r="M2873" s="8" t="str">
        <f t="shared" si="44"/>
        <v/>
      </c>
      <c r="N2873" s="9"/>
    </row>
    <row r="2874" spans="1:14" ht="15.75">
      <c r="A2874" s="11"/>
      <c r="B2874" s="9"/>
      <c r="C2874" s="12" t="str">
        <f>IF(B2874="","",IFERROR(INDEX('Cashier Roster'!$C$5:$C$64,MATCH(B2874,'Cashier Roster'!$B$5:$B$64,0)),"Not on roster"))</f>
        <v/>
      </c>
      <c r="D2874" s="12" t="str">
        <f>IF(B2874="","",IFERROR(INDEX('Cashier Roster'!$D$5:$D$64,MATCH(B2874,'Cashier Roster'!$B$5:$B$64,0)),""))</f>
        <v/>
      </c>
      <c r="E2874" s="13"/>
      <c r="F2874" s="14"/>
      <c r="G2874" s="8" t="str">
        <f>IF(OR(B2874="",E2874=""),"",IF(E2874="No","Missed",IF(F2874="","",IF(F2874&lt;=Settings!$B$7,"On time","Late"))))</f>
        <v/>
      </c>
      <c r="H2874" s="15"/>
      <c r="I2874" s="16"/>
      <c r="J2874" s="16"/>
      <c r="K2874" s="17" t="str">
        <f>IF(J2874="","",ROUND(J2874*Settings!$B$8,2))</f>
        <v/>
      </c>
      <c r="L2874" s="16"/>
      <c r="M2874" s="8" t="str">
        <f t="shared" si="44"/>
        <v/>
      </c>
      <c r="N2874" s="9"/>
    </row>
    <row r="2875" spans="1:14" ht="15.75">
      <c r="A2875" s="11"/>
      <c r="B2875" s="9"/>
      <c r="C2875" s="12" t="str">
        <f>IF(B2875="","",IFERROR(INDEX('Cashier Roster'!$C$5:$C$64,MATCH(B2875,'Cashier Roster'!$B$5:$B$64,0)),"Not on roster"))</f>
        <v/>
      </c>
      <c r="D2875" s="12" t="str">
        <f>IF(B2875="","",IFERROR(INDEX('Cashier Roster'!$D$5:$D$64,MATCH(B2875,'Cashier Roster'!$B$5:$B$64,0)),""))</f>
        <v/>
      </c>
      <c r="E2875" s="13"/>
      <c r="F2875" s="14"/>
      <c r="G2875" s="8" t="str">
        <f>IF(OR(B2875="",E2875=""),"",IF(E2875="No","Missed",IF(F2875="","",IF(F2875&lt;=Settings!$B$7,"On time","Late"))))</f>
        <v/>
      </c>
      <c r="H2875" s="15"/>
      <c r="I2875" s="16"/>
      <c r="J2875" s="16"/>
      <c r="K2875" s="17" t="str">
        <f>IF(J2875="","",ROUND(J2875*Settings!$B$8,2))</f>
        <v/>
      </c>
      <c r="L2875" s="16"/>
      <c r="M2875" s="8" t="str">
        <f t="shared" si="44"/>
        <v/>
      </c>
      <c r="N2875" s="9"/>
    </row>
    <row r="2876" spans="1:14" ht="15.75">
      <c r="A2876" s="11"/>
      <c r="B2876" s="9"/>
      <c r="C2876" s="12" t="str">
        <f>IF(B2876="","",IFERROR(INDEX('Cashier Roster'!$C$5:$C$64,MATCH(B2876,'Cashier Roster'!$B$5:$B$64,0)),"Not on roster"))</f>
        <v/>
      </c>
      <c r="D2876" s="12" t="str">
        <f>IF(B2876="","",IFERROR(INDEX('Cashier Roster'!$D$5:$D$64,MATCH(B2876,'Cashier Roster'!$B$5:$B$64,0)),""))</f>
        <v/>
      </c>
      <c r="E2876" s="13"/>
      <c r="F2876" s="14"/>
      <c r="G2876" s="8" t="str">
        <f>IF(OR(B2876="",E2876=""),"",IF(E2876="No","Missed",IF(F2876="","",IF(F2876&lt;=Settings!$B$7,"On time","Late"))))</f>
        <v/>
      </c>
      <c r="H2876" s="15"/>
      <c r="I2876" s="16"/>
      <c r="J2876" s="16"/>
      <c r="K2876" s="17" t="str">
        <f>IF(J2876="","",ROUND(J2876*Settings!$B$8,2))</f>
        <v/>
      </c>
      <c r="L2876" s="16"/>
      <c r="M2876" s="8" t="str">
        <f t="shared" si="44"/>
        <v/>
      </c>
      <c r="N2876" s="9"/>
    </row>
    <row r="2877" spans="1:14" ht="15.75">
      <c r="A2877" s="11"/>
      <c r="B2877" s="9"/>
      <c r="C2877" s="12" t="str">
        <f>IF(B2877="","",IFERROR(INDEX('Cashier Roster'!$C$5:$C$64,MATCH(B2877,'Cashier Roster'!$B$5:$B$64,0)),"Not on roster"))</f>
        <v/>
      </c>
      <c r="D2877" s="12" t="str">
        <f>IF(B2877="","",IFERROR(INDEX('Cashier Roster'!$D$5:$D$64,MATCH(B2877,'Cashier Roster'!$B$5:$B$64,0)),""))</f>
        <v/>
      </c>
      <c r="E2877" s="13"/>
      <c r="F2877" s="14"/>
      <c r="G2877" s="8" t="str">
        <f>IF(OR(B2877="",E2877=""),"",IF(E2877="No","Missed",IF(F2877="","",IF(F2877&lt;=Settings!$B$7,"On time","Late"))))</f>
        <v/>
      </c>
      <c r="H2877" s="15"/>
      <c r="I2877" s="16"/>
      <c r="J2877" s="16"/>
      <c r="K2877" s="17" t="str">
        <f>IF(J2877="","",ROUND(J2877*Settings!$B$8,2))</f>
        <v/>
      </c>
      <c r="L2877" s="16"/>
      <c r="M2877" s="8" t="str">
        <f t="shared" si="44"/>
        <v/>
      </c>
      <c r="N2877" s="9"/>
    </row>
    <row r="2878" spans="1:14" ht="15.75">
      <c r="A2878" s="11"/>
      <c r="B2878" s="9"/>
      <c r="C2878" s="12" t="str">
        <f>IF(B2878="","",IFERROR(INDEX('Cashier Roster'!$C$5:$C$64,MATCH(B2878,'Cashier Roster'!$B$5:$B$64,0)),"Not on roster"))</f>
        <v/>
      </c>
      <c r="D2878" s="12" t="str">
        <f>IF(B2878="","",IFERROR(INDEX('Cashier Roster'!$D$5:$D$64,MATCH(B2878,'Cashier Roster'!$B$5:$B$64,0)),""))</f>
        <v/>
      </c>
      <c r="E2878" s="13"/>
      <c r="F2878" s="14"/>
      <c r="G2878" s="8" t="str">
        <f>IF(OR(B2878="",E2878=""),"",IF(E2878="No","Missed",IF(F2878="","",IF(F2878&lt;=Settings!$B$7,"On time","Late"))))</f>
        <v/>
      </c>
      <c r="H2878" s="15"/>
      <c r="I2878" s="16"/>
      <c r="J2878" s="16"/>
      <c r="K2878" s="17" t="str">
        <f>IF(J2878="","",ROUND(J2878*Settings!$B$8,2))</f>
        <v/>
      </c>
      <c r="L2878" s="16"/>
      <c r="M2878" s="8" t="str">
        <f t="shared" si="44"/>
        <v/>
      </c>
      <c r="N2878" s="9"/>
    </row>
    <row r="2879" spans="1:14" ht="15.75">
      <c r="A2879" s="11"/>
      <c r="B2879" s="9"/>
      <c r="C2879" s="12" t="str">
        <f>IF(B2879="","",IFERROR(INDEX('Cashier Roster'!$C$5:$C$64,MATCH(B2879,'Cashier Roster'!$B$5:$B$64,0)),"Not on roster"))</f>
        <v/>
      </c>
      <c r="D2879" s="12" t="str">
        <f>IF(B2879="","",IFERROR(INDEX('Cashier Roster'!$D$5:$D$64,MATCH(B2879,'Cashier Roster'!$B$5:$B$64,0)),""))</f>
        <v/>
      </c>
      <c r="E2879" s="13"/>
      <c r="F2879" s="14"/>
      <c r="G2879" s="8" t="str">
        <f>IF(OR(B2879="",E2879=""),"",IF(E2879="No","Missed",IF(F2879="","",IF(F2879&lt;=Settings!$B$7,"On time","Late"))))</f>
        <v/>
      </c>
      <c r="H2879" s="15"/>
      <c r="I2879" s="16"/>
      <c r="J2879" s="16"/>
      <c r="K2879" s="17" t="str">
        <f>IF(J2879="","",ROUND(J2879*Settings!$B$8,2))</f>
        <v/>
      </c>
      <c r="L2879" s="16"/>
      <c r="M2879" s="8" t="str">
        <f t="shared" si="44"/>
        <v/>
      </c>
      <c r="N2879" s="9"/>
    </row>
    <row r="2880" spans="1:14" ht="15.75">
      <c r="A2880" s="11"/>
      <c r="B2880" s="9"/>
      <c r="C2880" s="12" t="str">
        <f>IF(B2880="","",IFERROR(INDEX('Cashier Roster'!$C$5:$C$64,MATCH(B2880,'Cashier Roster'!$B$5:$B$64,0)),"Not on roster"))</f>
        <v/>
      </c>
      <c r="D2880" s="12" t="str">
        <f>IF(B2880="","",IFERROR(INDEX('Cashier Roster'!$D$5:$D$64,MATCH(B2880,'Cashier Roster'!$B$5:$B$64,0)),""))</f>
        <v/>
      </c>
      <c r="E2880" s="13"/>
      <c r="F2880" s="14"/>
      <c r="G2880" s="8" t="str">
        <f>IF(OR(B2880="",E2880=""),"",IF(E2880="No","Missed",IF(F2880="","",IF(F2880&lt;=Settings!$B$7,"On time","Late"))))</f>
        <v/>
      </c>
      <c r="H2880" s="15"/>
      <c r="I2880" s="16"/>
      <c r="J2880" s="16"/>
      <c r="K2880" s="17" t="str">
        <f>IF(J2880="","",ROUND(J2880*Settings!$B$8,2))</f>
        <v/>
      </c>
      <c r="L2880" s="16"/>
      <c r="M2880" s="8" t="str">
        <f t="shared" si="44"/>
        <v/>
      </c>
      <c r="N2880" s="9"/>
    </row>
    <row r="2881" spans="1:14" ht="15.75">
      <c r="A2881" s="11"/>
      <c r="B2881" s="9"/>
      <c r="C2881" s="12" t="str">
        <f>IF(B2881="","",IFERROR(INDEX('Cashier Roster'!$C$5:$C$64,MATCH(B2881,'Cashier Roster'!$B$5:$B$64,0)),"Not on roster"))</f>
        <v/>
      </c>
      <c r="D2881" s="12" t="str">
        <f>IF(B2881="","",IFERROR(INDEX('Cashier Roster'!$D$5:$D$64,MATCH(B2881,'Cashier Roster'!$B$5:$B$64,0)),""))</f>
        <v/>
      </c>
      <c r="E2881" s="13"/>
      <c r="F2881" s="14"/>
      <c r="G2881" s="8" t="str">
        <f>IF(OR(B2881="",E2881=""),"",IF(E2881="No","Missed",IF(F2881="","",IF(F2881&lt;=Settings!$B$7,"On time","Late"))))</f>
        <v/>
      </c>
      <c r="H2881" s="15"/>
      <c r="I2881" s="16"/>
      <c r="J2881" s="16"/>
      <c r="K2881" s="17" t="str">
        <f>IF(J2881="","",ROUND(J2881*Settings!$B$8,2))</f>
        <v/>
      </c>
      <c r="L2881" s="16"/>
      <c r="M2881" s="8" t="str">
        <f t="shared" si="44"/>
        <v/>
      </c>
      <c r="N2881" s="9"/>
    </row>
    <row r="2882" spans="1:14" ht="15.75">
      <c r="A2882" s="11"/>
      <c r="B2882" s="9"/>
      <c r="C2882" s="12" t="str">
        <f>IF(B2882="","",IFERROR(INDEX('Cashier Roster'!$C$5:$C$64,MATCH(B2882,'Cashier Roster'!$B$5:$B$64,0)),"Not on roster"))</f>
        <v/>
      </c>
      <c r="D2882" s="12" t="str">
        <f>IF(B2882="","",IFERROR(INDEX('Cashier Roster'!$D$5:$D$64,MATCH(B2882,'Cashier Roster'!$B$5:$B$64,0)),""))</f>
        <v/>
      </c>
      <c r="E2882" s="13"/>
      <c r="F2882" s="14"/>
      <c r="G2882" s="8" t="str">
        <f>IF(OR(B2882="",E2882=""),"",IF(E2882="No","Missed",IF(F2882="","",IF(F2882&lt;=Settings!$B$7,"On time","Late"))))</f>
        <v/>
      </c>
      <c r="H2882" s="15"/>
      <c r="I2882" s="16"/>
      <c r="J2882" s="16"/>
      <c r="K2882" s="17" t="str">
        <f>IF(J2882="","",ROUND(J2882*Settings!$B$8,2))</f>
        <v/>
      </c>
      <c r="L2882" s="16"/>
      <c r="M2882" s="8" t="str">
        <f t="shared" si="44"/>
        <v/>
      </c>
      <c r="N2882" s="9"/>
    </row>
    <row r="2883" spans="1:14" ht="15.75">
      <c r="A2883" s="11"/>
      <c r="B2883" s="9"/>
      <c r="C2883" s="12" t="str">
        <f>IF(B2883="","",IFERROR(INDEX('Cashier Roster'!$C$5:$C$64,MATCH(B2883,'Cashier Roster'!$B$5:$B$64,0)),"Not on roster"))</f>
        <v/>
      </c>
      <c r="D2883" s="12" t="str">
        <f>IF(B2883="","",IFERROR(INDEX('Cashier Roster'!$D$5:$D$64,MATCH(B2883,'Cashier Roster'!$B$5:$B$64,0)),""))</f>
        <v/>
      </c>
      <c r="E2883" s="13"/>
      <c r="F2883" s="14"/>
      <c r="G2883" s="8" t="str">
        <f>IF(OR(B2883="",E2883=""),"",IF(E2883="No","Missed",IF(F2883="","",IF(F2883&lt;=Settings!$B$7,"On time","Late"))))</f>
        <v/>
      </c>
      <c r="H2883" s="15"/>
      <c r="I2883" s="16"/>
      <c r="J2883" s="16"/>
      <c r="K2883" s="17" t="str">
        <f>IF(J2883="","",ROUND(J2883*Settings!$B$8,2))</f>
        <v/>
      </c>
      <c r="L2883" s="16"/>
      <c r="M2883" s="8" t="str">
        <f t="shared" si="44"/>
        <v/>
      </c>
      <c r="N2883" s="9"/>
    </row>
    <row r="2884" spans="1:14" ht="15.75">
      <c r="A2884" s="11"/>
      <c r="B2884" s="9"/>
      <c r="C2884" s="12" t="str">
        <f>IF(B2884="","",IFERROR(INDEX('Cashier Roster'!$C$5:$C$64,MATCH(B2884,'Cashier Roster'!$B$5:$B$64,0)),"Not on roster"))</f>
        <v/>
      </c>
      <c r="D2884" s="12" t="str">
        <f>IF(B2884="","",IFERROR(INDEX('Cashier Roster'!$D$5:$D$64,MATCH(B2884,'Cashier Roster'!$B$5:$B$64,0)),""))</f>
        <v/>
      </c>
      <c r="E2884" s="13"/>
      <c r="F2884" s="14"/>
      <c r="G2884" s="8" t="str">
        <f>IF(OR(B2884="",E2884=""),"",IF(E2884="No","Missed",IF(F2884="","",IF(F2884&lt;=Settings!$B$7,"On time","Late"))))</f>
        <v/>
      </c>
      <c r="H2884" s="15"/>
      <c r="I2884" s="16"/>
      <c r="J2884" s="16"/>
      <c r="K2884" s="17" t="str">
        <f>IF(J2884="","",ROUND(J2884*Settings!$B$8,2))</f>
        <v/>
      </c>
      <c r="L2884" s="16"/>
      <c r="M2884" s="8" t="str">
        <f t="shared" si="44"/>
        <v/>
      </c>
      <c r="N2884" s="9"/>
    </row>
    <row r="2885" spans="1:14" ht="15.75">
      <c r="A2885" s="11"/>
      <c r="B2885" s="9"/>
      <c r="C2885" s="12" t="str">
        <f>IF(B2885="","",IFERROR(INDEX('Cashier Roster'!$C$5:$C$64,MATCH(B2885,'Cashier Roster'!$B$5:$B$64,0)),"Not on roster"))</f>
        <v/>
      </c>
      <c r="D2885" s="12" t="str">
        <f>IF(B2885="","",IFERROR(INDEX('Cashier Roster'!$D$5:$D$64,MATCH(B2885,'Cashier Roster'!$B$5:$B$64,0)),""))</f>
        <v/>
      </c>
      <c r="E2885" s="13"/>
      <c r="F2885" s="14"/>
      <c r="G2885" s="8" t="str">
        <f>IF(OR(B2885="",E2885=""),"",IF(E2885="No","Missed",IF(F2885="","",IF(F2885&lt;=Settings!$B$7,"On time","Late"))))</f>
        <v/>
      </c>
      <c r="H2885" s="15"/>
      <c r="I2885" s="16"/>
      <c r="J2885" s="16"/>
      <c r="K2885" s="17" t="str">
        <f>IF(J2885="","",ROUND(J2885*Settings!$B$8,2))</f>
        <v/>
      </c>
      <c r="L2885" s="16"/>
      <c r="M2885" s="8" t="str">
        <f t="shared" ref="M2885:M2948" si="45">IF(L2885="","",IF(L2885&lt;=0,"Yes","No"))</f>
        <v/>
      </c>
      <c r="N2885" s="9"/>
    </row>
    <row r="2886" spans="1:14" ht="15.75">
      <c r="A2886" s="11"/>
      <c r="B2886" s="9"/>
      <c r="C2886" s="12" t="str">
        <f>IF(B2886="","",IFERROR(INDEX('Cashier Roster'!$C$5:$C$64,MATCH(B2886,'Cashier Roster'!$B$5:$B$64,0)),"Not on roster"))</f>
        <v/>
      </c>
      <c r="D2886" s="12" t="str">
        <f>IF(B2886="","",IFERROR(INDEX('Cashier Roster'!$D$5:$D$64,MATCH(B2886,'Cashier Roster'!$B$5:$B$64,0)),""))</f>
        <v/>
      </c>
      <c r="E2886" s="13"/>
      <c r="F2886" s="14"/>
      <c r="G2886" s="8" t="str">
        <f>IF(OR(B2886="",E2886=""),"",IF(E2886="No","Missed",IF(F2886="","",IF(F2886&lt;=Settings!$B$7,"On time","Late"))))</f>
        <v/>
      </c>
      <c r="H2886" s="15"/>
      <c r="I2886" s="16"/>
      <c r="J2886" s="16"/>
      <c r="K2886" s="17" t="str">
        <f>IF(J2886="","",ROUND(J2886*Settings!$B$8,2))</f>
        <v/>
      </c>
      <c r="L2886" s="16"/>
      <c r="M2886" s="8" t="str">
        <f t="shared" si="45"/>
        <v/>
      </c>
      <c r="N2886" s="9"/>
    </row>
    <row r="2887" spans="1:14" ht="15.75">
      <c r="A2887" s="11"/>
      <c r="B2887" s="9"/>
      <c r="C2887" s="12" t="str">
        <f>IF(B2887="","",IFERROR(INDEX('Cashier Roster'!$C$5:$C$64,MATCH(B2887,'Cashier Roster'!$B$5:$B$64,0)),"Not on roster"))</f>
        <v/>
      </c>
      <c r="D2887" s="12" t="str">
        <f>IF(B2887="","",IFERROR(INDEX('Cashier Roster'!$D$5:$D$64,MATCH(B2887,'Cashier Roster'!$B$5:$B$64,0)),""))</f>
        <v/>
      </c>
      <c r="E2887" s="13"/>
      <c r="F2887" s="14"/>
      <c r="G2887" s="8" t="str">
        <f>IF(OR(B2887="",E2887=""),"",IF(E2887="No","Missed",IF(F2887="","",IF(F2887&lt;=Settings!$B$7,"On time","Late"))))</f>
        <v/>
      </c>
      <c r="H2887" s="15"/>
      <c r="I2887" s="16"/>
      <c r="J2887" s="16"/>
      <c r="K2887" s="17" t="str">
        <f>IF(J2887="","",ROUND(J2887*Settings!$B$8,2))</f>
        <v/>
      </c>
      <c r="L2887" s="16"/>
      <c r="M2887" s="8" t="str">
        <f t="shared" si="45"/>
        <v/>
      </c>
      <c r="N2887" s="9"/>
    </row>
    <row r="2888" spans="1:14" ht="15.75">
      <c r="A2888" s="11"/>
      <c r="B2888" s="9"/>
      <c r="C2888" s="12" t="str">
        <f>IF(B2888="","",IFERROR(INDEX('Cashier Roster'!$C$5:$C$64,MATCH(B2888,'Cashier Roster'!$B$5:$B$64,0)),"Not on roster"))</f>
        <v/>
      </c>
      <c r="D2888" s="12" t="str">
        <f>IF(B2888="","",IFERROR(INDEX('Cashier Roster'!$D$5:$D$64,MATCH(B2888,'Cashier Roster'!$B$5:$B$64,0)),""))</f>
        <v/>
      </c>
      <c r="E2888" s="13"/>
      <c r="F2888" s="14"/>
      <c r="G2888" s="8" t="str">
        <f>IF(OR(B2888="",E2888=""),"",IF(E2888="No","Missed",IF(F2888="","",IF(F2888&lt;=Settings!$B$7,"On time","Late"))))</f>
        <v/>
      </c>
      <c r="H2888" s="15"/>
      <c r="I2888" s="16"/>
      <c r="J2888" s="16"/>
      <c r="K2888" s="17" t="str">
        <f>IF(J2888="","",ROUND(J2888*Settings!$B$8,2))</f>
        <v/>
      </c>
      <c r="L2888" s="16"/>
      <c r="M2888" s="8" t="str">
        <f t="shared" si="45"/>
        <v/>
      </c>
      <c r="N2888" s="9"/>
    </row>
    <row r="2889" spans="1:14" ht="15.75">
      <c r="A2889" s="11"/>
      <c r="B2889" s="9"/>
      <c r="C2889" s="12" t="str">
        <f>IF(B2889="","",IFERROR(INDEX('Cashier Roster'!$C$5:$C$64,MATCH(B2889,'Cashier Roster'!$B$5:$B$64,0)),"Not on roster"))</f>
        <v/>
      </c>
      <c r="D2889" s="12" t="str">
        <f>IF(B2889="","",IFERROR(INDEX('Cashier Roster'!$D$5:$D$64,MATCH(B2889,'Cashier Roster'!$B$5:$B$64,0)),""))</f>
        <v/>
      </c>
      <c r="E2889" s="13"/>
      <c r="F2889" s="14"/>
      <c r="G2889" s="8" t="str">
        <f>IF(OR(B2889="",E2889=""),"",IF(E2889="No","Missed",IF(F2889="","",IF(F2889&lt;=Settings!$B$7,"On time","Late"))))</f>
        <v/>
      </c>
      <c r="H2889" s="15"/>
      <c r="I2889" s="16"/>
      <c r="J2889" s="16"/>
      <c r="K2889" s="17" t="str">
        <f>IF(J2889="","",ROUND(J2889*Settings!$B$8,2))</f>
        <v/>
      </c>
      <c r="L2889" s="16"/>
      <c r="M2889" s="8" t="str">
        <f t="shared" si="45"/>
        <v/>
      </c>
      <c r="N2889" s="9"/>
    </row>
    <row r="2890" spans="1:14" ht="15.75">
      <c r="A2890" s="11"/>
      <c r="B2890" s="9"/>
      <c r="C2890" s="12" t="str">
        <f>IF(B2890="","",IFERROR(INDEX('Cashier Roster'!$C$5:$C$64,MATCH(B2890,'Cashier Roster'!$B$5:$B$64,0)),"Not on roster"))</f>
        <v/>
      </c>
      <c r="D2890" s="12" t="str">
        <f>IF(B2890="","",IFERROR(INDEX('Cashier Roster'!$D$5:$D$64,MATCH(B2890,'Cashier Roster'!$B$5:$B$64,0)),""))</f>
        <v/>
      </c>
      <c r="E2890" s="13"/>
      <c r="F2890" s="14"/>
      <c r="G2890" s="8" t="str">
        <f>IF(OR(B2890="",E2890=""),"",IF(E2890="No","Missed",IF(F2890="","",IF(F2890&lt;=Settings!$B$7,"On time","Late"))))</f>
        <v/>
      </c>
      <c r="H2890" s="15"/>
      <c r="I2890" s="16"/>
      <c r="J2890" s="16"/>
      <c r="K2890" s="17" t="str">
        <f>IF(J2890="","",ROUND(J2890*Settings!$B$8,2))</f>
        <v/>
      </c>
      <c r="L2890" s="16"/>
      <c r="M2890" s="8" t="str">
        <f t="shared" si="45"/>
        <v/>
      </c>
      <c r="N2890" s="9"/>
    </row>
    <row r="2891" spans="1:14" ht="15.75">
      <c r="A2891" s="11"/>
      <c r="B2891" s="9"/>
      <c r="C2891" s="12" t="str">
        <f>IF(B2891="","",IFERROR(INDEX('Cashier Roster'!$C$5:$C$64,MATCH(B2891,'Cashier Roster'!$B$5:$B$64,0)),"Not on roster"))</f>
        <v/>
      </c>
      <c r="D2891" s="12" t="str">
        <f>IF(B2891="","",IFERROR(INDEX('Cashier Roster'!$D$5:$D$64,MATCH(B2891,'Cashier Roster'!$B$5:$B$64,0)),""))</f>
        <v/>
      </c>
      <c r="E2891" s="13"/>
      <c r="F2891" s="14"/>
      <c r="G2891" s="8" t="str">
        <f>IF(OR(B2891="",E2891=""),"",IF(E2891="No","Missed",IF(F2891="","",IF(F2891&lt;=Settings!$B$7,"On time","Late"))))</f>
        <v/>
      </c>
      <c r="H2891" s="15"/>
      <c r="I2891" s="16"/>
      <c r="J2891" s="16"/>
      <c r="K2891" s="17" t="str">
        <f>IF(J2891="","",ROUND(J2891*Settings!$B$8,2))</f>
        <v/>
      </c>
      <c r="L2891" s="16"/>
      <c r="M2891" s="8" t="str">
        <f t="shared" si="45"/>
        <v/>
      </c>
      <c r="N2891" s="9"/>
    </row>
    <row r="2892" spans="1:14" ht="15.75">
      <c r="A2892" s="11"/>
      <c r="B2892" s="9"/>
      <c r="C2892" s="12" t="str">
        <f>IF(B2892="","",IFERROR(INDEX('Cashier Roster'!$C$5:$C$64,MATCH(B2892,'Cashier Roster'!$B$5:$B$64,0)),"Not on roster"))</f>
        <v/>
      </c>
      <c r="D2892" s="12" t="str">
        <f>IF(B2892="","",IFERROR(INDEX('Cashier Roster'!$D$5:$D$64,MATCH(B2892,'Cashier Roster'!$B$5:$B$64,0)),""))</f>
        <v/>
      </c>
      <c r="E2892" s="13"/>
      <c r="F2892" s="14"/>
      <c r="G2892" s="8" t="str">
        <f>IF(OR(B2892="",E2892=""),"",IF(E2892="No","Missed",IF(F2892="","",IF(F2892&lt;=Settings!$B$7,"On time","Late"))))</f>
        <v/>
      </c>
      <c r="H2892" s="15"/>
      <c r="I2892" s="16"/>
      <c r="J2892" s="16"/>
      <c r="K2892" s="17" t="str">
        <f>IF(J2892="","",ROUND(J2892*Settings!$B$8,2))</f>
        <v/>
      </c>
      <c r="L2892" s="16"/>
      <c r="M2892" s="8" t="str">
        <f t="shared" si="45"/>
        <v/>
      </c>
      <c r="N2892" s="9"/>
    </row>
    <row r="2893" spans="1:14" ht="15.75">
      <c r="A2893" s="11"/>
      <c r="B2893" s="9"/>
      <c r="C2893" s="12" t="str">
        <f>IF(B2893="","",IFERROR(INDEX('Cashier Roster'!$C$5:$C$64,MATCH(B2893,'Cashier Roster'!$B$5:$B$64,0)),"Not on roster"))</f>
        <v/>
      </c>
      <c r="D2893" s="12" t="str">
        <f>IF(B2893="","",IFERROR(INDEX('Cashier Roster'!$D$5:$D$64,MATCH(B2893,'Cashier Roster'!$B$5:$B$64,0)),""))</f>
        <v/>
      </c>
      <c r="E2893" s="13"/>
      <c r="F2893" s="14"/>
      <c r="G2893" s="8" t="str">
        <f>IF(OR(B2893="",E2893=""),"",IF(E2893="No","Missed",IF(F2893="","",IF(F2893&lt;=Settings!$B$7,"On time","Late"))))</f>
        <v/>
      </c>
      <c r="H2893" s="15"/>
      <c r="I2893" s="16"/>
      <c r="J2893" s="16"/>
      <c r="K2893" s="17" t="str">
        <f>IF(J2893="","",ROUND(J2893*Settings!$B$8,2))</f>
        <v/>
      </c>
      <c r="L2893" s="16"/>
      <c r="M2893" s="8" t="str">
        <f t="shared" si="45"/>
        <v/>
      </c>
      <c r="N2893" s="9"/>
    </row>
    <row r="2894" spans="1:14" ht="15.75">
      <c r="A2894" s="11"/>
      <c r="B2894" s="9"/>
      <c r="C2894" s="12" t="str">
        <f>IF(B2894="","",IFERROR(INDEX('Cashier Roster'!$C$5:$C$64,MATCH(B2894,'Cashier Roster'!$B$5:$B$64,0)),"Not on roster"))</f>
        <v/>
      </c>
      <c r="D2894" s="12" t="str">
        <f>IF(B2894="","",IFERROR(INDEX('Cashier Roster'!$D$5:$D$64,MATCH(B2894,'Cashier Roster'!$B$5:$B$64,0)),""))</f>
        <v/>
      </c>
      <c r="E2894" s="13"/>
      <c r="F2894" s="14"/>
      <c r="G2894" s="8" t="str">
        <f>IF(OR(B2894="",E2894=""),"",IF(E2894="No","Missed",IF(F2894="","",IF(F2894&lt;=Settings!$B$7,"On time","Late"))))</f>
        <v/>
      </c>
      <c r="H2894" s="15"/>
      <c r="I2894" s="16"/>
      <c r="J2894" s="16"/>
      <c r="K2894" s="17" t="str">
        <f>IF(J2894="","",ROUND(J2894*Settings!$B$8,2))</f>
        <v/>
      </c>
      <c r="L2894" s="16"/>
      <c r="M2894" s="8" t="str">
        <f t="shared" si="45"/>
        <v/>
      </c>
      <c r="N2894" s="9"/>
    </row>
    <row r="2895" spans="1:14" ht="15.75">
      <c r="A2895" s="11"/>
      <c r="B2895" s="9"/>
      <c r="C2895" s="12" t="str">
        <f>IF(B2895="","",IFERROR(INDEX('Cashier Roster'!$C$5:$C$64,MATCH(B2895,'Cashier Roster'!$B$5:$B$64,0)),"Not on roster"))</f>
        <v/>
      </c>
      <c r="D2895" s="12" t="str">
        <f>IF(B2895="","",IFERROR(INDEX('Cashier Roster'!$D$5:$D$64,MATCH(B2895,'Cashier Roster'!$B$5:$B$64,0)),""))</f>
        <v/>
      </c>
      <c r="E2895" s="13"/>
      <c r="F2895" s="14"/>
      <c r="G2895" s="8" t="str">
        <f>IF(OR(B2895="",E2895=""),"",IF(E2895="No","Missed",IF(F2895="","",IF(F2895&lt;=Settings!$B$7,"On time","Late"))))</f>
        <v/>
      </c>
      <c r="H2895" s="15"/>
      <c r="I2895" s="16"/>
      <c r="J2895" s="16"/>
      <c r="K2895" s="17" t="str">
        <f>IF(J2895="","",ROUND(J2895*Settings!$B$8,2))</f>
        <v/>
      </c>
      <c r="L2895" s="16"/>
      <c r="M2895" s="8" t="str">
        <f t="shared" si="45"/>
        <v/>
      </c>
      <c r="N2895" s="9"/>
    </row>
    <row r="2896" spans="1:14" ht="15.75">
      <c r="A2896" s="11"/>
      <c r="B2896" s="9"/>
      <c r="C2896" s="12" t="str">
        <f>IF(B2896="","",IFERROR(INDEX('Cashier Roster'!$C$5:$C$64,MATCH(B2896,'Cashier Roster'!$B$5:$B$64,0)),"Not on roster"))</f>
        <v/>
      </c>
      <c r="D2896" s="12" t="str">
        <f>IF(B2896="","",IFERROR(INDEX('Cashier Roster'!$D$5:$D$64,MATCH(B2896,'Cashier Roster'!$B$5:$B$64,0)),""))</f>
        <v/>
      </c>
      <c r="E2896" s="13"/>
      <c r="F2896" s="14"/>
      <c r="G2896" s="8" t="str">
        <f>IF(OR(B2896="",E2896=""),"",IF(E2896="No","Missed",IF(F2896="","",IF(F2896&lt;=Settings!$B$7,"On time","Late"))))</f>
        <v/>
      </c>
      <c r="H2896" s="15"/>
      <c r="I2896" s="16"/>
      <c r="J2896" s="16"/>
      <c r="K2896" s="17" t="str">
        <f>IF(J2896="","",ROUND(J2896*Settings!$B$8,2))</f>
        <v/>
      </c>
      <c r="L2896" s="16"/>
      <c r="M2896" s="8" t="str">
        <f t="shared" si="45"/>
        <v/>
      </c>
      <c r="N2896" s="9"/>
    </row>
    <row r="2897" spans="1:14" ht="15.75">
      <c r="A2897" s="11"/>
      <c r="B2897" s="9"/>
      <c r="C2897" s="12" t="str">
        <f>IF(B2897="","",IFERROR(INDEX('Cashier Roster'!$C$5:$C$64,MATCH(B2897,'Cashier Roster'!$B$5:$B$64,0)),"Not on roster"))</f>
        <v/>
      </c>
      <c r="D2897" s="12" t="str">
        <f>IF(B2897="","",IFERROR(INDEX('Cashier Roster'!$D$5:$D$64,MATCH(B2897,'Cashier Roster'!$B$5:$B$64,0)),""))</f>
        <v/>
      </c>
      <c r="E2897" s="13"/>
      <c r="F2897" s="14"/>
      <c r="G2897" s="8" t="str">
        <f>IF(OR(B2897="",E2897=""),"",IF(E2897="No","Missed",IF(F2897="","",IF(F2897&lt;=Settings!$B$7,"On time","Late"))))</f>
        <v/>
      </c>
      <c r="H2897" s="15"/>
      <c r="I2897" s="16"/>
      <c r="J2897" s="16"/>
      <c r="K2897" s="17" t="str">
        <f>IF(J2897="","",ROUND(J2897*Settings!$B$8,2))</f>
        <v/>
      </c>
      <c r="L2897" s="16"/>
      <c r="M2897" s="8" t="str">
        <f t="shared" si="45"/>
        <v/>
      </c>
      <c r="N2897" s="9"/>
    </row>
    <row r="2898" spans="1:14" ht="15.75">
      <c r="A2898" s="11"/>
      <c r="B2898" s="9"/>
      <c r="C2898" s="12" t="str">
        <f>IF(B2898="","",IFERROR(INDEX('Cashier Roster'!$C$5:$C$64,MATCH(B2898,'Cashier Roster'!$B$5:$B$64,0)),"Not on roster"))</f>
        <v/>
      </c>
      <c r="D2898" s="12" t="str">
        <f>IF(B2898="","",IFERROR(INDEX('Cashier Roster'!$D$5:$D$64,MATCH(B2898,'Cashier Roster'!$B$5:$B$64,0)),""))</f>
        <v/>
      </c>
      <c r="E2898" s="13"/>
      <c r="F2898" s="14"/>
      <c r="G2898" s="8" t="str">
        <f>IF(OR(B2898="",E2898=""),"",IF(E2898="No","Missed",IF(F2898="","",IF(F2898&lt;=Settings!$B$7,"On time","Late"))))</f>
        <v/>
      </c>
      <c r="H2898" s="15"/>
      <c r="I2898" s="16"/>
      <c r="J2898" s="16"/>
      <c r="K2898" s="17" t="str">
        <f>IF(J2898="","",ROUND(J2898*Settings!$B$8,2))</f>
        <v/>
      </c>
      <c r="L2898" s="16"/>
      <c r="M2898" s="8" t="str">
        <f t="shared" si="45"/>
        <v/>
      </c>
      <c r="N2898" s="9"/>
    </row>
    <row r="2899" spans="1:14" ht="15.75">
      <c r="A2899" s="11"/>
      <c r="B2899" s="9"/>
      <c r="C2899" s="12" t="str">
        <f>IF(B2899="","",IFERROR(INDEX('Cashier Roster'!$C$5:$C$64,MATCH(B2899,'Cashier Roster'!$B$5:$B$64,0)),"Not on roster"))</f>
        <v/>
      </c>
      <c r="D2899" s="12" t="str">
        <f>IF(B2899="","",IFERROR(INDEX('Cashier Roster'!$D$5:$D$64,MATCH(B2899,'Cashier Roster'!$B$5:$B$64,0)),""))</f>
        <v/>
      </c>
      <c r="E2899" s="13"/>
      <c r="F2899" s="14"/>
      <c r="G2899" s="8" t="str">
        <f>IF(OR(B2899="",E2899=""),"",IF(E2899="No","Missed",IF(F2899="","",IF(F2899&lt;=Settings!$B$7,"On time","Late"))))</f>
        <v/>
      </c>
      <c r="H2899" s="15"/>
      <c r="I2899" s="16"/>
      <c r="J2899" s="16"/>
      <c r="K2899" s="17" t="str">
        <f>IF(J2899="","",ROUND(J2899*Settings!$B$8,2))</f>
        <v/>
      </c>
      <c r="L2899" s="16"/>
      <c r="M2899" s="8" t="str">
        <f t="shared" si="45"/>
        <v/>
      </c>
      <c r="N2899" s="9"/>
    </row>
    <row r="2900" spans="1:14" ht="15.75">
      <c r="A2900" s="11"/>
      <c r="B2900" s="9"/>
      <c r="C2900" s="12" t="str">
        <f>IF(B2900="","",IFERROR(INDEX('Cashier Roster'!$C$5:$C$64,MATCH(B2900,'Cashier Roster'!$B$5:$B$64,0)),"Not on roster"))</f>
        <v/>
      </c>
      <c r="D2900" s="12" t="str">
        <f>IF(B2900="","",IFERROR(INDEX('Cashier Roster'!$D$5:$D$64,MATCH(B2900,'Cashier Roster'!$B$5:$B$64,0)),""))</f>
        <v/>
      </c>
      <c r="E2900" s="13"/>
      <c r="F2900" s="14"/>
      <c r="G2900" s="8" t="str">
        <f>IF(OR(B2900="",E2900=""),"",IF(E2900="No","Missed",IF(F2900="","",IF(F2900&lt;=Settings!$B$7,"On time","Late"))))</f>
        <v/>
      </c>
      <c r="H2900" s="15"/>
      <c r="I2900" s="16"/>
      <c r="J2900" s="16"/>
      <c r="K2900" s="17" t="str">
        <f>IF(J2900="","",ROUND(J2900*Settings!$B$8,2))</f>
        <v/>
      </c>
      <c r="L2900" s="16"/>
      <c r="M2900" s="8" t="str">
        <f t="shared" si="45"/>
        <v/>
      </c>
      <c r="N2900" s="9"/>
    </row>
    <row r="2901" spans="1:14" ht="15.75">
      <c r="A2901" s="11"/>
      <c r="B2901" s="9"/>
      <c r="C2901" s="12" t="str">
        <f>IF(B2901="","",IFERROR(INDEX('Cashier Roster'!$C$5:$C$64,MATCH(B2901,'Cashier Roster'!$B$5:$B$64,0)),"Not on roster"))</f>
        <v/>
      </c>
      <c r="D2901" s="12" t="str">
        <f>IF(B2901="","",IFERROR(INDEX('Cashier Roster'!$D$5:$D$64,MATCH(B2901,'Cashier Roster'!$B$5:$B$64,0)),""))</f>
        <v/>
      </c>
      <c r="E2901" s="13"/>
      <c r="F2901" s="14"/>
      <c r="G2901" s="8" t="str">
        <f>IF(OR(B2901="",E2901=""),"",IF(E2901="No","Missed",IF(F2901="","",IF(F2901&lt;=Settings!$B$7,"On time","Late"))))</f>
        <v/>
      </c>
      <c r="H2901" s="15"/>
      <c r="I2901" s="16"/>
      <c r="J2901" s="16"/>
      <c r="K2901" s="17" t="str">
        <f>IF(J2901="","",ROUND(J2901*Settings!$B$8,2))</f>
        <v/>
      </c>
      <c r="L2901" s="16"/>
      <c r="M2901" s="8" t="str">
        <f t="shared" si="45"/>
        <v/>
      </c>
      <c r="N2901" s="9"/>
    </row>
    <row r="2902" spans="1:14" ht="15.75">
      <c r="A2902" s="11"/>
      <c r="B2902" s="9"/>
      <c r="C2902" s="12" t="str">
        <f>IF(B2902="","",IFERROR(INDEX('Cashier Roster'!$C$5:$C$64,MATCH(B2902,'Cashier Roster'!$B$5:$B$64,0)),"Not on roster"))</f>
        <v/>
      </c>
      <c r="D2902" s="12" t="str">
        <f>IF(B2902="","",IFERROR(INDEX('Cashier Roster'!$D$5:$D$64,MATCH(B2902,'Cashier Roster'!$B$5:$B$64,0)),""))</f>
        <v/>
      </c>
      <c r="E2902" s="13"/>
      <c r="F2902" s="14"/>
      <c r="G2902" s="8" t="str">
        <f>IF(OR(B2902="",E2902=""),"",IF(E2902="No","Missed",IF(F2902="","",IF(F2902&lt;=Settings!$B$7,"On time","Late"))))</f>
        <v/>
      </c>
      <c r="H2902" s="15"/>
      <c r="I2902" s="16"/>
      <c r="J2902" s="16"/>
      <c r="K2902" s="17" t="str">
        <f>IF(J2902="","",ROUND(J2902*Settings!$B$8,2))</f>
        <v/>
      </c>
      <c r="L2902" s="16"/>
      <c r="M2902" s="8" t="str">
        <f t="shared" si="45"/>
        <v/>
      </c>
      <c r="N2902" s="9"/>
    </row>
    <row r="2903" spans="1:14" ht="15.75">
      <c r="A2903" s="11"/>
      <c r="B2903" s="9"/>
      <c r="C2903" s="12" t="str">
        <f>IF(B2903="","",IFERROR(INDEX('Cashier Roster'!$C$5:$C$64,MATCH(B2903,'Cashier Roster'!$B$5:$B$64,0)),"Not on roster"))</f>
        <v/>
      </c>
      <c r="D2903" s="12" t="str">
        <f>IF(B2903="","",IFERROR(INDEX('Cashier Roster'!$D$5:$D$64,MATCH(B2903,'Cashier Roster'!$B$5:$B$64,0)),""))</f>
        <v/>
      </c>
      <c r="E2903" s="13"/>
      <c r="F2903" s="14"/>
      <c r="G2903" s="8" t="str">
        <f>IF(OR(B2903="",E2903=""),"",IF(E2903="No","Missed",IF(F2903="","",IF(F2903&lt;=Settings!$B$7,"On time","Late"))))</f>
        <v/>
      </c>
      <c r="H2903" s="15"/>
      <c r="I2903" s="16"/>
      <c r="J2903" s="16"/>
      <c r="K2903" s="17" t="str">
        <f>IF(J2903="","",ROUND(J2903*Settings!$B$8,2))</f>
        <v/>
      </c>
      <c r="L2903" s="16"/>
      <c r="M2903" s="8" t="str">
        <f t="shared" si="45"/>
        <v/>
      </c>
      <c r="N2903" s="9"/>
    </row>
    <row r="2904" spans="1:14" ht="15.75">
      <c r="A2904" s="11"/>
      <c r="B2904" s="9"/>
      <c r="C2904" s="12" t="str">
        <f>IF(B2904="","",IFERROR(INDEX('Cashier Roster'!$C$5:$C$64,MATCH(B2904,'Cashier Roster'!$B$5:$B$64,0)),"Not on roster"))</f>
        <v/>
      </c>
      <c r="D2904" s="12" t="str">
        <f>IF(B2904="","",IFERROR(INDEX('Cashier Roster'!$D$5:$D$64,MATCH(B2904,'Cashier Roster'!$B$5:$B$64,0)),""))</f>
        <v/>
      </c>
      <c r="E2904" s="13"/>
      <c r="F2904" s="14"/>
      <c r="G2904" s="8" t="str">
        <f>IF(OR(B2904="",E2904=""),"",IF(E2904="No","Missed",IF(F2904="","",IF(F2904&lt;=Settings!$B$7,"On time","Late"))))</f>
        <v/>
      </c>
      <c r="H2904" s="15"/>
      <c r="I2904" s="16"/>
      <c r="J2904" s="16"/>
      <c r="K2904" s="17" t="str">
        <f>IF(J2904="","",ROUND(J2904*Settings!$B$8,2))</f>
        <v/>
      </c>
      <c r="L2904" s="16"/>
      <c r="M2904" s="8" t="str">
        <f t="shared" si="45"/>
        <v/>
      </c>
      <c r="N2904" s="9"/>
    </row>
    <row r="2905" spans="1:14" ht="15.75">
      <c r="A2905" s="11"/>
      <c r="B2905" s="9"/>
      <c r="C2905" s="12" t="str">
        <f>IF(B2905="","",IFERROR(INDEX('Cashier Roster'!$C$5:$C$64,MATCH(B2905,'Cashier Roster'!$B$5:$B$64,0)),"Not on roster"))</f>
        <v/>
      </c>
      <c r="D2905" s="12" t="str">
        <f>IF(B2905="","",IFERROR(INDEX('Cashier Roster'!$D$5:$D$64,MATCH(B2905,'Cashier Roster'!$B$5:$B$64,0)),""))</f>
        <v/>
      </c>
      <c r="E2905" s="13"/>
      <c r="F2905" s="14"/>
      <c r="G2905" s="8" t="str">
        <f>IF(OR(B2905="",E2905=""),"",IF(E2905="No","Missed",IF(F2905="","",IF(F2905&lt;=Settings!$B$7,"On time","Late"))))</f>
        <v/>
      </c>
      <c r="H2905" s="15"/>
      <c r="I2905" s="16"/>
      <c r="J2905" s="16"/>
      <c r="K2905" s="17" t="str">
        <f>IF(J2905="","",ROUND(J2905*Settings!$B$8,2))</f>
        <v/>
      </c>
      <c r="L2905" s="16"/>
      <c r="M2905" s="8" t="str">
        <f t="shared" si="45"/>
        <v/>
      </c>
      <c r="N2905" s="9"/>
    </row>
    <row r="2906" spans="1:14" ht="15.75">
      <c r="A2906" s="11"/>
      <c r="B2906" s="9"/>
      <c r="C2906" s="12" t="str">
        <f>IF(B2906="","",IFERROR(INDEX('Cashier Roster'!$C$5:$C$64,MATCH(B2906,'Cashier Roster'!$B$5:$B$64,0)),"Not on roster"))</f>
        <v/>
      </c>
      <c r="D2906" s="12" t="str">
        <f>IF(B2906="","",IFERROR(INDEX('Cashier Roster'!$D$5:$D$64,MATCH(B2906,'Cashier Roster'!$B$5:$B$64,0)),""))</f>
        <v/>
      </c>
      <c r="E2906" s="13"/>
      <c r="F2906" s="14"/>
      <c r="G2906" s="8" t="str">
        <f>IF(OR(B2906="",E2906=""),"",IF(E2906="No","Missed",IF(F2906="","",IF(F2906&lt;=Settings!$B$7,"On time","Late"))))</f>
        <v/>
      </c>
      <c r="H2906" s="15"/>
      <c r="I2906" s="16"/>
      <c r="J2906" s="16"/>
      <c r="K2906" s="17" t="str">
        <f>IF(J2906="","",ROUND(J2906*Settings!$B$8,2))</f>
        <v/>
      </c>
      <c r="L2906" s="16"/>
      <c r="M2906" s="8" t="str">
        <f t="shared" si="45"/>
        <v/>
      </c>
      <c r="N2906" s="9"/>
    </row>
    <row r="2907" spans="1:14" ht="15.75">
      <c r="A2907" s="11"/>
      <c r="B2907" s="9"/>
      <c r="C2907" s="12" t="str">
        <f>IF(B2907="","",IFERROR(INDEX('Cashier Roster'!$C$5:$C$64,MATCH(B2907,'Cashier Roster'!$B$5:$B$64,0)),"Not on roster"))</f>
        <v/>
      </c>
      <c r="D2907" s="12" t="str">
        <f>IF(B2907="","",IFERROR(INDEX('Cashier Roster'!$D$5:$D$64,MATCH(B2907,'Cashier Roster'!$B$5:$B$64,0)),""))</f>
        <v/>
      </c>
      <c r="E2907" s="13"/>
      <c r="F2907" s="14"/>
      <c r="G2907" s="8" t="str">
        <f>IF(OR(B2907="",E2907=""),"",IF(E2907="No","Missed",IF(F2907="","",IF(F2907&lt;=Settings!$B$7,"On time","Late"))))</f>
        <v/>
      </c>
      <c r="H2907" s="15"/>
      <c r="I2907" s="16"/>
      <c r="J2907" s="16"/>
      <c r="K2907" s="17" t="str">
        <f>IF(J2907="","",ROUND(J2907*Settings!$B$8,2))</f>
        <v/>
      </c>
      <c r="L2907" s="16"/>
      <c r="M2907" s="8" t="str">
        <f t="shared" si="45"/>
        <v/>
      </c>
      <c r="N2907" s="9"/>
    </row>
    <row r="2908" spans="1:14" ht="15.75">
      <c r="A2908" s="11"/>
      <c r="B2908" s="9"/>
      <c r="C2908" s="12" t="str">
        <f>IF(B2908="","",IFERROR(INDEX('Cashier Roster'!$C$5:$C$64,MATCH(B2908,'Cashier Roster'!$B$5:$B$64,0)),"Not on roster"))</f>
        <v/>
      </c>
      <c r="D2908" s="12" t="str">
        <f>IF(B2908="","",IFERROR(INDEX('Cashier Roster'!$D$5:$D$64,MATCH(B2908,'Cashier Roster'!$B$5:$B$64,0)),""))</f>
        <v/>
      </c>
      <c r="E2908" s="13"/>
      <c r="F2908" s="14"/>
      <c r="G2908" s="8" t="str">
        <f>IF(OR(B2908="",E2908=""),"",IF(E2908="No","Missed",IF(F2908="","",IF(F2908&lt;=Settings!$B$7,"On time","Late"))))</f>
        <v/>
      </c>
      <c r="H2908" s="15"/>
      <c r="I2908" s="16"/>
      <c r="J2908" s="16"/>
      <c r="K2908" s="17" t="str">
        <f>IF(J2908="","",ROUND(J2908*Settings!$B$8,2))</f>
        <v/>
      </c>
      <c r="L2908" s="16"/>
      <c r="M2908" s="8" t="str">
        <f t="shared" si="45"/>
        <v/>
      </c>
      <c r="N2908" s="9"/>
    </row>
    <row r="2909" spans="1:14" ht="15.75">
      <c r="A2909" s="11"/>
      <c r="B2909" s="9"/>
      <c r="C2909" s="12" t="str">
        <f>IF(B2909="","",IFERROR(INDEX('Cashier Roster'!$C$5:$C$64,MATCH(B2909,'Cashier Roster'!$B$5:$B$64,0)),"Not on roster"))</f>
        <v/>
      </c>
      <c r="D2909" s="12" t="str">
        <f>IF(B2909="","",IFERROR(INDEX('Cashier Roster'!$D$5:$D$64,MATCH(B2909,'Cashier Roster'!$B$5:$B$64,0)),""))</f>
        <v/>
      </c>
      <c r="E2909" s="13"/>
      <c r="F2909" s="14"/>
      <c r="G2909" s="8" t="str">
        <f>IF(OR(B2909="",E2909=""),"",IF(E2909="No","Missed",IF(F2909="","",IF(F2909&lt;=Settings!$B$7,"On time","Late"))))</f>
        <v/>
      </c>
      <c r="H2909" s="15"/>
      <c r="I2909" s="16"/>
      <c r="J2909" s="16"/>
      <c r="K2909" s="17" t="str">
        <f>IF(J2909="","",ROUND(J2909*Settings!$B$8,2))</f>
        <v/>
      </c>
      <c r="L2909" s="16"/>
      <c r="M2909" s="8" t="str">
        <f t="shared" si="45"/>
        <v/>
      </c>
      <c r="N2909" s="9"/>
    </row>
    <row r="2910" spans="1:14" ht="15.75">
      <c r="A2910" s="11"/>
      <c r="B2910" s="9"/>
      <c r="C2910" s="12" t="str">
        <f>IF(B2910="","",IFERROR(INDEX('Cashier Roster'!$C$5:$C$64,MATCH(B2910,'Cashier Roster'!$B$5:$B$64,0)),"Not on roster"))</f>
        <v/>
      </c>
      <c r="D2910" s="12" t="str">
        <f>IF(B2910="","",IFERROR(INDEX('Cashier Roster'!$D$5:$D$64,MATCH(B2910,'Cashier Roster'!$B$5:$B$64,0)),""))</f>
        <v/>
      </c>
      <c r="E2910" s="13"/>
      <c r="F2910" s="14"/>
      <c r="G2910" s="8" t="str">
        <f>IF(OR(B2910="",E2910=""),"",IF(E2910="No","Missed",IF(F2910="","",IF(F2910&lt;=Settings!$B$7,"On time","Late"))))</f>
        <v/>
      </c>
      <c r="H2910" s="15"/>
      <c r="I2910" s="16"/>
      <c r="J2910" s="16"/>
      <c r="K2910" s="17" t="str">
        <f>IF(J2910="","",ROUND(J2910*Settings!$B$8,2))</f>
        <v/>
      </c>
      <c r="L2910" s="16"/>
      <c r="M2910" s="8" t="str">
        <f t="shared" si="45"/>
        <v/>
      </c>
      <c r="N2910" s="9"/>
    </row>
    <row r="2911" spans="1:14" ht="15.75">
      <c r="A2911" s="11"/>
      <c r="B2911" s="9"/>
      <c r="C2911" s="12" t="str">
        <f>IF(B2911="","",IFERROR(INDEX('Cashier Roster'!$C$5:$C$64,MATCH(B2911,'Cashier Roster'!$B$5:$B$64,0)),"Not on roster"))</f>
        <v/>
      </c>
      <c r="D2911" s="12" t="str">
        <f>IF(B2911="","",IFERROR(INDEX('Cashier Roster'!$D$5:$D$64,MATCH(B2911,'Cashier Roster'!$B$5:$B$64,0)),""))</f>
        <v/>
      </c>
      <c r="E2911" s="13"/>
      <c r="F2911" s="14"/>
      <c r="G2911" s="8" t="str">
        <f>IF(OR(B2911="",E2911=""),"",IF(E2911="No","Missed",IF(F2911="","",IF(F2911&lt;=Settings!$B$7,"On time","Late"))))</f>
        <v/>
      </c>
      <c r="H2911" s="15"/>
      <c r="I2911" s="16"/>
      <c r="J2911" s="16"/>
      <c r="K2911" s="17" t="str">
        <f>IF(J2911="","",ROUND(J2911*Settings!$B$8,2))</f>
        <v/>
      </c>
      <c r="L2911" s="16"/>
      <c r="M2911" s="8" t="str">
        <f t="shared" si="45"/>
        <v/>
      </c>
      <c r="N2911" s="9"/>
    </row>
    <row r="2912" spans="1:14" ht="15.75">
      <c r="A2912" s="11"/>
      <c r="B2912" s="9"/>
      <c r="C2912" s="12" t="str">
        <f>IF(B2912="","",IFERROR(INDEX('Cashier Roster'!$C$5:$C$64,MATCH(B2912,'Cashier Roster'!$B$5:$B$64,0)),"Not on roster"))</f>
        <v/>
      </c>
      <c r="D2912" s="12" t="str">
        <f>IF(B2912="","",IFERROR(INDEX('Cashier Roster'!$D$5:$D$64,MATCH(B2912,'Cashier Roster'!$B$5:$B$64,0)),""))</f>
        <v/>
      </c>
      <c r="E2912" s="13"/>
      <c r="F2912" s="14"/>
      <c r="G2912" s="8" t="str">
        <f>IF(OR(B2912="",E2912=""),"",IF(E2912="No","Missed",IF(F2912="","",IF(F2912&lt;=Settings!$B$7,"On time","Late"))))</f>
        <v/>
      </c>
      <c r="H2912" s="15"/>
      <c r="I2912" s="16"/>
      <c r="J2912" s="16"/>
      <c r="K2912" s="17" t="str">
        <f>IF(J2912="","",ROUND(J2912*Settings!$B$8,2))</f>
        <v/>
      </c>
      <c r="L2912" s="16"/>
      <c r="M2912" s="8" t="str">
        <f t="shared" si="45"/>
        <v/>
      </c>
      <c r="N2912" s="9"/>
    </row>
    <row r="2913" spans="1:14" ht="15.75">
      <c r="A2913" s="11"/>
      <c r="B2913" s="9"/>
      <c r="C2913" s="12" t="str">
        <f>IF(B2913="","",IFERROR(INDEX('Cashier Roster'!$C$5:$C$64,MATCH(B2913,'Cashier Roster'!$B$5:$B$64,0)),"Not on roster"))</f>
        <v/>
      </c>
      <c r="D2913" s="12" t="str">
        <f>IF(B2913="","",IFERROR(INDEX('Cashier Roster'!$D$5:$D$64,MATCH(B2913,'Cashier Roster'!$B$5:$B$64,0)),""))</f>
        <v/>
      </c>
      <c r="E2913" s="13"/>
      <c r="F2913" s="14"/>
      <c r="G2913" s="8" t="str">
        <f>IF(OR(B2913="",E2913=""),"",IF(E2913="No","Missed",IF(F2913="","",IF(F2913&lt;=Settings!$B$7,"On time","Late"))))</f>
        <v/>
      </c>
      <c r="H2913" s="15"/>
      <c r="I2913" s="16"/>
      <c r="J2913" s="16"/>
      <c r="K2913" s="17" t="str">
        <f>IF(J2913="","",ROUND(J2913*Settings!$B$8,2))</f>
        <v/>
      </c>
      <c r="L2913" s="16"/>
      <c r="M2913" s="8" t="str">
        <f t="shared" si="45"/>
        <v/>
      </c>
      <c r="N2913" s="9"/>
    </row>
    <row r="2914" spans="1:14" ht="15.75">
      <c r="A2914" s="11"/>
      <c r="B2914" s="9"/>
      <c r="C2914" s="12" t="str">
        <f>IF(B2914="","",IFERROR(INDEX('Cashier Roster'!$C$5:$C$64,MATCH(B2914,'Cashier Roster'!$B$5:$B$64,0)),"Not on roster"))</f>
        <v/>
      </c>
      <c r="D2914" s="12" t="str">
        <f>IF(B2914="","",IFERROR(INDEX('Cashier Roster'!$D$5:$D$64,MATCH(B2914,'Cashier Roster'!$B$5:$B$64,0)),""))</f>
        <v/>
      </c>
      <c r="E2914" s="13"/>
      <c r="F2914" s="14"/>
      <c r="G2914" s="8" t="str">
        <f>IF(OR(B2914="",E2914=""),"",IF(E2914="No","Missed",IF(F2914="","",IF(F2914&lt;=Settings!$B$7,"On time","Late"))))</f>
        <v/>
      </c>
      <c r="H2914" s="15"/>
      <c r="I2914" s="16"/>
      <c r="J2914" s="16"/>
      <c r="K2914" s="17" t="str">
        <f>IF(J2914="","",ROUND(J2914*Settings!$B$8,2))</f>
        <v/>
      </c>
      <c r="L2914" s="16"/>
      <c r="M2914" s="8" t="str">
        <f t="shared" si="45"/>
        <v/>
      </c>
      <c r="N2914" s="9"/>
    </row>
    <row r="2915" spans="1:14" ht="15.75">
      <c r="A2915" s="11"/>
      <c r="B2915" s="9"/>
      <c r="C2915" s="12" t="str">
        <f>IF(B2915="","",IFERROR(INDEX('Cashier Roster'!$C$5:$C$64,MATCH(B2915,'Cashier Roster'!$B$5:$B$64,0)),"Not on roster"))</f>
        <v/>
      </c>
      <c r="D2915" s="12" t="str">
        <f>IF(B2915="","",IFERROR(INDEX('Cashier Roster'!$D$5:$D$64,MATCH(B2915,'Cashier Roster'!$B$5:$B$64,0)),""))</f>
        <v/>
      </c>
      <c r="E2915" s="13"/>
      <c r="F2915" s="14"/>
      <c r="G2915" s="8" t="str">
        <f>IF(OR(B2915="",E2915=""),"",IF(E2915="No","Missed",IF(F2915="","",IF(F2915&lt;=Settings!$B$7,"On time","Late"))))</f>
        <v/>
      </c>
      <c r="H2915" s="15"/>
      <c r="I2915" s="16"/>
      <c r="J2915" s="16"/>
      <c r="K2915" s="17" t="str">
        <f>IF(J2915="","",ROUND(J2915*Settings!$B$8,2))</f>
        <v/>
      </c>
      <c r="L2915" s="16"/>
      <c r="M2915" s="8" t="str">
        <f t="shared" si="45"/>
        <v/>
      </c>
      <c r="N2915" s="9"/>
    </row>
    <row r="2916" spans="1:14" ht="15.75">
      <c r="A2916" s="11"/>
      <c r="B2916" s="9"/>
      <c r="C2916" s="12" t="str">
        <f>IF(B2916="","",IFERROR(INDEX('Cashier Roster'!$C$5:$C$64,MATCH(B2916,'Cashier Roster'!$B$5:$B$64,0)),"Not on roster"))</f>
        <v/>
      </c>
      <c r="D2916" s="12" t="str">
        <f>IF(B2916="","",IFERROR(INDEX('Cashier Roster'!$D$5:$D$64,MATCH(B2916,'Cashier Roster'!$B$5:$B$64,0)),""))</f>
        <v/>
      </c>
      <c r="E2916" s="13"/>
      <c r="F2916" s="14"/>
      <c r="G2916" s="8" t="str">
        <f>IF(OR(B2916="",E2916=""),"",IF(E2916="No","Missed",IF(F2916="","",IF(F2916&lt;=Settings!$B$7,"On time","Late"))))</f>
        <v/>
      </c>
      <c r="H2916" s="15"/>
      <c r="I2916" s="16"/>
      <c r="J2916" s="16"/>
      <c r="K2916" s="17" t="str">
        <f>IF(J2916="","",ROUND(J2916*Settings!$B$8,2))</f>
        <v/>
      </c>
      <c r="L2916" s="16"/>
      <c r="M2916" s="8" t="str">
        <f t="shared" si="45"/>
        <v/>
      </c>
      <c r="N2916" s="9"/>
    </row>
    <row r="2917" spans="1:14" ht="15.75">
      <c r="A2917" s="11"/>
      <c r="B2917" s="9"/>
      <c r="C2917" s="12" t="str">
        <f>IF(B2917="","",IFERROR(INDEX('Cashier Roster'!$C$5:$C$64,MATCH(B2917,'Cashier Roster'!$B$5:$B$64,0)),"Not on roster"))</f>
        <v/>
      </c>
      <c r="D2917" s="12" t="str">
        <f>IF(B2917="","",IFERROR(INDEX('Cashier Roster'!$D$5:$D$64,MATCH(B2917,'Cashier Roster'!$B$5:$B$64,0)),""))</f>
        <v/>
      </c>
      <c r="E2917" s="13"/>
      <c r="F2917" s="14"/>
      <c r="G2917" s="8" t="str">
        <f>IF(OR(B2917="",E2917=""),"",IF(E2917="No","Missed",IF(F2917="","",IF(F2917&lt;=Settings!$B$7,"On time","Late"))))</f>
        <v/>
      </c>
      <c r="H2917" s="15"/>
      <c r="I2917" s="16"/>
      <c r="J2917" s="16"/>
      <c r="K2917" s="17" t="str">
        <f>IF(J2917="","",ROUND(J2917*Settings!$B$8,2))</f>
        <v/>
      </c>
      <c r="L2917" s="16"/>
      <c r="M2917" s="8" t="str">
        <f t="shared" si="45"/>
        <v/>
      </c>
      <c r="N2917" s="9"/>
    </row>
    <row r="2918" spans="1:14" ht="15.75">
      <c r="A2918" s="11"/>
      <c r="B2918" s="9"/>
      <c r="C2918" s="12" t="str">
        <f>IF(B2918="","",IFERROR(INDEX('Cashier Roster'!$C$5:$C$64,MATCH(B2918,'Cashier Roster'!$B$5:$B$64,0)),"Not on roster"))</f>
        <v/>
      </c>
      <c r="D2918" s="12" t="str">
        <f>IF(B2918="","",IFERROR(INDEX('Cashier Roster'!$D$5:$D$64,MATCH(B2918,'Cashier Roster'!$B$5:$B$64,0)),""))</f>
        <v/>
      </c>
      <c r="E2918" s="13"/>
      <c r="F2918" s="14"/>
      <c r="G2918" s="8" t="str">
        <f>IF(OR(B2918="",E2918=""),"",IF(E2918="No","Missed",IF(F2918="","",IF(F2918&lt;=Settings!$B$7,"On time","Late"))))</f>
        <v/>
      </c>
      <c r="H2918" s="15"/>
      <c r="I2918" s="16"/>
      <c r="J2918" s="16"/>
      <c r="K2918" s="17" t="str">
        <f>IF(J2918="","",ROUND(J2918*Settings!$B$8,2))</f>
        <v/>
      </c>
      <c r="L2918" s="16"/>
      <c r="M2918" s="8" t="str">
        <f t="shared" si="45"/>
        <v/>
      </c>
      <c r="N2918" s="9"/>
    </row>
    <row r="2919" spans="1:14" ht="15.75">
      <c r="A2919" s="11"/>
      <c r="B2919" s="9"/>
      <c r="C2919" s="12" t="str">
        <f>IF(B2919="","",IFERROR(INDEX('Cashier Roster'!$C$5:$C$64,MATCH(B2919,'Cashier Roster'!$B$5:$B$64,0)),"Not on roster"))</f>
        <v/>
      </c>
      <c r="D2919" s="12" t="str">
        <f>IF(B2919="","",IFERROR(INDEX('Cashier Roster'!$D$5:$D$64,MATCH(B2919,'Cashier Roster'!$B$5:$B$64,0)),""))</f>
        <v/>
      </c>
      <c r="E2919" s="13"/>
      <c r="F2919" s="14"/>
      <c r="G2919" s="8" t="str">
        <f>IF(OR(B2919="",E2919=""),"",IF(E2919="No","Missed",IF(F2919="","",IF(F2919&lt;=Settings!$B$7,"On time","Late"))))</f>
        <v/>
      </c>
      <c r="H2919" s="15"/>
      <c r="I2919" s="16"/>
      <c r="J2919" s="16"/>
      <c r="K2919" s="17" t="str">
        <f>IF(J2919="","",ROUND(J2919*Settings!$B$8,2))</f>
        <v/>
      </c>
      <c r="L2919" s="16"/>
      <c r="M2919" s="8" t="str">
        <f t="shared" si="45"/>
        <v/>
      </c>
      <c r="N2919" s="9"/>
    </row>
    <row r="2920" spans="1:14" ht="15.75">
      <c r="A2920" s="11"/>
      <c r="B2920" s="9"/>
      <c r="C2920" s="12" t="str">
        <f>IF(B2920="","",IFERROR(INDEX('Cashier Roster'!$C$5:$C$64,MATCH(B2920,'Cashier Roster'!$B$5:$B$64,0)),"Not on roster"))</f>
        <v/>
      </c>
      <c r="D2920" s="12" t="str">
        <f>IF(B2920="","",IFERROR(INDEX('Cashier Roster'!$D$5:$D$64,MATCH(B2920,'Cashier Roster'!$B$5:$B$64,0)),""))</f>
        <v/>
      </c>
      <c r="E2920" s="13"/>
      <c r="F2920" s="14"/>
      <c r="G2920" s="8" t="str">
        <f>IF(OR(B2920="",E2920=""),"",IF(E2920="No","Missed",IF(F2920="","",IF(F2920&lt;=Settings!$B$7,"On time","Late"))))</f>
        <v/>
      </c>
      <c r="H2920" s="15"/>
      <c r="I2920" s="16"/>
      <c r="J2920" s="16"/>
      <c r="K2920" s="17" t="str">
        <f>IF(J2920="","",ROUND(J2920*Settings!$B$8,2))</f>
        <v/>
      </c>
      <c r="L2920" s="16"/>
      <c r="M2920" s="8" t="str">
        <f t="shared" si="45"/>
        <v/>
      </c>
      <c r="N2920" s="9"/>
    </row>
    <row r="2921" spans="1:14" ht="15.75">
      <c r="A2921" s="11"/>
      <c r="B2921" s="9"/>
      <c r="C2921" s="12" t="str">
        <f>IF(B2921="","",IFERROR(INDEX('Cashier Roster'!$C$5:$C$64,MATCH(B2921,'Cashier Roster'!$B$5:$B$64,0)),"Not on roster"))</f>
        <v/>
      </c>
      <c r="D2921" s="12" t="str">
        <f>IF(B2921="","",IFERROR(INDEX('Cashier Roster'!$D$5:$D$64,MATCH(B2921,'Cashier Roster'!$B$5:$B$64,0)),""))</f>
        <v/>
      </c>
      <c r="E2921" s="13"/>
      <c r="F2921" s="14"/>
      <c r="G2921" s="8" t="str">
        <f>IF(OR(B2921="",E2921=""),"",IF(E2921="No","Missed",IF(F2921="","",IF(F2921&lt;=Settings!$B$7,"On time","Late"))))</f>
        <v/>
      </c>
      <c r="H2921" s="15"/>
      <c r="I2921" s="16"/>
      <c r="J2921" s="16"/>
      <c r="K2921" s="17" t="str">
        <f>IF(J2921="","",ROUND(J2921*Settings!$B$8,2))</f>
        <v/>
      </c>
      <c r="L2921" s="16"/>
      <c r="M2921" s="8" t="str">
        <f t="shared" si="45"/>
        <v/>
      </c>
      <c r="N2921" s="9"/>
    </row>
    <row r="2922" spans="1:14" ht="15.75">
      <c r="A2922" s="11"/>
      <c r="B2922" s="9"/>
      <c r="C2922" s="12" t="str">
        <f>IF(B2922="","",IFERROR(INDEX('Cashier Roster'!$C$5:$C$64,MATCH(B2922,'Cashier Roster'!$B$5:$B$64,0)),"Not on roster"))</f>
        <v/>
      </c>
      <c r="D2922" s="12" t="str">
        <f>IF(B2922="","",IFERROR(INDEX('Cashier Roster'!$D$5:$D$64,MATCH(B2922,'Cashier Roster'!$B$5:$B$64,0)),""))</f>
        <v/>
      </c>
      <c r="E2922" s="13"/>
      <c r="F2922" s="14"/>
      <c r="G2922" s="8" t="str">
        <f>IF(OR(B2922="",E2922=""),"",IF(E2922="No","Missed",IF(F2922="","",IF(F2922&lt;=Settings!$B$7,"On time","Late"))))</f>
        <v/>
      </c>
      <c r="H2922" s="15"/>
      <c r="I2922" s="16"/>
      <c r="J2922" s="16"/>
      <c r="K2922" s="17" t="str">
        <f>IF(J2922="","",ROUND(J2922*Settings!$B$8,2))</f>
        <v/>
      </c>
      <c r="L2922" s="16"/>
      <c r="M2922" s="8" t="str">
        <f t="shared" si="45"/>
        <v/>
      </c>
      <c r="N2922" s="9"/>
    </row>
    <row r="2923" spans="1:14" ht="15.75">
      <c r="A2923" s="11"/>
      <c r="B2923" s="9"/>
      <c r="C2923" s="12" t="str">
        <f>IF(B2923="","",IFERROR(INDEX('Cashier Roster'!$C$5:$C$64,MATCH(B2923,'Cashier Roster'!$B$5:$B$64,0)),"Not on roster"))</f>
        <v/>
      </c>
      <c r="D2923" s="12" t="str">
        <f>IF(B2923="","",IFERROR(INDEX('Cashier Roster'!$D$5:$D$64,MATCH(B2923,'Cashier Roster'!$B$5:$B$64,0)),""))</f>
        <v/>
      </c>
      <c r="E2923" s="13"/>
      <c r="F2923" s="14"/>
      <c r="G2923" s="8" t="str">
        <f>IF(OR(B2923="",E2923=""),"",IF(E2923="No","Missed",IF(F2923="","",IF(F2923&lt;=Settings!$B$7,"On time","Late"))))</f>
        <v/>
      </c>
      <c r="H2923" s="15"/>
      <c r="I2923" s="16"/>
      <c r="J2923" s="16"/>
      <c r="K2923" s="17" t="str">
        <f>IF(J2923="","",ROUND(J2923*Settings!$B$8,2))</f>
        <v/>
      </c>
      <c r="L2923" s="16"/>
      <c r="M2923" s="8" t="str">
        <f t="shared" si="45"/>
        <v/>
      </c>
      <c r="N2923" s="9"/>
    </row>
    <row r="2924" spans="1:14" ht="15.75">
      <c r="A2924" s="11"/>
      <c r="B2924" s="9"/>
      <c r="C2924" s="12" t="str">
        <f>IF(B2924="","",IFERROR(INDEX('Cashier Roster'!$C$5:$C$64,MATCH(B2924,'Cashier Roster'!$B$5:$B$64,0)),"Not on roster"))</f>
        <v/>
      </c>
      <c r="D2924" s="12" t="str">
        <f>IF(B2924="","",IFERROR(INDEX('Cashier Roster'!$D$5:$D$64,MATCH(B2924,'Cashier Roster'!$B$5:$B$64,0)),""))</f>
        <v/>
      </c>
      <c r="E2924" s="13"/>
      <c r="F2924" s="14"/>
      <c r="G2924" s="8" t="str">
        <f>IF(OR(B2924="",E2924=""),"",IF(E2924="No","Missed",IF(F2924="","",IF(F2924&lt;=Settings!$B$7,"On time","Late"))))</f>
        <v/>
      </c>
      <c r="H2924" s="15"/>
      <c r="I2924" s="16"/>
      <c r="J2924" s="16"/>
      <c r="K2924" s="17" t="str">
        <f>IF(J2924="","",ROUND(J2924*Settings!$B$8,2))</f>
        <v/>
      </c>
      <c r="L2924" s="16"/>
      <c r="M2924" s="8" t="str">
        <f t="shared" si="45"/>
        <v/>
      </c>
      <c r="N2924" s="9"/>
    </row>
    <row r="2925" spans="1:14" ht="15.75">
      <c r="A2925" s="11"/>
      <c r="B2925" s="9"/>
      <c r="C2925" s="12" t="str">
        <f>IF(B2925="","",IFERROR(INDEX('Cashier Roster'!$C$5:$C$64,MATCH(B2925,'Cashier Roster'!$B$5:$B$64,0)),"Not on roster"))</f>
        <v/>
      </c>
      <c r="D2925" s="12" t="str">
        <f>IF(B2925="","",IFERROR(INDEX('Cashier Roster'!$D$5:$D$64,MATCH(B2925,'Cashier Roster'!$B$5:$B$64,0)),""))</f>
        <v/>
      </c>
      <c r="E2925" s="13"/>
      <c r="F2925" s="14"/>
      <c r="G2925" s="8" t="str">
        <f>IF(OR(B2925="",E2925=""),"",IF(E2925="No","Missed",IF(F2925="","",IF(F2925&lt;=Settings!$B$7,"On time","Late"))))</f>
        <v/>
      </c>
      <c r="H2925" s="15"/>
      <c r="I2925" s="16"/>
      <c r="J2925" s="16"/>
      <c r="K2925" s="17" t="str">
        <f>IF(J2925="","",ROUND(J2925*Settings!$B$8,2))</f>
        <v/>
      </c>
      <c r="L2925" s="16"/>
      <c r="M2925" s="8" t="str">
        <f t="shared" si="45"/>
        <v/>
      </c>
      <c r="N2925" s="9"/>
    </row>
    <row r="2926" spans="1:14" ht="15.75">
      <c r="A2926" s="11"/>
      <c r="B2926" s="9"/>
      <c r="C2926" s="12" t="str">
        <f>IF(B2926="","",IFERROR(INDEX('Cashier Roster'!$C$5:$C$64,MATCH(B2926,'Cashier Roster'!$B$5:$B$64,0)),"Not on roster"))</f>
        <v/>
      </c>
      <c r="D2926" s="12" t="str">
        <f>IF(B2926="","",IFERROR(INDEX('Cashier Roster'!$D$5:$D$64,MATCH(B2926,'Cashier Roster'!$B$5:$B$64,0)),""))</f>
        <v/>
      </c>
      <c r="E2926" s="13"/>
      <c r="F2926" s="14"/>
      <c r="G2926" s="8" t="str">
        <f>IF(OR(B2926="",E2926=""),"",IF(E2926="No","Missed",IF(F2926="","",IF(F2926&lt;=Settings!$B$7,"On time","Late"))))</f>
        <v/>
      </c>
      <c r="H2926" s="15"/>
      <c r="I2926" s="16"/>
      <c r="J2926" s="16"/>
      <c r="K2926" s="17" t="str">
        <f>IF(J2926="","",ROUND(J2926*Settings!$B$8,2))</f>
        <v/>
      </c>
      <c r="L2926" s="16"/>
      <c r="M2926" s="8" t="str">
        <f t="shared" si="45"/>
        <v/>
      </c>
      <c r="N2926" s="9"/>
    </row>
    <row r="2927" spans="1:14" ht="15.75">
      <c r="A2927" s="11"/>
      <c r="B2927" s="9"/>
      <c r="C2927" s="12" t="str">
        <f>IF(B2927="","",IFERROR(INDEX('Cashier Roster'!$C$5:$C$64,MATCH(B2927,'Cashier Roster'!$B$5:$B$64,0)),"Not on roster"))</f>
        <v/>
      </c>
      <c r="D2927" s="12" t="str">
        <f>IF(B2927="","",IFERROR(INDEX('Cashier Roster'!$D$5:$D$64,MATCH(B2927,'Cashier Roster'!$B$5:$B$64,0)),""))</f>
        <v/>
      </c>
      <c r="E2927" s="13"/>
      <c r="F2927" s="14"/>
      <c r="G2927" s="8" t="str">
        <f>IF(OR(B2927="",E2927=""),"",IF(E2927="No","Missed",IF(F2927="","",IF(F2927&lt;=Settings!$B$7,"On time","Late"))))</f>
        <v/>
      </c>
      <c r="H2927" s="15"/>
      <c r="I2927" s="16"/>
      <c r="J2927" s="16"/>
      <c r="K2927" s="17" t="str">
        <f>IF(J2927="","",ROUND(J2927*Settings!$B$8,2))</f>
        <v/>
      </c>
      <c r="L2927" s="16"/>
      <c r="M2927" s="8" t="str">
        <f t="shared" si="45"/>
        <v/>
      </c>
      <c r="N2927" s="9"/>
    </row>
    <row r="2928" spans="1:14" ht="15.75">
      <c r="A2928" s="11"/>
      <c r="B2928" s="9"/>
      <c r="C2928" s="12" t="str">
        <f>IF(B2928="","",IFERROR(INDEX('Cashier Roster'!$C$5:$C$64,MATCH(B2928,'Cashier Roster'!$B$5:$B$64,0)),"Not on roster"))</f>
        <v/>
      </c>
      <c r="D2928" s="12" t="str">
        <f>IF(B2928="","",IFERROR(INDEX('Cashier Roster'!$D$5:$D$64,MATCH(B2928,'Cashier Roster'!$B$5:$B$64,0)),""))</f>
        <v/>
      </c>
      <c r="E2928" s="13"/>
      <c r="F2928" s="14"/>
      <c r="G2928" s="8" t="str">
        <f>IF(OR(B2928="",E2928=""),"",IF(E2928="No","Missed",IF(F2928="","",IF(F2928&lt;=Settings!$B$7,"On time","Late"))))</f>
        <v/>
      </c>
      <c r="H2928" s="15"/>
      <c r="I2928" s="16"/>
      <c r="J2928" s="16"/>
      <c r="K2928" s="17" t="str">
        <f>IF(J2928="","",ROUND(J2928*Settings!$B$8,2))</f>
        <v/>
      </c>
      <c r="L2928" s="16"/>
      <c r="M2928" s="8" t="str">
        <f t="shared" si="45"/>
        <v/>
      </c>
      <c r="N2928" s="9"/>
    </row>
    <row r="2929" spans="1:14" ht="15.75">
      <c r="A2929" s="11"/>
      <c r="B2929" s="9"/>
      <c r="C2929" s="12" t="str">
        <f>IF(B2929="","",IFERROR(INDEX('Cashier Roster'!$C$5:$C$64,MATCH(B2929,'Cashier Roster'!$B$5:$B$64,0)),"Not on roster"))</f>
        <v/>
      </c>
      <c r="D2929" s="12" t="str">
        <f>IF(B2929="","",IFERROR(INDEX('Cashier Roster'!$D$5:$D$64,MATCH(B2929,'Cashier Roster'!$B$5:$B$64,0)),""))</f>
        <v/>
      </c>
      <c r="E2929" s="13"/>
      <c r="F2929" s="14"/>
      <c r="G2929" s="8" t="str">
        <f>IF(OR(B2929="",E2929=""),"",IF(E2929="No","Missed",IF(F2929="","",IF(F2929&lt;=Settings!$B$7,"On time","Late"))))</f>
        <v/>
      </c>
      <c r="H2929" s="15"/>
      <c r="I2929" s="16"/>
      <c r="J2929" s="16"/>
      <c r="K2929" s="17" t="str">
        <f>IF(J2929="","",ROUND(J2929*Settings!$B$8,2))</f>
        <v/>
      </c>
      <c r="L2929" s="16"/>
      <c r="M2929" s="8" t="str">
        <f t="shared" si="45"/>
        <v/>
      </c>
      <c r="N2929" s="9"/>
    </row>
    <row r="2930" spans="1:14" ht="15.75">
      <c r="A2930" s="11"/>
      <c r="B2930" s="9"/>
      <c r="C2930" s="12" t="str">
        <f>IF(B2930="","",IFERROR(INDEX('Cashier Roster'!$C$5:$C$64,MATCH(B2930,'Cashier Roster'!$B$5:$B$64,0)),"Not on roster"))</f>
        <v/>
      </c>
      <c r="D2930" s="12" t="str">
        <f>IF(B2930="","",IFERROR(INDEX('Cashier Roster'!$D$5:$D$64,MATCH(B2930,'Cashier Roster'!$B$5:$B$64,0)),""))</f>
        <v/>
      </c>
      <c r="E2930" s="13"/>
      <c r="F2930" s="14"/>
      <c r="G2930" s="8" t="str">
        <f>IF(OR(B2930="",E2930=""),"",IF(E2930="No","Missed",IF(F2930="","",IF(F2930&lt;=Settings!$B$7,"On time","Late"))))</f>
        <v/>
      </c>
      <c r="H2930" s="15"/>
      <c r="I2930" s="16"/>
      <c r="J2930" s="16"/>
      <c r="K2930" s="17" t="str">
        <f>IF(J2930="","",ROUND(J2930*Settings!$B$8,2))</f>
        <v/>
      </c>
      <c r="L2930" s="16"/>
      <c r="M2930" s="8" t="str">
        <f t="shared" si="45"/>
        <v/>
      </c>
      <c r="N2930" s="9"/>
    </row>
    <row r="2931" spans="1:14" ht="15.75">
      <c r="A2931" s="11"/>
      <c r="B2931" s="9"/>
      <c r="C2931" s="12" t="str">
        <f>IF(B2931="","",IFERROR(INDEX('Cashier Roster'!$C$5:$C$64,MATCH(B2931,'Cashier Roster'!$B$5:$B$64,0)),"Not on roster"))</f>
        <v/>
      </c>
      <c r="D2931" s="12" t="str">
        <f>IF(B2931="","",IFERROR(INDEX('Cashier Roster'!$D$5:$D$64,MATCH(B2931,'Cashier Roster'!$B$5:$B$64,0)),""))</f>
        <v/>
      </c>
      <c r="E2931" s="13"/>
      <c r="F2931" s="14"/>
      <c r="G2931" s="8" t="str">
        <f>IF(OR(B2931="",E2931=""),"",IF(E2931="No","Missed",IF(F2931="","",IF(F2931&lt;=Settings!$B$7,"On time","Late"))))</f>
        <v/>
      </c>
      <c r="H2931" s="15"/>
      <c r="I2931" s="16"/>
      <c r="J2931" s="16"/>
      <c r="K2931" s="17" t="str">
        <f>IF(J2931="","",ROUND(J2931*Settings!$B$8,2))</f>
        <v/>
      </c>
      <c r="L2931" s="16"/>
      <c r="M2931" s="8" t="str">
        <f t="shared" si="45"/>
        <v/>
      </c>
      <c r="N2931" s="9"/>
    </row>
    <row r="2932" spans="1:14" ht="15.75">
      <c r="A2932" s="11"/>
      <c r="B2932" s="9"/>
      <c r="C2932" s="12" t="str">
        <f>IF(B2932="","",IFERROR(INDEX('Cashier Roster'!$C$5:$C$64,MATCH(B2932,'Cashier Roster'!$B$5:$B$64,0)),"Not on roster"))</f>
        <v/>
      </c>
      <c r="D2932" s="12" t="str">
        <f>IF(B2932="","",IFERROR(INDEX('Cashier Roster'!$D$5:$D$64,MATCH(B2932,'Cashier Roster'!$B$5:$B$64,0)),""))</f>
        <v/>
      </c>
      <c r="E2932" s="13"/>
      <c r="F2932" s="14"/>
      <c r="G2932" s="8" t="str">
        <f>IF(OR(B2932="",E2932=""),"",IF(E2932="No","Missed",IF(F2932="","",IF(F2932&lt;=Settings!$B$7,"On time","Late"))))</f>
        <v/>
      </c>
      <c r="H2932" s="15"/>
      <c r="I2932" s="16"/>
      <c r="J2932" s="16"/>
      <c r="K2932" s="17" t="str">
        <f>IF(J2932="","",ROUND(J2932*Settings!$B$8,2))</f>
        <v/>
      </c>
      <c r="L2932" s="16"/>
      <c r="M2932" s="8" t="str">
        <f t="shared" si="45"/>
        <v/>
      </c>
      <c r="N2932" s="9"/>
    </row>
    <row r="2933" spans="1:14" ht="15.75">
      <c r="A2933" s="11"/>
      <c r="B2933" s="9"/>
      <c r="C2933" s="12" t="str">
        <f>IF(B2933="","",IFERROR(INDEX('Cashier Roster'!$C$5:$C$64,MATCH(B2933,'Cashier Roster'!$B$5:$B$64,0)),"Not on roster"))</f>
        <v/>
      </c>
      <c r="D2933" s="12" t="str">
        <f>IF(B2933="","",IFERROR(INDEX('Cashier Roster'!$D$5:$D$64,MATCH(B2933,'Cashier Roster'!$B$5:$B$64,0)),""))</f>
        <v/>
      </c>
      <c r="E2933" s="13"/>
      <c r="F2933" s="14"/>
      <c r="G2933" s="8" t="str">
        <f>IF(OR(B2933="",E2933=""),"",IF(E2933="No","Missed",IF(F2933="","",IF(F2933&lt;=Settings!$B$7,"On time","Late"))))</f>
        <v/>
      </c>
      <c r="H2933" s="15"/>
      <c r="I2933" s="16"/>
      <c r="J2933" s="16"/>
      <c r="K2933" s="17" t="str">
        <f>IF(J2933="","",ROUND(J2933*Settings!$B$8,2))</f>
        <v/>
      </c>
      <c r="L2933" s="16"/>
      <c r="M2933" s="8" t="str">
        <f t="shared" si="45"/>
        <v/>
      </c>
      <c r="N2933" s="9"/>
    </row>
    <row r="2934" spans="1:14" ht="15.75">
      <c r="A2934" s="11"/>
      <c r="B2934" s="9"/>
      <c r="C2934" s="12" t="str">
        <f>IF(B2934="","",IFERROR(INDEX('Cashier Roster'!$C$5:$C$64,MATCH(B2934,'Cashier Roster'!$B$5:$B$64,0)),"Not on roster"))</f>
        <v/>
      </c>
      <c r="D2934" s="12" t="str">
        <f>IF(B2934="","",IFERROR(INDEX('Cashier Roster'!$D$5:$D$64,MATCH(B2934,'Cashier Roster'!$B$5:$B$64,0)),""))</f>
        <v/>
      </c>
      <c r="E2934" s="13"/>
      <c r="F2934" s="14"/>
      <c r="G2934" s="8" t="str">
        <f>IF(OR(B2934="",E2934=""),"",IF(E2934="No","Missed",IF(F2934="","",IF(F2934&lt;=Settings!$B$7,"On time","Late"))))</f>
        <v/>
      </c>
      <c r="H2934" s="15"/>
      <c r="I2934" s="16"/>
      <c r="J2934" s="16"/>
      <c r="K2934" s="17" t="str">
        <f>IF(J2934="","",ROUND(J2934*Settings!$B$8,2))</f>
        <v/>
      </c>
      <c r="L2934" s="16"/>
      <c r="M2934" s="8" t="str">
        <f t="shared" si="45"/>
        <v/>
      </c>
      <c r="N2934" s="9"/>
    </row>
    <row r="2935" spans="1:14" ht="15.75">
      <c r="A2935" s="11"/>
      <c r="B2935" s="9"/>
      <c r="C2935" s="12" t="str">
        <f>IF(B2935="","",IFERROR(INDEX('Cashier Roster'!$C$5:$C$64,MATCH(B2935,'Cashier Roster'!$B$5:$B$64,0)),"Not on roster"))</f>
        <v/>
      </c>
      <c r="D2935" s="12" t="str">
        <f>IF(B2935="","",IFERROR(INDEX('Cashier Roster'!$D$5:$D$64,MATCH(B2935,'Cashier Roster'!$B$5:$B$64,0)),""))</f>
        <v/>
      </c>
      <c r="E2935" s="13"/>
      <c r="F2935" s="14"/>
      <c r="G2935" s="8" t="str">
        <f>IF(OR(B2935="",E2935=""),"",IF(E2935="No","Missed",IF(F2935="","",IF(F2935&lt;=Settings!$B$7,"On time","Late"))))</f>
        <v/>
      </c>
      <c r="H2935" s="15"/>
      <c r="I2935" s="16"/>
      <c r="J2935" s="16"/>
      <c r="K2935" s="17" t="str">
        <f>IF(J2935="","",ROUND(J2935*Settings!$B$8,2))</f>
        <v/>
      </c>
      <c r="L2935" s="16"/>
      <c r="M2935" s="8" t="str">
        <f t="shared" si="45"/>
        <v/>
      </c>
      <c r="N2935" s="9"/>
    </row>
    <row r="2936" spans="1:14" ht="15.75">
      <c r="A2936" s="11"/>
      <c r="B2936" s="9"/>
      <c r="C2936" s="12" t="str">
        <f>IF(B2936="","",IFERROR(INDEX('Cashier Roster'!$C$5:$C$64,MATCH(B2936,'Cashier Roster'!$B$5:$B$64,0)),"Not on roster"))</f>
        <v/>
      </c>
      <c r="D2936" s="12" t="str">
        <f>IF(B2936="","",IFERROR(INDEX('Cashier Roster'!$D$5:$D$64,MATCH(B2936,'Cashier Roster'!$B$5:$B$64,0)),""))</f>
        <v/>
      </c>
      <c r="E2936" s="13"/>
      <c r="F2936" s="14"/>
      <c r="G2936" s="8" t="str">
        <f>IF(OR(B2936="",E2936=""),"",IF(E2936="No","Missed",IF(F2936="","",IF(F2936&lt;=Settings!$B$7,"On time","Late"))))</f>
        <v/>
      </c>
      <c r="H2936" s="15"/>
      <c r="I2936" s="16"/>
      <c r="J2936" s="16"/>
      <c r="K2936" s="17" t="str">
        <f>IF(J2936="","",ROUND(J2936*Settings!$B$8,2))</f>
        <v/>
      </c>
      <c r="L2936" s="16"/>
      <c r="M2936" s="8" t="str">
        <f t="shared" si="45"/>
        <v/>
      </c>
      <c r="N2936" s="9"/>
    </row>
    <row r="2937" spans="1:14" ht="15.75">
      <c r="A2937" s="11"/>
      <c r="B2937" s="9"/>
      <c r="C2937" s="12" t="str">
        <f>IF(B2937="","",IFERROR(INDEX('Cashier Roster'!$C$5:$C$64,MATCH(B2937,'Cashier Roster'!$B$5:$B$64,0)),"Not on roster"))</f>
        <v/>
      </c>
      <c r="D2937" s="12" t="str">
        <f>IF(B2937="","",IFERROR(INDEX('Cashier Roster'!$D$5:$D$64,MATCH(B2937,'Cashier Roster'!$B$5:$B$64,0)),""))</f>
        <v/>
      </c>
      <c r="E2937" s="13"/>
      <c r="F2937" s="14"/>
      <c r="G2937" s="8" t="str">
        <f>IF(OR(B2937="",E2937=""),"",IF(E2937="No","Missed",IF(F2937="","",IF(F2937&lt;=Settings!$B$7,"On time","Late"))))</f>
        <v/>
      </c>
      <c r="H2937" s="15"/>
      <c r="I2937" s="16"/>
      <c r="J2937" s="16"/>
      <c r="K2937" s="17" t="str">
        <f>IF(J2937="","",ROUND(J2937*Settings!$B$8,2))</f>
        <v/>
      </c>
      <c r="L2937" s="16"/>
      <c r="M2937" s="8" t="str">
        <f t="shared" si="45"/>
        <v/>
      </c>
      <c r="N2937" s="9"/>
    </row>
    <row r="2938" spans="1:14" ht="15.75">
      <c r="A2938" s="11"/>
      <c r="B2938" s="9"/>
      <c r="C2938" s="12" t="str">
        <f>IF(B2938="","",IFERROR(INDEX('Cashier Roster'!$C$5:$C$64,MATCH(B2938,'Cashier Roster'!$B$5:$B$64,0)),"Not on roster"))</f>
        <v/>
      </c>
      <c r="D2938" s="12" t="str">
        <f>IF(B2938="","",IFERROR(INDEX('Cashier Roster'!$D$5:$D$64,MATCH(B2938,'Cashier Roster'!$B$5:$B$64,0)),""))</f>
        <v/>
      </c>
      <c r="E2938" s="13"/>
      <c r="F2938" s="14"/>
      <c r="G2938" s="8" t="str">
        <f>IF(OR(B2938="",E2938=""),"",IF(E2938="No","Missed",IF(F2938="","",IF(F2938&lt;=Settings!$B$7,"On time","Late"))))</f>
        <v/>
      </c>
      <c r="H2938" s="15"/>
      <c r="I2938" s="16"/>
      <c r="J2938" s="16"/>
      <c r="K2938" s="17" t="str">
        <f>IF(J2938="","",ROUND(J2938*Settings!$B$8,2))</f>
        <v/>
      </c>
      <c r="L2938" s="16"/>
      <c r="M2938" s="8" t="str">
        <f t="shared" si="45"/>
        <v/>
      </c>
      <c r="N2938" s="9"/>
    </row>
    <row r="2939" spans="1:14" ht="15.75">
      <c r="A2939" s="11"/>
      <c r="B2939" s="9"/>
      <c r="C2939" s="12" t="str">
        <f>IF(B2939="","",IFERROR(INDEX('Cashier Roster'!$C$5:$C$64,MATCH(B2939,'Cashier Roster'!$B$5:$B$64,0)),"Not on roster"))</f>
        <v/>
      </c>
      <c r="D2939" s="12" t="str">
        <f>IF(B2939="","",IFERROR(INDEX('Cashier Roster'!$D$5:$D$64,MATCH(B2939,'Cashier Roster'!$B$5:$B$64,0)),""))</f>
        <v/>
      </c>
      <c r="E2939" s="13"/>
      <c r="F2939" s="14"/>
      <c r="G2939" s="8" t="str">
        <f>IF(OR(B2939="",E2939=""),"",IF(E2939="No","Missed",IF(F2939="","",IF(F2939&lt;=Settings!$B$7,"On time","Late"))))</f>
        <v/>
      </c>
      <c r="H2939" s="15"/>
      <c r="I2939" s="16"/>
      <c r="J2939" s="16"/>
      <c r="K2939" s="17" t="str">
        <f>IF(J2939="","",ROUND(J2939*Settings!$B$8,2))</f>
        <v/>
      </c>
      <c r="L2939" s="16"/>
      <c r="M2939" s="8" t="str">
        <f t="shared" si="45"/>
        <v/>
      </c>
      <c r="N2939" s="9"/>
    </row>
    <row r="2940" spans="1:14" ht="15.75">
      <c r="A2940" s="11"/>
      <c r="B2940" s="9"/>
      <c r="C2940" s="12" t="str">
        <f>IF(B2940="","",IFERROR(INDEX('Cashier Roster'!$C$5:$C$64,MATCH(B2940,'Cashier Roster'!$B$5:$B$64,0)),"Not on roster"))</f>
        <v/>
      </c>
      <c r="D2940" s="12" t="str">
        <f>IF(B2940="","",IFERROR(INDEX('Cashier Roster'!$D$5:$D$64,MATCH(B2940,'Cashier Roster'!$B$5:$B$64,0)),""))</f>
        <v/>
      </c>
      <c r="E2940" s="13"/>
      <c r="F2940" s="14"/>
      <c r="G2940" s="8" t="str">
        <f>IF(OR(B2940="",E2940=""),"",IF(E2940="No","Missed",IF(F2940="","",IF(F2940&lt;=Settings!$B$7,"On time","Late"))))</f>
        <v/>
      </c>
      <c r="H2940" s="15"/>
      <c r="I2940" s="16"/>
      <c r="J2940" s="16"/>
      <c r="K2940" s="17" t="str">
        <f>IF(J2940="","",ROUND(J2940*Settings!$B$8,2))</f>
        <v/>
      </c>
      <c r="L2940" s="16"/>
      <c r="M2940" s="8" t="str">
        <f t="shared" si="45"/>
        <v/>
      </c>
      <c r="N2940" s="9"/>
    </row>
    <row r="2941" spans="1:14" ht="15.75">
      <c r="A2941" s="11"/>
      <c r="B2941" s="9"/>
      <c r="C2941" s="12" t="str">
        <f>IF(B2941="","",IFERROR(INDEX('Cashier Roster'!$C$5:$C$64,MATCH(B2941,'Cashier Roster'!$B$5:$B$64,0)),"Not on roster"))</f>
        <v/>
      </c>
      <c r="D2941" s="12" t="str">
        <f>IF(B2941="","",IFERROR(INDEX('Cashier Roster'!$D$5:$D$64,MATCH(B2941,'Cashier Roster'!$B$5:$B$64,0)),""))</f>
        <v/>
      </c>
      <c r="E2941" s="13"/>
      <c r="F2941" s="14"/>
      <c r="G2941" s="8" t="str">
        <f>IF(OR(B2941="",E2941=""),"",IF(E2941="No","Missed",IF(F2941="","",IF(F2941&lt;=Settings!$B$7,"On time","Late"))))</f>
        <v/>
      </c>
      <c r="H2941" s="15"/>
      <c r="I2941" s="16"/>
      <c r="J2941" s="16"/>
      <c r="K2941" s="17" t="str">
        <f>IF(J2941="","",ROUND(J2941*Settings!$B$8,2))</f>
        <v/>
      </c>
      <c r="L2941" s="16"/>
      <c r="M2941" s="8" t="str">
        <f t="shared" si="45"/>
        <v/>
      </c>
      <c r="N2941" s="9"/>
    </row>
    <row r="2942" spans="1:14" ht="15.75">
      <c r="A2942" s="11"/>
      <c r="B2942" s="9"/>
      <c r="C2942" s="12" t="str">
        <f>IF(B2942="","",IFERROR(INDEX('Cashier Roster'!$C$5:$C$64,MATCH(B2942,'Cashier Roster'!$B$5:$B$64,0)),"Not on roster"))</f>
        <v/>
      </c>
      <c r="D2942" s="12" t="str">
        <f>IF(B2942="","",IFERROR(INDEX('Cashier Roster'!$D$5:$D$64,MATCH(B2942,'Cashier Roster'!$B$5:$B$64,0)),""))</f>
        <v/>
      </c>
      <c r="E2942" s="13"/>
      <c r="F2942" s="14"/>
      <c r="G2942" s="8" t="str">
        <f>IF(OR(B2942="",E2942=""),"",IF(E2942="No","Missed",IF(F2942="","",IF(F2942&lt;=Settings!$B$7,"On time","Late"))))</f>
        <v/>
      </c>
      <c r="H2942" s="15"/>
      <c r="I2942" s="16"/>
      <c r="J2942" s="16"/>
      <c r="K2942" s="17" t="str">
        <f>IF(J2942="","",ROUND(J2942*Settings!$B$8,2))</f>
        <v/>
      </c>
      <c r="L2942" s="16"/>
      <c r="M2942" s="8" t="str">
        <f t="shared" si="45"/>
        <v/>
      </c>
      <c r="N2942" s="9"/>
    </row>
    <row r="2943" spans="1:14" ht="15.75">
      <c r="A2943" s="11"/>
      <c r="B2943" s="9"/>
      <c r="C2943" s="12" t="str">
        <f>IF(B2943="","",IFERROR(INDEX('Cashier Roster'!$C$5:$C$64,MATCH(B2943,'Cashier Roster'!$B$5:$B$64,0)),"Not on roster"))</f>
        <v/>
      </c>
      <c r="D2943" s="12" t="str">
        <f>IF(B2943="","",IFERROR(INDEX('Cashier Roster'!$D$5:$D$64,MATCH(B2943,'Cashier Roster'!$B$5:$B$64,0)),""))</f>
        <v/>
      </c>
      <c r="E2943" s="13"/>
      <c r="F2943" s="14"/>
      <c r="G2943" s="8" t="str">
        <f>IF(OR(B2943="",E2943=""),"",IF(E2943="No","Missed",IF(F2943="","",IF(F2943&lt;=Settings!$B$7,"On time","Late"))))</f>
        <v/>
      </c>
      <c r="H2943" s="15"/>
      <c r="I2943" s="16"/>
      <c r="J2943" s="16"/>
      <c r="K2943" s="17" t="str">
        <f>IF(J2943="","",ROUND(J2943*Settings!$B$8,2))</f>
        <v/>
      </c>
      <c r="L2943" s="16"/>
      <c r="M2943" s="8" t="str">
        <f t="shared" si="45"/>
        <v/>
      </c>
      <c r="N2943" s="9"/>
    </row>
    <row r="2944" spans="1:14" ht="15.75">
      <c r="A2944" s="11"/>
      <c r="B2944" s="9"/>
      <c r="C2944" s="12" t="str">
        <f>IF(B2944="","",IFERROR(INDEX('Cashier Roster'!$C$5:$C$64,MATCH(B2944,'Cashier Roster'!$B$5:$B$64,0)),"Not on roster"))</f>
        <v/>
      </c>
      <c r="D2944" s="12" t="str">
        <f>IF(B2944="","",IFERROR(INDEX('Cashier Roster'!$D$5:$D$64,MATCH(B2944,'Cashier Roster'!$B$5:$B$64,0)),""))</f>
        <v/>
      </c>
      <c r="E2944" s="13"/>
      <c r="F2944" s="14"/>
      <c r="G2944" s="8" t="str">
        <f>IF(OR(B2944="",E2944=""),"",IF(E2944="No","Missed",IF(F2944="","",IF(F2944&lt;=Settings!$B$7,"On time","Late"))))</f>
        <v/>
      </c>
      <c r="H2944" s="15"/>
      <c r="I2944" s="16"/>
      <c r="J2944" s="16"/>
      <c r="K2944" s="17" t="str">
        <f>IF(J2944="","",ROUND(J2944*Settings!$B$8,2))</f>
        <v/>
      </c>
      <c r="L2944" s="16"/>
      <c r="M2944" s="8" t="str">
        <f t="shared" si="45"/>
        <v/>
      </c>
      <c r="N2944" s="9"/>
    </row>
    <row r="2945" spans="1:14" ht="15.75">
      <c r="A2945" s="11"/>
      <c r="B2945" s="9"/>
      <c r="C2945" s="12" t="str">
        <f>IF(B2945="","",IFERROR(INDEX('Cashier Roster'!$C$5:$C$64,MATCH(B2945,'Cashier Roster'!$B$5:$B$64,0)),"Not on roster"))</f>
        <v/>
      </c>
      <c r="D2945" s="12" t="str">
        <f>IF(B2945="","",IFERROR(INDEX('Cashier Roster'!$D$5:$D$64,MATCH(B2945,'Cashier Roster'!$B$5:$B$64,0)),""))</f>
        <v/>
      </c>
      <c r="E2945" s="13"/>
      <c r="F2945" s="14"/>
      <c r="G2945" s="8" t="str">
        <f>IF(OR(B2945="",E2945=""),"",IF(E2945="No","Missed",IF(F2945="","",IF(F2945&lt;=Settings!$B$7,"On time","Late"))))</f>
        <v/>
      </c>
      <c r="H2945" s="15"/>
      <c r="I2945" s="16"/>
      <c r="J2945" s="16"/>
      <c r="K2945" s="17" t="str">
        <f>IF(J2945="","",ROUND(J2945*Settings!$B$8,2))</f>
        <v/>
      </c>
      <c r="L2945" s="16"/>
      <c r="M2945" s="8" t="str">
        <f t="shared" si="45"/>
        <v/>
      </c>
      <c r="N2945" s="9"/>
    </row>
    <row r="2946" spans="1:14" ht="15.75">
      <c r="A2946" s="11"/>
      <c r="B2946" s="9"/>
      <c r="C2946" s="12" t="str">
        <f>IF(B2946="","",IFERROR(INDEX('Cashier Roster'!$C$5:$C$64,MATCH(B2946,'Cashier Roster'!$B$5:$B$64,0)),"Not on roster"))</f>
        <v/>
      </c>
      <c r="D2946" s="12" t="str">
        <f>IF(B2946="","",IFERROR(INDEX('Cashier Roster'!$D$5:$D$64,MATCH(B2946,'Cashier Roster'!$B$5:$B$64,0)),""))</f>
        <v/>
      </c>
      <c r="E2946" s="13"/>
      <c r="F2946" s="14"/>
      <c r="G2946" s="8" t="str">
        <f>IF(OR(B2946="",E2946=""),"",IF(E2946="No","Missed",IF(F2946="","",IF(F2946&lt;=Settings!$B$7,"On time","Late"))))</f>
        <v/>
      </c>
      <c r="H2946" s="15"/>
      <c r="I2946" s="16"/>
      <c r="J2946" s="16"/>
      <c r="K2946" s="17" t="str">
        <f>IF(J2946="","",ROUND(J2946*Settings!$B$8,2))</f>
        <v/>
      </c>
      <c r="L2946" s="16"/>
      <c r="M2946" s="8" t="str">
        <f t="shared" si="45"/>
        <v/>
      </c>
      <c r="N2946" s="9"/>
    </row>
    <row r="2947" spans="1:14" ht="15.75">
      <c r="A2947" s="11"/>
      <c r="B2947" s="9"/>
      <c r="C2947" s="12" t="str">
        <f>IF(B2947="","",IFERROR(INDEX('Cashier Roster'!$C$5:$C$64,MATCH(B2947,'Cashier Roster'!$B$5:$B$64,0)),"Not on roster"))</f>
        <v/>
      </c>
      <c r="D2947" s="12" t="str">
        <f>IF(B2947="","",IFERROR(INDEX('Cashier Roster'!$D$5:$D$64,MATCH(B2947,'Cashier Roster'!$B$5:$B$64,0)),""))</f>
        <v/>
      </c>
      <c r="E2947" s="13"/>
      <c r="F2947" s="14"/>
      <c r="G2947" s="8" t="str">
        <f>IF(OR(B2947="",E2947=""),"",IF(E2947="No","Missed",IF(F2947="","",IF(F2947&lt;=Settings!$B$7,"On time","Late"))))</f>
        <v/>
      </c>
      <c r="H2947" s="15"/>
      <c r="I2947" s="16"/>
      <c r="J2947" s="16"/>
      <c r="K2947" s="17" t="str">
        <f>IF(J2947="","",ROUND(J2947*Settings!$B$8,2))</f>
        <v/>
      </c>
      <c r="L2947" s="16"/>
      <c r="M2947" s="8" t="str">
        <f t="shared" si="45"/>
        <v/>
      </c>
      <c r="N2947" s="9"/>
    </row>
    <row r="2948" spans="1:14" ht="15.75">
      <c r="A2948" s="11"/>
      <c r="B2948" s="9"/>
      <c r="C2948" s="12" t="str">
        <f>IF(B2948="","",IFERROR(INDEX('Cashier Roster'!$C$5:$C$64,MATCH(B2948,'Cashier Roster'!$B$5:$B$64,0)),"Not on roster"))</f>
        <v/>
      </c>
      <c r="D2948" s="12" t="str">
        <f>IF(B2948="","",IFERROR(INDEX('Cashier Roster'!$D$5:$D$64,MATCH(B2948,'Cashier Roster'!$B$5:$B$64,0)),""))</f>
        <v/>
      </c>
      <c r="E2948" s="13"/>
      <c r="F2948" s="14"/>
      <c r="G2948" s="8" t="str">
        <f>IF(OR(B2948="",E2948=""),"",IF(E2948="No","Missed",IF(F2948="","",IF(F2948&lt;=Settings!$B$7,"On time","Late"))))</f>
        <v/>
      </c>
      <c r="H2948" s="15"/>
      <c r="I2948" s="16"/>
      <c r="J2948" s="16"/>
      <c r="K2948" s="17" t="str">
        <f>IF(J2948="","",ROUND(J2948*Settings!$B$8,2))</f>
        <v/>
      </c>
      <c r="L2948" s="16"/>
      <c r="M2948" s="8" t="str">
        <f t="shared" si="45"/>
        <v/>
      </c>
      <c r="N2948" s="9"/>
    </row>
    <row r="2949" spans="1:14" ht="15.75">
      <c r="A2949" s="11"/>
      <c r="B2949" s="9"/>
      <c r="C2949" s="12" t="str">
        <f>IF(B2949="","",IFERROR(INDEX('Cashier Roster'!$C$5:$C$64,MATCH(B2949,'Cashier Roster'!$B$5:$B$64,0)),"Not on roster"))</f>
        <v/>
      </c>
      <c r="D2949" s="12" t="str">
        <f>IF(B2949="","",IFERROR(INDEX('Cashier Roster'!$D$5:$D$64,MATCH(B2949,'Cashier Roster'!$B$5:$B$64,0)),""))</f>
        <v/>
      </c>
      <c r="E2949" s="13"/>
      <c r="F2949" s="14"/>
      <c r="G2949" s="8" t="str">
        <f>IF(OR(B2949="",E2949=""),"",IF(E2949="No","Missed",IF(F2949="","",IF(F2949&lt;=Settings!$B$7,"On time","Late"))))</f>
        <v/>
      </c>
      <c r="H2949" s="15"/>
      <c r="I2949" s="16"/>
      <c r="J2949" s="16"/>
      <c r="K2949" s="17" t="str">
        <f>IF(J2949="","",ROUND(J2949*Settings!$B$8,2))</f>
        <v/>
      </c>
      <c r="L2949" s="16"/>
      <c r="M2949" s="8" t="str">
        <f t="shared" ref="M2949:M3012" si="46">IF(L2949="","",IF(L2949&lt;=0,"Yes","No"))</f>
        <v/>
      </c>
      <c r="N2949" s="9"/>
    </row>
    <row r="2950" spans="1:14" ht="15.75">
      <c r="A2950" s="11"/>
      <c r="B2950" s="9"/>
      <c r="C2950" s="12" t="str">
        <f>IF(B2950="","",IFERROR(INDEX('Cashier Roster'!$C$5:$C$64,MATCH(B2950,'Cashier Roster'!$B$5:$B$64,0)),"Not on roster"))</f>
        <v/>
      </c>
      <c r="D2950" s="12" t="str">
        <f>IF(B2950="","",IFERROR(INDEX('Cashier Roster'!$D$5:$D$64,MATCH(B2950,'Cashier Roster'!$B$5:$B$64,0)),""))</f>
        <v/>
      </c>
      <c r="E2950" s="13"/>
      <c r="F2950" s="14"/>
      <c r="G2950" s="8" t="str">
        <f>IF(OR(B2950="",E2950=""),"",IF(E2950="No","Missed",IF(F2950="","",IF(F2950&lt;=Settings!$B$7,"On time","Late"))))</f>
        <v/>
      </c>
      <c r="H2950" s="15"/>
      <c r="I2950" s="16"/>
      <c r="J2950" s="16"/>
      <c r="K2950" s="17" t="str">
        <f>IF(J2950="","",ROUND(J2950*Settings!$B$8,2))</f>
        <v/>
      </c>
      <c r="L2950" s="16"/>
      <c r="M2950" s="8" t="str">
        <f t="shared" si="46"/>
        <v/>
      </c>
      <c r="N2950" s="9"/>
    </row>
    <row r="2951" spans="1:14" ht="15.75">
      <c r="A2951" s="11"/>
      <c r="B2951" s="9"/>
      <c r="C2951" s="12" t="str">
        <f>IF(B2951="","",IFERROR(INDEX('Cashier Roster'!$C$5:$C$64,MATCH(B2951,'Cashier Roster'!$B$5:$B$64,0)),"Not on roster"))</f>
        <v/>
      </c>
      <c r="D2951" s="12" t="str">
        <f>IF(B2951="","",IFERROR(INDEX('Cashier Roster'!$D$5:$D$64,MATCH(B2951,'Cashier Roster'!$B$5:$B$64,0)),""))</f>
        <v/>
      </c>
      <c r="E2951" s="13"/>
      <c r="F2951" s="14"/>
      <c r="G2951" s="8" t="str">
        <f>IF(OR(B2951="",E2951=""),"",IF(E2951="No","Missed",IF(F2951="","",IF(F2951&lt;=Settings!$B$7,"On time","Late"))))</f>
        <v/>
      </c>
      <c r="H2951" s="15"/>
      <c r="I2951" s="16"/>
      <c r="J2951" s="16"/>
      <c r="K2951" s="17" t="str">
        <f>IF(J2951="","",ROUND(J2951*Settings!$B$8,2))</f>
        <v/>
      </c>
      <c r="L2951" s="16"/>
      <c r="M2951" s="8" t="str">
        <f t="shared" si="46"/>
        <v/>
      </c>
      <c r="N2951" s="9"/>
    </row>
    <row r="2952" spans="1:14" ht="15.75">
      <c r="A2952" s="11"/>
      <c r="B2952" s="9"/>
      <c r="C2952" s="12" t="str">
        <f>IF(B2952="","",IFERROR(INDEX('Cashier Roster'!$C$5:$C$64,MATCH(B2952,'Cashier Roster'!$B$5:$B$64,0)),"Not on roster"))</f>
        <v/>
      </c>
      <c r="D2952" s="12" t="str">
        <f>IF(B2952="","",IFERROR(INDEX('Cashier Roster'!$D$5:$D$64,MATCH(B2952,'Cashier Roster'!$B$5:$B$64,0)),""))</f>
        <v/>
      </c>
      <c r="E2952" s="13"/>
      <c r="F2952" s="14"/>
      <c r="G2952" s="8" t="str">
        <f>IF(OR(B2952="",E2952=""),"",IF(E2952="No","Missed",IF(F2952="","",IF(F2952&lt;=Settings!$B$7,"On time","Late"))))</f>
        <v/>
      </c>
      <c r="H2952" s="15"/>
      <c r="I2952" s="16"/>
      <c r="J2952" s="16"/>
      <c r="K2952" s="17" t="str">
        <f>IF(J2952="","",ROUND(J2952*Settings!$B$8,2))</f>
        <v/>
      </c>
      <c r="L2952" s="16"/>
      <c r="M2952" s="8" t="str">
        <f t="shared" si="46"/>
        <v/>
      </c>
      <c r="N2952" s="9"/>
    </row>
    <row r="2953" spans="1:14" ht="15.75">
      <c r="A2953" s="11"/>
      <c r="B2953" s="9"/>
      <c r="C2953" s="12" t="str">
        <f>IF(B2953="","",IFERROR(INDEX('Cashier Roster'!$C$5:$C$64,MATCH(B2953,'Cashier Roster'!$B$5:$B$64,0)),"Not on roster"))</f>
        <v/>
      </c>
      <c r="D2953" s="12" t="str">
        <f>IF(B2953="","",IFERROR(INDEX('Cashier Roster'!$D$5:$D$64,MATCH(B2953,'Cashier Roster'!$B$5:$B$64,0)),""))</f>
        <v/>
      </c>
      <c r="E2953" s="13"/>
      <c r="F2953" s="14"/>
      <c r="G2953" s="8" t="str">
        <f>IF(OR(B2953="",E2953=""),"",IF(E2953="No","Missed",IF(F2953="","",IF(F2953&lt;=Settings!$B$7,"On time","Late"))))</f>
        <v/>
      </c>
      <c r="H2953" s="15"/>
      <c r="I2953" s="16"/>
      <c r="J2953" s="16"/>
      <c r="K2953" s="17" t="str">
        <f>IF(J2953="","",ROUND(J2953*Settings!$B$8,2))</f>
        <v/>
      </c>
      <c r="L2953" s="16"/>
      <c r="M2953" s="8" t="str">
        <f t="shared" si="46"/>
        <v/>
      </c>
      <c r="N2953" s="9"/>
    </row>
    <row r="2954" spans="1:14" ht="15.75">
      <c r="A2954" s="11"/>
      <c r="B2954" s="9"/>
      <c r="C2954" s="12" t="str">
        <f>IF(B2954="","",IFERROR(INDEX('Cashier Roster'!$C$5:$C$64,MATCH(B2954,'Cashier Roster'!$B$5:$B$64,0)),"Not on roster"))</f>
        <v/>
      </c>
      <c r="D2954" s="12" t="str">
        <f>IF(B2954="","",IFERROR(INDEX('Cashier Roster'!$D$5:$D$64,MATCH(B2954,'Cashier Roster'!$B$5:$B$64,0)),""))</f>
        <v/>
      </c>
      <c r="E2954" s="13"/>
      <c r="F2954" s="14"/>
      <c r="G2954" s="8" t="str">
        <f>IF(OR(B2954="",E2954=""),"",IF(E2954="No","Missed",IF(F2954="","",IF(F2954&lt;=Settings!$B$7,"On time","Late"))))</f>
        <v/>
      </c>
      <c r="H2954" s="15"/>
      <c r="I2954" s="16"/>
      <c r="J2954" s="16"/>
      <c r="K2954" s="17" t="str">
        <f>IF(J2954="","",ROUND(J2954*Settings!$B$8,2))</f>
        <v/>
      </c>
      <c r="L2954" s="16"/>
      <c r="M2954" s="8" t="str">
        <f t="shared" si="46"/>
        <v/>
      </c>
      <c r="N2954" s="9"/>
    </row>
    <row r="2955" spans="1:14" ht="15.75">
      <c r="A2955" s="11"/>
      <c r="B2955" s="9"/>
      <c r="C2955" s="12" t="str">
        <f>IF(B2955="","",IFERROR(INDEX('Cashier Roster'!$C$5:$C$64,MATCH(B2955,'Cashier Roster'!$B$5:$B$64,0)),"Not on roster"))</f>
        <v/>
      </c>
      <c r="D2955" s="12" t="str">
        <f>IF(B2955="","",IFERROR(INDEX('Cashier Roster'!$D$5:$D$64,MATCH(B2955,'Cashier Roster'!$B$5:$B$64,0)),""))</f>
        <v/>
      </c>
      <c r="E2955" s="13"/>
      <c r="F2955" s="14"/>
      <c r="G2955" s="8" t="str">
        <f>IF(OR(B2955="",E2955=""),"",IF(E2955="No","Missed",IF(F2955="","",IF(F2955&lt;=Settings!$B$7,"On time","Late"))))</f>
        <v/>
      </c>
      <c r="H2955" s="15"/>
      <c r="I2955" s="16"/>
      <c r="J2955" s="16"/>
      <c r="K2955" s="17" t="str">
        <f>IF(J2955="","",ROUND(J2955*Settings!$B$8,2))</f>
        <v/>
      </c>
      <c r="L2955" s="16"/>
      <c r="M2955" s="8" t="str">
        <f t="shared" si="46"/>
        <v/>
      </c>
      <c r="N2955" s="9"/>
    </row>
    <row r="2956" spans="1:14" ht="15.75">
      <c r="A2956" s="11"/>
      <c r="B2956" s="9"/>
      <c r="C2956" s="12" t="str">
        <f>IF(B2956="","",IFERROR(INDEX('Cashier Roster'!$C$5:$C$64,MATCH(B2956,'Cashier Roster'!$B$5:$B$64,0)),"Not on roster"))</f>
        <v/>
      </c>
      <c r="D2956" s="12" t="str">
        <f>IF(B2956="","",IFERROR(INDEX('Cashier Roster'!$D$5:$D$64,MATCH(B2956,'Cashier Roster'!$B$5:$B$64,0)),""))</f>
        <v/>
      </c>
      <c r="E2956" s="13"/>
      <c r="F2956" s="14"/>
      <c r="G2956" s="8" t="str">
        <f>IF(OR(B2956="",E2956=""),"",IF(E2956="No","Missed",IF(F2956="","",IF(F2956&lt;=Settings!$B$7,"On time","Late"))))</f>
        <v/>
      </c>
      <c r="H2956" s="15"/>
      <c r="I2956" s="16"/>
      <c r="J2956" s="16"/>
      <c r="K2956" s="17" t="str">
        <f>IF(J2956="","",ROUND(J2956*Settings!$B$8,2))</f>
        <v/>
      </c>
      <c r="L2956" s="16"/>
      <c r="M2956" s="8" t="str">
        <f t="shared" si="46"/>
        <v/>
      </c>
      <c r="N2956" s="9"/>
    </row>
    <row r="2957" spans="1:14" ht="15.75">
      <c r="A2957" s="11"/>
      <c r="B2957" s="9"/>
      <c r="C2957" s="12" t="str">
        <f>IF(B2957="","",IFERROR(INDEX('Cashier Roster'!$C$5:$C$64,MATCH(B2957,'Cashier Roster'!$B$5:$B$64,0)),"Not on roster"))</f>
        <v/>
      </c>
      <c r="D2957" s="12" t="str">
        <f>IF(B2957="","",IFERROR(INDEX('Cashier Roster'!$D$5:$D$64,MATCH(B2957,'Cashier Roster'!$B$5:$B$64,0)),""))</f>
        <v/>
      </c>
      <c r="E2957" s="13"/>
      <c r="F2957" s="14"/>
      <c r="G2957" s="8" t="str">
        <f>IF(OR(B2957="",E2957=""),"",IF(E2957="No","Missed",IF(F2957="","",IF(F2957&lt;=Settings!$B$7,"On time","Late"))))</f>
        <v/>
      </c>
      <c r="H2957" s="15"/>
      <c r="I2957" s="16"/>
      <c r="J2957" s="16"/>
      <c r="K2957" s="17" t="str">
        <f>IF(J2957="","",ROUND(J2957*Settings!$B$8,2))</f>
        <v/>
      </c>
      <c r="L2957" s="16"/>
      <c r="M2957" s="8" t="str">
        <f t="shared" si="46"/>
        <v/>
      </c>
      <c r="N2957" s="9"/>
    </row>
    <row r="2958" spans="1:14" ht="15.75">
      <c r="A2958" s="11"/>
      <c r="B2958" s="9"/>
      <c r="C2958" s="12" t="str">
        <f>IF(B2958="","",IFERROR(INDEX('Cashier Roster'!$C$5:$C$64,MATCH(B2958,'Cashier Roster'!$B$5:$B$64,0)),"Not on roster"))</f>
        <v/>
      </c>
      <c r="D2958" s="12" t="str">
        <f>IF(B2958="","",IFERROR(INDEX('Cashier Roster'!$D$5:$D$64,MATCH(B2958,'Cashier Roster'!$B$5:$B$64,0)),""))</f>
        <v/>
      </c>
      <c r="E2958" s="13"/>
      <c r="F2958" s="14"/>
      <c r="G2958" s="8" t="str">
        <f>IF(OR(B2958="",E2958=""),"",IF(E2958="No","Missed",IF(F2958="","",IF(F2958&lt;=Settings!$B$7,"On time","Late"))))</f>
        <v/>
      </c>
      <c r="H2958" s="15"/>
      <c r="I2958" s="16"/>
      <c r="J2958" s="16"/>
      <c r="K2958" s="17" t="str">
        <f>IF(J2958="","",ROUND(J2958*Settings!$B$8,2))</f>
        <v/>
      </c>
      <c r="L2958" s="16"/>
      <c r="M2958" s="8" t="str">
        <f t="shared" si="46"/>
        <v/>
      </c>
      <c r="N2958" s="9"/>
    </row>
    <row r="2959" spans="1:14" ht="15.75">
      <c r="A2959" s="11"/>
      <c r="B2959" s="9"/>
      <c r="C2959" s="12" t="str">
        <f>IF(B2959="","",IFERROR(INDEX('Cashier Roster'!$C$5:$C$64,MATCH(B2959,'Cashier Roster'!$B$5:$B$64,0)),"Not on roster"))</f>
        <v/>
      </c>
      <c r="D2959" s="12" t="str">
        <f>IF(B2959="","",IFERROR(INDEX('Cashier Roster'!$D$5:$D$64,MATCH(B2959,'Cashier Roster'!$B$5:$B$64,0)),""))</f>
        <v/>
      </c>
      <c r="E2959" s="13"/>
      <c r="F2959" s="14"/>
      <c r="G2959" s="8" t="str">
        <f>IF(OR(B2959="",E2959=""),"",IF(E2959="No","Missed",IF(F2959="","",IF(F2959&lt;=Settings!$B$7,"On time","Late"))))</f>
        <v/>
      </c>
      <c r="H2959" s="15"/>
      <c r="I2959" s="16"/>
      <c r="J2959" s="16"/>
      <c r="K2959" s="17" t="str">
        <f>IF(J2959="","",ROUND(J2959*Settings!$B$8,2))</f>
        <v/>
      </c>
      <c r="L2959" s="16"/>
      <c r="M2959" s="8" t="str">
        <f t="shared" si="46"/>
        <v/>
      </c>
      <c r="N2959" s="9"/>
    </row>
    <row r="2960" spans="1:14" ht="15.75">
      <c r="A2960" s="11"/>
      <c r="B2960" s="9"/>
      <c r="C2960" s="12" t="str">
        <f>IF(B2960="","",IFERROR(INDEX('Cashier Roster'!$C$5:$C$64,MATCH(B2960,'Cashier Roster'!$B$5:$B$64,0)),"Not on roster"))</f>
        <v/>
      </c>
      <c r="D2960" s="12" t="str">
        <f>IF(B2960="","",IFERROR(INDEX('Cashier Roster'!$D$5:$D$64,MATCH(B2960,'Cashier Roster'!$B$5:$B$64,0)),""))</f>
        <v/>
      </c>
      <c r="E2960" s="13"/>
      <c r="F2960" s="14"/>
      <c r="G2960" s="8" t="str">
        <f>IF(OR(B2960="",E2960=""),"",IF(E2960="No","Missed",IF(F2960="","",IF(F2960&lt;=Settings!$B$7,"On time","Late"))))</f>
        <v/>
      </c>
      <c r="H2960" s="15"/>
      <c r="I2960" s="16"/>
      <c r="J2960" s="16"/>
      <c r="K2960" s="17" t="str">
        <f>IF(J2960="","",ROUND(J2960*Settings!$B$8,2))</f>
        <v/>
      </c>
      <c r="L2960" s="16"/>
      <c r="M2960" s="8" t="str">
        <f t="shared" si="46"/>
        <v/>
      </c>
      <c r="N2960" s="9"/>
    </row>
    <row r="2961" spans="1:14" ht="15.75">
      <c r="A2961" s="11"/>
      <c r="B2961" s="9"/>
      <c r="C2961" s="12" t="str">
        <f>IF(B2961="","",IFERROR(INDEX('Cashier Roster'!$C$5:$C$64,MATCH(B2961,'Cashier Roster'!$B$5:$B$64,0)),"Not on roster"))</f>
        <v/>
      </c>
      <c r="D2961" s="12" t="str">
        <f>IF(B2961="","",IFERROR(INDEX('Cashier Roster'!$D$5:$D$64,MATCH(B2961,'Cashier Roster'!$B$5:$B$64,0)),""))</f>
        <v/>
      </c>
      <c r="E2961" s="13"/>
      <c r="F2961" s="14"/>
      <c r="G2961" s="8" t="str">
        <f>IF(OR(B2961="",E2961=""),"",IF(E2961="No","Missed",IF(F2961="","",IF(F2961&lt;=Settings!$B$7,"On time","Late"))))</f>
        <v/>
      </c>
      <c r="H2961" s="15"/>
      <c r="I2961" s="16"/>
      <c r="J2961" s="16"/>
      <c r="K2961" s="17" t="str">
        <f>IF(J2961="","",ROUND(J2961*Settings!$B$8,2))</f>
        <v/>
      </c>
      <c r="L2961" s="16"/>
      <c r="M2961" s="8" t="str">
        <f t="shared" si="46"/>
        <v/>
      </c>
      <c r="N2961" s="9"/>
    </row>
    <row r="2962" spans="1:14" ht="15.75">
      <c r="A2962" s="11"/>
      <c r="B2962" s="9"/>
      <c r="C2962" s="12" t="str">
        <f>IF(B2962="","",IFERROR(INDEX('Cashier Roster'!$C$5:$C$64,MATCH(B2962,'Cashier Roster'!$B$5:$B$64,0)),"Not on roster"))</f>
        <v/>
      </c>
      <c r="D2962" s="12" t="str">
        <f>IF(B2962="","",IFERROR(INDEX('Cashier Roster'!$D$5:$D$64,MATCH(B2962,'Cashier Roster'!$B$5:$B$64,0)),""))</f>
        <v/>
      </c>
      <c r="E2962" s="13"/>
      <c r="F2962" s="14"/>
      <c r="G2962" s="8" t="str">
        <f>IF(OR(B2962="",E2962=""),"",IF(E2962="No","Missed",IF(F2962="","",IF(F2962&lt;=Settings!$B$7,"On time","Late"))))</f>
        <v/>
      </c>
      <c r="H2962" s="15"/>
      <c r="I2962" s="16"/>
      <c r="J2962" s="16"/>
      <c r="K2962" s="17" t="str">
        <f>IF(J2962="","",ROUND(J2962*Settings!$B$8,2))</f>
        <v/>
      </c>
      <c r="L2962" s="16"/>
      <c r="M2962" s="8" t="str">
        <f t="shared" si="46"/>
        <v/>
      </c>
      <c r="N2962" s="9"/>
    </row>
    <row r="2963" spans="1:14" ht="15.75">
      <c r="A2963" s="11"/>
      <c r="B2963" s="9"/>
      <c r="C2963" s="12" t="str">
        <f>IF(B2963="","",IFERROR(INDEX('Cashier Roster'!$C$5:$C$64,MATCH(B2963,'Cashier Roster'!$B$5:$B$64,0)),"Not on roster"))</f>
        <v/>
      </c>
      <c r="D2963" s="12" t="str">
        <f>IF(B2963="","",IFERROR(INDEX('Cashier Roster'!$D$5:$D$64,MATCH(B2963,'Cashier Roster'!$B$5:$B$64,0)),""))</f>
        <v/>
      </c>
      <c r="E2963" s="13"/>
      <c r="F2963" s="14"/>
      <c r="G2963" s="8" t="str">
        <f>IF(OR(B2963="",E2963=""),"",IF(E2963="No","Missed",IF(F2963="","",IF(F2963&lt;=Settings!$B$7,"On time","Late"))))</f>
        <v/>
      </c>
      <c r="H2963" s="15"/>
      <c r="I2963" s="16"/>
      <c r="J2963" s="16"/>
      <c r="K2963" s="17" t="str">
        <f>IF(J2963="","",ROUND(J2963*Settings!$B$8,2))</f>
        <v/>
      </c>
      <c r="L2963" s="16"/>
      <c r="M2963" s="8" t="str">
        <f t="shared" si="46"/>
        <v/>
      </c>
      <c r="N2963" s="9"/>
    </row>
    <row r="2964" spans="1:14" ht="15.75">
      <c r="A2964" s="11"/>
      <c r="B2964" s="9"/>
      <c r="C2964" s="12" t="str">
        <f>IF(B2964="","",IFERROR(INDEX('Cashier Roster'!$C$5:$C$64,MATCH(B2964,'Cashier Roster'!$B$5:$B$64,0)),"Not on roster"))</f>
        <v/>
      </c>
      <c r="D2964" s="12" t="str">
        <f>IF(B2964="","",IFERROR(INDEX('Cashier Roster'!$D$5:$D$64,MATCH(B2964,'Cashier Roster'!$B$5:$B$64,0)),""))</f>
        <v/>
      </c>
      <c r="E2964" s="13"/>
      <c r="F2964" s="14"/>
      <c r="G2964" s="8" t="str">
        <f>IF(OR(B2964="",E2964=""),"",IF(E2964="No","Missed",IF(F2964="","",IF(F2964&lt;=Settings!$B$7,"On time","Late"))))</f>
        <v/>
      </c>
      <c r="H2964" s="15"/>
      <c r="I2964" s="16"/>
      <c r="J2964" s="16"/>
      <c r="K2964" s="17" t="str">
        <f>IF(J2964="","",ROUND(J2964*Settings!$B$8,2))</f>
        <v/>
      </c>
      <c r="L2964" s="16"/>
      <c r="M2964" s="8" t="str">
        <f t="shared" si="46"/>
        <v/>
      </c>
      <c r="N2964" s="9"/>
    </row>
    <row r="2965" spans="1:14" ht="15.75">
      <c r="A2965" s="11"/>
      <c r="B2965" s="9"/>
      <c r="C2965" s="12" t="str">
        <f>IF(B2965="","",IFERROR(INDEX('Cashier Roster'!$C$5:$C$64,MATCH(B2965,'Cashier Roster'!$B$5:$B$64,0)),"Not on roster"))</f>
        <v/>
      </c>
      <c r="D2965" s="12" t="str">
        <f>IF(B2965="","",IFERROR(INDEX('Cashier Roster'!$D$5:$D$64,MATCH(B2965,'Cashier Roster'!$B$5:$B$64,0)),""))</f>
        <v/>
      </c>
      <c r="E2965" s="13"/>
      <c r="F2965" s="14"/>
      <c r="G2965" s="8" t="str">
        <f>IF(OR(B2965="",E2965=""),"",IF(E2965="No","Missed",IF(F2965="","",IF(F2965&lt;=Settings!$B$7,"On time","Late"))))</f>
        <v/>
      </c>
      <c r="H2965" s="15"/>
      <c r="I2965" s="16"/>
      <c r="J2965" s="16"/>
      <c r="K2965" s="17" t="str">
        <f>IF(J2965="","",ROUND(J2965*Settings!$B$8,2))</f>
        <v/>
      </c>
      <c r="L2965" s="16"/>
      <c r="M2965" s="8" t="str">
        <f t="shared" si="46"/>
        <v/>
      </c>
      <c r="N2965" s="9"/>
    </row>
    <row r="2966" spans="1:14" ht="15.75">
      <c r="A2966" s="11"/>
      <c r="B2966" s="9"/>
      <c r="C2966" s="12" t="str">
        <f>IF(B2966="","",IFERROR(INDEX('Cashier Roster'!$C$5:$C$64,MATCH(B2966,'Cashier Roster'!$B$5:$B$64,0)),"Not on roster"))</f>
        <v/>
      </c>
      <c r="D2966" s="12" t="str">
        <f>IF(B2966="","",IFERROR(INDEX('Cashier Roster'!$D$5:$D$64,MATCH(B2966,'Cashier Roster'!$B$5:$B$64,0)),""))</f>
        <v/>
      </c>
      <c r="E2966" s="13"/>
      <c r="F2966" s="14"/>
      <c r="G2966" s="8" t="str">
        <f>IF(OR(B2966="",E2966=""),"",IF(E2966="No","Missed",IF(F2966="","",IF(F2966&lt;=Settings!$B$7,"On time","Late"))))</f>
        <v/>
      </c>
      <c r="H2966" s="15"/>
      <c r="I2966" s="16"/>
      <c r="J2966" s="16"/>
      <c r="K2966" s="17" t="str">
        <f>IF(J2966="","",ROUND(J2966*Settings!$B$8,2))</f>
        <v/>
      </c>
      <c r="L2966" s="16"/>
      <c r="M2966" s="8" t="str">
        <f t="shared" si="46"/>
        <v/>
      </c>
      <c r="N2966" s="9"/>
    </row>
    <row r="2967" spans="1:14" ht="15.75">
      <c r="A2967" s="11"/>
      <c r="B2967" s="9"/>
      <c r="C2967" s="12" t="str">
        <f>IF(B2967="","",IFERROR(INDEX('Cashier Roster'!$C$5:$C$64,MATCH(B2967,'Cashier Roster'!$B$5:$B$64,0)),"Not on roster"))</f>
        <v/>
      </c>
      <c r="D2967" s="12" t="str">
        <f>IF(B2967="","",IFERROR(INDEX('Cashier Roster'!$D$5:$D$64,MATCH(B2967,'Cashier Roster'!$B$5:$B$64,0)),""))</f>
        <v/>
      </c>
      <c r="E2967" s="13"/>
      <c r="F2967" s="14"/>
      <c r="G2967" s="8" t="str">
        <f>IF(OR(B2967="",E2967=""),"",IF(E2967="No","Missed",IF(F2967="","",IF(F2967&lt;=Settings!$B$7,"On time","Late"))))</f>
        <v/>
      </c>
      <c r="H2967" s="15"/>
      <c r="I2967" s="16"/>
      <c r="J2967" s="16"/>
      <c r="K2967" s="17" t="str">
        <f>IF(J2967="","",ROUND(J2967*Settings!$B$8,2))</f>
        <v/>
      </c>
      <c r="L2967" s="16"/>
      <c r="M2967" s="8" t="str">
        <f t="shared" si="46"/>
        <v/>
      </c>
      <c r="N2967" s="9"/>
    </row>
    <row r="2968" spans="1:14" ht="15.75">
      <c r="A2968" s="11"/>
      <c r="B2968" s="9"/>
      <c r="C2968" s="12" t="str">
        <f>IF(B2968="","",IFERROR(INDEX('Cashier Roster'!$C$5:$C$64,MATCH(B2968,'Cashier Roster'!$B$5:$B$64,0)),"Not on roster"))</f>
        <v/>
      </c>
      <c r="D2968" s="12" t="str">
        <f>IF(B2968="","",IFERROR(INDEX('Cashier Roster'!$D$5:$D$64,MATCH(B2968,'Cashier Roster'!$B$5:$B$64,0)),""))</f>
        <v/>
      </c>
      <c r="E2968" s="13"/>
      <c r="F2968" s="14"/>
      <c r="G2968" s="8" t="str">
        <f>IF(OR(B2968="",E2968=""),"",IF(E2968="No","Missed",IF(F2968="","",IF(F2968&lt;=Settings!$B$7,"On time","Late"))))</f>
        <v/>
      </c>
      <c r="H2968" s="15"/>
      <c r="I2968" s="16"/>
      <c r="J2968" s="16"/>
      <c r="K2968" s="17" t="str">
        <f>IF(J2968="","",ROUND(J2968*Settings!$B$8,2))</f>
        <v/>
      </c>
      <c r="L2968" s="16"/>
      <c r="M2968" s="8" t="str">
        <f t="shared" si="46"/>
        <v/>
      </c>
      <c r="N2968" s="9"/>
    </row>
    <row r="2969" spans="1:14" ht="15.75">
      <c r="A2969" s="11"/>
      <c r="B2969" s="9"/>
      <c r="C2969" s="12" t="str">
        <f>IF(B2969="","",IFERROR(INDEX('Cashier Roster'!$C$5:$C$64,MATCH(B2969,'Cashier Roster'!$B$5:$B$64,0)),"Not on roster"))</f>
        <v/>
      </c>
      <c r="D2969" s="12" t="str">
        <f>IF(B2969="","",IFERROR(INDEX('Cashier Roster'!$D$5:$D$64,MATCH(B2969,'Cashier Roster'!$B$5:$B$64,0)),""))</f>
        <v/>
      </c>
      <c r="E2969" s="13"/>
      <c r="F2969" s="14"/>
      <c r="G2969" s="8" t="str">
        <f>IF(OR(B2969="",E2969=""),"",IF(E2969="No","Missed",IF(F2969="","",IF(F2969&lt;=Settings!$B$7,"On time","Late"))))</f>
        <v/>
      </c>
      <c r="H2969" s="15"/>
      <c r="I2969" s="16"/>
      <c r="J2969" s="16"/>
      <c r="K2969" s="17" t="str">
        <f>IF(J2969="","",ROUND(J2969*Settings!$B$8,2))</f>
        <v/>
      </c>
      <c r="L2969" s="16"/>
      <c r="M2969" s="8" t="str">
        <f t="shared" si="46"/>
        <v/>
      </c>
      <c r="N2969" s="9"/>
    </row>
    <row r="2970" spans="1:14" ht="15.75">
      <c r="A2970" s="11"/>
      <c r="B2970" s="9"/>
      <c r="C2970" s="12" t="str">
        <f>IF(B2970="","",IFERROR(INDEX('Cashier Roster'!$C$5:$C$64,MATCH(B2970,'Cashier Roster'!$B$5:$B$64,0)),"Not on roster"))</f>
        <v/>
      </c>
      <c r="D2970" s="12" t="str">
        <f>IF(B2970="","",IFERROR(INDEX('Cashier Roster'!$D$5:$D$64,MATCH(B2970,'Cashier Roster'!$B$5:$B$64,0)),""))</f>
        <v/>
      </c>
      <c r="E2970" s="13"/>
      <c r="F2970" s="14"/>
      <c r="G2970" s="8" t="str">
        <f>IF(OR(B2970="",E2970=""),"",IF(E2970="No","Missed",IF(F2970="","",IF(F2970&lt;=Settings!$B$7,"On time","Late"))))</f>
        <v/>
      </c>
      <c r="H2970" s="15"/>
      <c r="I2970" s="16"/>
      <c r="J2970" s="16"/>
      <c r="K2970" s="17" t="str">
        <f>IF(J2970="","",ROUND(J2970*Settings!$B$8,2))</f>
        <v/>
      </c>
      <c r="L2970" s="16"/>
      <c r="M2970" s="8" t="str">
        <f t="shared" si="46"/>
        <v/>
      </c>
      <c r="N2970" s="9"/>
    </row>
    <row r="2971" spans="1:14" ht="15.75">
      <c r="A2971" s="11"/>
      <c r="B2971" s="9"/>
      <c r="C2971" s="12" t="str">
        <f>IF(B2971="","",IFERROR(INDEX('Cashier Roster'!$C$5:$C$64,MATCH(B2971,'Cashier Roster'!$B$5:$B$64,0)),"Not on roster"))</f>
        <v/>
      </c>
      <c r="D2971" s="12" t="str">
        <f>IF(B2971="","",IFERROR(INDEX('Cashier Roster'!$D$5:$D$64,MATCH(B2971,'Cashier Roster'!$B$5:$B$64,0)),""))</f>
        <v/>
      </c>
      <c r="E2971" s="13"/>
      <c r="F2971" s="14"/>
      <c r="G2971" s="8" t="str">
        <f>IF(OR(B2971="",E2971=""),"",IF(E2971="No","Missed",IF(F2971="","",IF(F2971&lt;=Settings!$B$7,"On time","Late"))))</f>
        <v/>
      </c>
      <c r="H2971" s="15"/>
      <c r="I2971" s="16"/>
      <c r="J2971" s="16"/>
      <c r="K2971" s="17" t="str">
        <f>IF(J2971="","",ROUND(J2971*Settings!$B$8,2))</f>
        <v/>
      </c>
      <c r="L2971" s="16"/>
      <c r="M2971" s="8" t="str">
        <f t="shared" si="46"/>
        <v/>
      </c>
      <c r="N2971" s="9"/>
    </row>
    <row r="2972" spans="1:14" ht="15.75">
      <c r="A2972" s="11"/>
      <c r="B2972" s="9"/>
      <c r="C2972" s="12" t="str">
        <f>IF(B2972="","",IFERROR(INDEX('Cashier Roster'!$C$5:$C$64,MATCH(B2972,'Cashier Roster'!$B$5:$B$64,0)),"Not on roster"))</f>
        <v/>
      </c>
      <c r="D2972" s="12" t="str">
        <f>IF(B2972="","",IFERROR(INDEX('Cashier Roster'!$D$5:$D$64,MATCH(B2972,'Cashier Roster'!$B$5:$B$64,0)),""))</f>
        <v/>
      </c>
      <c r="E2972" s="13"/>
      <c r="F2972" s="14"/>
      <c r="G2972" s="8" t="str">
        <f>IF(OR(B2972="",E2972=""),"",IF(E2972="No","Missed",IF(F2972="","",IF(F2972&lt;=Settings!$B$7,"On time","Late"))))</f>
        <v/>
      </c>
      <c r="H2972" s="15"/>
      <c r="I2972" s="16"/>
      <c r="J2972" s="16"/>
      <c r="K2972" s="17" t="str">
        <f>IF(J2972="","",ROUND(J2972*Settings!$B$8,2))</f>
        <v/>
      </c>
      <c r="L2972" s="16"/>
      <c r="M2972" s="8" t="str">
        <f t="shared" si="46"/>
        <v/>
      </c>
      <c r="N2972" s="9"/>
    </row>
    <row r="2973" spans="1:14" ht="15.75">
      <c r="A2973" s="11"/>
      <c r="B2973" s="9"/>
      <c r="C2973" s="12" t="str">
        <f>IF(B2973="","",IFERROR(INDEX('Cashier Roster'!$C$5:$C$64,MATCH(B2973,'Cashier Roster'!$B$5:$B$64,0)),"Not on roster"))</f>
        <v/>
      </c>
      <c r="D2973" s="12" t="str">
        <f>IF(B2973="","",IFERROR(INDEX('Cashier Roster'!$D$5:$D$64,MATCH(B2973,'Cashier Roster'!$B$5:$B$64,0)),""))</f>
        <v/>
      </c>
      <c r="E2973" s="13"/>
      <c r="F2973" s="14"/>
      <c r="G2973" s="8" t="str">
        <f>IF(OR(B2973="",E2973=""),"",IF(E2973="No","Missed",IF(F2973="","",IF(F2973&lt;=Settings!$B$7,"On time","Late"))))</f>
        <v/>
      </c>
      <c r="H2973" s="15"/>
      <c r="I2973" s="16"/>
      <c r="J2973" s="16"/>
      <c r="K2973" s="17" t="str">
        <f>IF(J2973="","",ROUND(J2973*Settings!$B$8,2))</f>
        <v/>
      </c>
      <c r="L2973" s="16"/>
      <c r="M2973" s="8" t="str">
        <f t="shared" si="46"/>
        <v/>
      </c>
      <c r="N2973" s="9"/>
    </row>
    <row r="2974" spans="1:14" ht="15.75">
      <c r="A2974" s="11"/>
      <c r="B2974" s="9"/>
      <c r="C2974" s="12" t="str">
        <f>IF(B2974="","",IFERROR(INDEX('Cashier Roster'!$C$5:$C$64,MATCH(B2974,'Cashier Roster'!$B$5:$B$64,0)),"Not on roster"))</f>
        <v/>
      </c>
      <c r="D2974" s="12" t="str">
        <f>IF(B2974="","",IFERROR(INDEX('Cashier Roster'!$D$5:$D$64,MATCH(B2974,'Cashier Roster'!$B$5:$B$64,0)),""))</f>
        <v/>
      </c>
      <c r="E2974" s="13"/>
      <c r="F2974" s="14"/>
      <c r="G2974" s="8" t="str">
        <f>IF(OR(B2974="",E2974=""),"",IF(E2974="No","Missed",IF(F2974="","",IF(F2974&lt;=Settings!$B$7,"On time","Late"))))</f>
        <v/>
      </c>
      <c r="H2974" s="15"/>
      <c r="I2974" s="16"/>
      <c r="J2974" s="16"/>
      <c r="K2974" s="17" t="str">
        <f>IF(J2974="","",ROUND(J2974*Settings!$B$8,2))</f>
        <v/>
      </c>
      <c r="L2974" s="16"/>
      <c r="M2974" s="8" t="str">
        <f t="shared" si="46"/>
        <v/>
      </c>
      <c r="N2974" s="9"/>
    </row>
    <row r="2975" spans="1:14" ht="15.75">
      <c r="A2975" s="11"/>
      <c r="B2975" s="9"/>
      <c r="C2975" s="12" t="str">
        <f>IF(B2975="","",IFERROR(INDEX('Cashier Roster'!$C$5:$C$64,MATCH(B2975,'Cashier Roster'!$B$5:$B$64,0)),"Not on roster"))</f>
        <v/>
      </c>
      <c r="D2975" s="12" t="str">
        <f>IF(B2975="","",IFERROR(INDEX('Cashier Roster'!$D$5:$D$64,MATCH(B2975,'Cashier Roster'!$B$5:$B$64,0)),""))</f>
        <v/>
      </c>
      <c r="E2975" s="13"/>
      <c r="F2975" s="14"/>
      <c r="G2975" s="8" t="str">
        <f>IF(OR(B2975="",E2975=""),"",IF(E2975="No","Missed",IF(F2975="","",IF(F2975&lt;=Settings!$B$7,"On time","Late"))))</f>
        <v/>
      </c>
      <c r="H2975" s="15"/>
      <c r="I2975" s="16"/>
      <c r="J2975" s="16"/>
      <c r="K2975" s="17" t="str">
        <f>IF(J2975="","",ROUND(J2975*Settings!$B$8,2))</f>
        <v/>
      </c>
      <c r="L2975" s="16"/>
      <c r="M2975" s="8" t="str">
        <f t="shared" si="46"/>
        <v/>
      </c>
      <c r="N2975" s="9"/>
    </row>
    <row r="2976" spans="1:14" ht="15.75">
      <c r="A2976" s="11"/>
      <c r="B2976" s="9"/>
      <c r="C2976" s="12" t="str">
        <f>IF(B2976="","",IFERROR(INDEX('Cashier Roster'!$C$5:$C$64,MATCH(B2976,'Cashier Roster'!$B$5:$B$64,0)),"Not on roster"))</f>
        <v/>
      </c>
      <c r="D2976" s="12" t="str">
        <f>IF(B2976="","",IFERROR(INDEX('Cashier Roster'!$D$5:$D$64,MATCH(B2976,'Cashier Roster'!$B$5:$B$64,0)),""))</f>
        <v/>
      </c>
      <c r="E2976" s="13"/>
      <c r="F2976" s="14"/>
      <c r="G2976" s="8" t="str">
        <f>IF(OR(B2976="",E2976=""),"",IF(E2976="No","Missed",IF(F2976="","",IF(F2976&lt;=Settings!$B$7,"On time","Late"))))</f>
        <v/>
      </c>
      <c r="H2976" s="15"/>
      <c r="I2976" s="16"/>
      <c r="J2976" s="16"/>
      <c r="K2976" s="17" t="str">
        <f>IF(J2976="","",ROUND(J2976*Settings!$B$8,2))</f>
        <v/>
      </c>
      <c r="L2976" s="16"/>
      <c r="M2976" s="8" t="str">
        <f t="shared" si="46"/>
        <v/>
      </c>
      <c r="N2976" s="9"/>
    </row>
    <row r="2977" spans="1:14" ht="15.75">
      <c r="A2977" s="11"/>
      <c r="B2977" s="9"/>
      <c r="C2977" s="12" t="str">
        <f>IF(B2977="","",IFERROR(INDEX('Cashier Roster'!$C$5:$C$64,MATCH(B2977,'Cashier Roster'!$B$5:$B$64,0)),"Not on roster"))</f>
        <v/>
      </c>
      <c r="D2977" s="12" t="str">
        <f>IF(B2977="","",IFERROR(INDEX('Cashier Roster'!$D$5:$D$64,MATCH(B2977,'Cashier Roster'!$B$5:$B$64,0)),""))</f>
        <v/>
      </c>
      <c r="E2977" s="13"/>
      <c r="F2977" s="14"/>
      <c r="G2977" s="8" t="str">
        <f>IF(OR(B2977="",E2977=""),"",IF(E2977="No","Missed",IF(F2977="","",IF(F2977&lt;=Settings!$B$7,"On time","Late"))))</f>
        <v/>
      </c>
      <c r="H2977" s="15"/>
      <c r="I2977" s="16"/>
      <c r="J2977" s="16"/>
      <c r="K2977" s="17" t="str">
        <f>IF(J2977="","",ROUND(J2977*Settings!$B$8,2))</f>
        <v/>
      </c>
      <c r="L2977" s="16"/>
      <c r="M2977" s="8" t="str">
        <f t="shared" si="46"/>
        <v/>
      </c>
      <c r="N2977" s="9"/>
    </row>
    <row r="2978" spans="1:14" ht="15.75">
      <c r="A2978" s="11"/>
      <c r="B2978" s="9"/>
      <c r="C2978" s="12" t="str">
        <f>IF(B2978="","",IFERROR(INDEX('Cashier Roster'!$C$5:$C$64,MATCH(B2978,'Cashier Roster'!$B$5:$B$64,0)),"Not on roster"))</f>
        <v/>
      </c>
      <c r="D2978" s="12" t="str">
        <f>IF(B2978="","",IFERROR(INDEX('Cashier Roster'!$D$5:$D$64,MATCH(B2978,'Cashier Roster'!$B$5:$B$64,0)),""))</f>
        <v/>
      </c>
      <c r="E2978" s="13"/>
      <c r="F2978" s="14"/>
      <c r="G2978" s="8" t="str">
        <f>IF(OR(B2978="",E2978=""),"",IF(E2978="No","Missed",IF(F2978="","",IF(F2978&lt;=Settings!$B$7,"On time","Late"))))</f>
        <v/>
      </c>
      <c r="H2978" s="15"/>
      <c r="I2978" s="16"/>
      <c r="J2978" s="16"/>
      <c r="K2978" s="17" t="str">
        <f>IF(J2978="","",ROUND(J2978*Settings!$B$8,2))</f>
        <v/>
      </c>
      <c r="L2978" s="16"/>
      <c r="M2978" s="8" t="str">
        <f t="shared" si="46"/>
        <v/>
      </c>
      <c r="N2978" s="9"/>
    </row>
    <row r="2979" spans="1:14" ht="15.75">
      <c r="A2979" s="11"/>
      <c r="B2979" s="9"/>
      <c r="C2979" s="12" t="str">
        <f>IF(B2979="","",IFERROR(INDEX('Cashier Roster'!$C$5:$C$64,MATCH(B2979,'Cashier Roster'!$B$5:$B$64,0)),"Not on roster"))</f>
        <v/>
      </c>
      <c r="D2979" s="12" t="str">
        <f>IF(B2979="","",IFERROR(INDEX('Cashier Roster'!$D$5:$D$64,MATCH(B2979,'Cashier Roster'!$B$5:$B$64,0)),""))</f>
        <v/>
      </c>
      <c r="E2979" s="13"/>
      <c r="F2979" s="14"/>
      <c r="G2979" s="8" t="str">
        <f>IF(OR(B2979="",E2979=""),"",IF(E2979="No","Missed",IF(F2979="","",IF(F2979&lt;=Settings!$B$7,"On time","Late"))))</f>
        <v/>
      </c>
      <c r="H2979" s="15"/>
      <c r="I2979" s="16"/>
      <c r="J2979" s="16"/>
      <c r="K2979" s="17" t="str">
        <f>IF(J2979="","",ROUND(J2979*Settings!$B$8,2))</f>
        <v/>
      </c>
      <c r="L2979" s="16"/>
      <c r="M2979" s="8" t="str">
        <f t="shared" si="46"/>
        <v/>
      </c>
      <c r="N2979" s="9"/>
    </row>
    <row r="2980" spans="1:14" ht="15.75">
      <c r="A2980" s="11"/>
      <c r="B2980" s="9"/>
      <c r="C2980" s="12" t="str">
        <f>IF(B2980="","",IFERROR(INDEX('Cashier Roster'!$C$5:$C$64,MATCH(B2980,'Cashier Roster'!$B$5:$B$64,0)),"Not on roster"))</f>
        <v/>
      </c>
      <c r="D2980" s="12" t="str">
        <f>IF(B2980="","",IFERROR(INDEX('Cashier Roster'!$D$5:$D$64,MATCH(B2980,'Cashier Roster'!$B$5:$B$64,0)),""))</f>
        <v/>
      </c>
      <c r="E2980" s="13"/>
      <c r="F2980" s="14"/>
      <c r="G2980" s="8" t="str">
        <f>IF(OR(B2980="",E2980=""),"",IF(E2980="No","Missed",IF(F2980="","",IF(F2980&lt;=Settings!$B$7,"On time","Late"))))</f>
        <v/>
      </c>
      <c r="H2980" s="15"/>
      <c r="I2980" s="16"/>
      <c r="J2980" s="16"/>
      <c r="K2980" s="17" t="str">
        <f>IF(J2980="","",ROUND(J2980*Settings!$B$8,2))</f>
        <v/>
      </c>
      <c r="L2980" s="16"/>
      <c r="M2980" s="8" t="str">
        <f t="shared" si="46"/>
        <v/>
      </c>
      <c r="N2980" s="9"/>
    </row>
    <row r="2981" spans="1:14" ht="15.75">
      <c r="A2981" s="11"/>
      <c r="B2981" s="9"/>
      <c r="C2981" s="12" t="str">
        <f>IF(B2981="","",IFERROR(INDEX('Cashier Roster'!$C$5:$C$64,MATCH(B2981,'Cashier Roster'!$B$5:$B$64,0)),"Not on roster"))</f>
        <v/>
      </c>
      <c r="D2981" s="12" t="str">
        <f>IF(B2981="","",IFERROR(INDEX('Cashier Roster'!$D$5:$D$64,MATCH(B2981,'Cashier Roster'!$B$5:$B$64,0)),""))</f>
        <v/>
      </c>
      <c r="E2981" s="13"/>
      <c r="F2981" s="14"/>
      <c r="G2981" s="8" t="str">
        <f>IF(OR(B2981="",E2981=""),"",IF(E2981="No","Missed",IF(F2981="","",IF(F2981&lt;=Settings!$B$7,"On time","Late"))))</f>
        <v/>
      </c>
      <c r="H2981" s="15"/>
      <c r="I2981" s="16"/>
      <c r="J2981" s="16"/>
      <c r="K2981" s="17" t="str">
        <f>IF(J2981="","",ROUND(J2981*Settings!$B$8,2))</f>
        <v/>
      </c>
      <c r="L2981" s="16"/>
      <c r="M2981" s="8" t="str">
        <f t="shared" si="46"/>
        <v/>
      </c>
      <c r="N2981" s="9"/>
    </row>
    <row r="2982" spans="1:14" ht="15.75">
      <c r="A2982" s="11"/>
      <c r="B2982" s="9"/>
      <c r="C2982" s="12" t="str">
        <f>IF(B2982="","",IFERROR(INDEX('Cashier Roster'!$C$5:$C$64,MATCH(B2982,'Cashier Roster'!$B$5:$B$64,0)),"Not on roster"))</f>
        <v/>
      </c>
      <c r="D2982" s="12" t="str">
        <f>IF(B2982="","",IFERROR(INDEX('Cashier Roster'!$D$5:$D$64,MATCH(B2982,'Cashier Roster'!$B$5:$B$64,0)),""))</f>
        <v/>
      </c>
      <c r="E2982" s="13"/>
      <c r="F2982" s="14"/>
      <c r="G2982" s="8" t="str">
        <f>IF(OR(B2982="",E2982=""),"",IF(E2982="No","Missed",IF(F2982="","",IF(F2982&lt;=Settings!$B$7,"On time","Late"))))</f>
        <v/>
      </c>
      <c r="H2982" s="15"/>
      <c r="I2982" s="16"/>
      <c r="J2982" s="16"/>
      <c r="K2982" s="17" t="str">
        <f>IF(J2982="","",ROUND(J2982*Settings!$B$8,2))</f>
        <v/>
      </c>
      <c r="L2982" s="16"/>
      <c r="M2982" s="8" t="str">
        <f t="shared" si="46"/>
        <v/>
      </c>
      <c r="N2982" s="9"/>
    </row>
    <row r="2983" spans="1:14" ht="15.75">
      <c r="A2983" s="11"/>
      <c r="B2983" s="9"/>
      <c r="C2983" s="12" t="str">
        <f>IF(B2983="","",IFERROR(INDEX('Cashier Roster'!$C$5:$C$64,MATCH(B2983,'Cashier Roster'!$B$5:$B$64,0)),"Not on roster"))</f>
        <v/>
      </c>
      <c r="D2983" s="12" t="str">
        <f>IF(B2983="","",IFERROR(INDEX('Cashier Roster'!$D$5:$D$64,MATCH(B2983,'Cashier Roster'!$B$5:$B$64,0)),""))</f>
        <v/>
      </c>
      <c r="E2983" s="13"/>
      <c r="F2983" s="14"/>
      <c r="G2983" s="8" t="str">
        <f>IF(OR(B2983="",E2983=""),"",IF(E2983="No","Missed",IF(F2983="","",IF(F2983&lt;=Settings!$B$7,"On time","Late"))))</f>
        <v/>
      </c>
      <c r="H2983" s="15"/>
      <c r="I2983" s="16"/>
      <c r="J2983" s="16"/>
      <c r="K2983" s="17" t="str">
        <f>IF(J2983="","",ROUND(J2983*Settings!$B$8,2))</f>
        <v/>
      </c>
      <c r="L2983" s="16"/>
      <c r="M2983" s="8" t="str">
        <f t="shared" si="46"/>
        <v/>
      </c>
      <c r="N2983" s="9"/>
    </row>
    <row r="2984" spans="1:14" ht="15.75">
      <c r="A2984" s="11"/>
      <c r="B2984" s="9"/>
      <c r="C2984" s="12" t="str">
        <f>IF(B2984="","",IFERROR(INDEX('Cashier Roster'!$C$5:$C$64,MATCH(B2984,'Cashier Roster'!$B$5:$B$64,0)),"Not on roster"))</f>
        <v/>
      </c>
      <c r="D2984" s="12" t="str">
        <f>IF(B2984="","",IFERROR(INDEX('Cashier Roster'!$D$5:$D$64,MATCH(B2984,'Cashier Roster'!$B$5:$B$64,0)),""))</f>
        <v/>
      </c>
      <c r="E2984" s="13"/>
      <c r="F2984" s="14"/>
      <c r="G2984" s="8" t="str">
        <f>IF(OR(B2984="",E2984=""),"",IF(E2984="No","Missed",IF(F2984="","",IF(F2984&lt;=Settings!$B$7,"On time","Late"))))</f>
        <v/>
      </c>
      <c r="H2984" s="15"/>
      <c r="I2984" s="16"/>
      <c r="J2984" s="16"/>
      <c r="K2984" s="17" t="str">
        <f>IF(J2984="","",ROUND(J2984*Settings!$B$8,2))</f>
        <v/>
      </c>
      <c r="L2984" s="16"/>
      <c r="M2984" s="8" t="str">
        <f t="shared" si="46"/>
        <v/>
      </c>
      <c r="N2984" s="9"/>
    </row>
    <row r="2985" spans="1:14" ht="15.75">
      <c r="A2985" s="11"/>
      <c r="B2985" s="9"/>
      <c r="C2985" s="12" t="str">
        <f>IF(B2985="","",IFERROR(INDEX('Cashier Roster'!$C$5:$C$64,MATCH(B2985,'Cashier Roster'!$B$5:$B$64,0)),"Not on roster"))</f>
        <v/>
      </c>
      <c r="D2985" s="12" t="str">
        <f>IF(B2985="","",IFERROR(INDEX('Cashier Roster'!$D$5:$D$64,MATCH(B2985,'Cashier Roster'!$B$5:$B$64,0)),""))</f>
        <v/>
      </c>
      <c r="E2985" s="13"/>
      <c r="F2985" s="14"/>
      <c r="G2985" s="8" t="str">
        <f>IF(OR(B2985="",E2985=""),"",IF(E2985="No","Missed",IF(F2985="","",IF(F2985&lt;=Settings!$B$7,"On time","Late"))))</f>
        <v/>
      </c>
      <c r="H2985" s="15"/>
      <c r="I2985" s="16"/>
      <c r="J2985" s="16"/>
      <c r="K2985" s="17" t="str">
        <f>IF(J2985="","",ROUND(J2985*Settings!$B$8,2))</f>
        <v/>
      </c>
      <c r="L2985" s="16"/>
      <c r="M2985" s="8" t="str">
        <f t="shared" si="46"/>
        <v/>
      </c>
      <c r="N2985" s="9"/>
    </row>
    <row r="2986" spans="1:14" ht="15.75">
      <c r="A2986" s="11"/>
      <c r="B2986" s="9"/>
      <c r="C2986" s="12" t="str">
        <f>IF(B2986="","",IFERROR(INDEX('Cashier Roster'!$C$5:$C$64,MATCH(B2986,'Cashier Roster'!$B$5:$B$64,0)),"Not on roster"))</f>
        <v/>
      </c>
      <c r="D2986" s="12" t="str">
        <f>IF(B2986="","",IFERROR(INDEX('Cashier Roster'!$D$5:$D$64,MATCH(B2986,'Cashier Roster'!$B$5:$B$64,0)),""))</f>
        <v/>
      </c>
      <c r="E2986" s="13"/>
      <c r="F2986" s="14"/>
      <c r="G2986" s="8" t="str">
        <f>IF(OR(B2986="",E2986=""),"",IF(E2986="No","Missed",IF(F2986="","",IF(F2986&lt;=Settings!$B$7,"On time","Late"))))</f>
        <v/>
      </c>
      <c r="H2986" s="15"/>
      <c r="I2986" s="16"/>
      <c r="J2986" s="16"/>
      <c r="K2986" s="17" t="str">
        <f>IF(J2986="","",ROUND(J2986*Settings!$B$8,2))</f>
        <v/>
      </c>
      <c r="L2986" s="16"/>
      <c r="M2986" s="8" t="str">
        <f t="shared" si="46"/>
        <v/>
      </c>
      <c r="N2986" s="9"/>
    </row>
    <row r="2987" spans="1:14" ht="15.75">
      <c r="A2987" s="11"/>
      <c r="B2987" s="9"/>
      <c r="C2987" s="12" t="str">
        <f>IF(B2987="","",IFERROR(INDEX('Cashier Roster'!$C$5:$C$64,MATCH(B2987,'Cashier Roster'!$B$5:$B$64,0)),"Not on roster"))</f>
        <v/>
      </c>
      <c r="D2987" s="12" t="str">
        <f>IF(B2987="","",IFERROR(INDEX('Cashier Roster'!$D$5:$D$64,MATCH(B2987,'Cashier Roster'!$B$5:$B$64,0)),""))</f>
        <v/>
      </c>
      <c r="E2987" s="13"/>
      <c r="F2987" s="14"/>
      <c r="G2987" s="8" t="str">
        <f>IF(OR(B2987="",E2987=""),"",IF(E2987="No","Missed",IF(F2987="","",IF(F2987&lt;=Settings!$B$7,"On time","Late"))))</f>
        <v/>
      </c>
      <c r="H2987" s="15"/>
      <c r="I2987" s="16"/>
      <c r="J2987" s="16"/>
      <c r="K2987" s="17" t="str">
        <f>IF(J2987="","",ROUND(J2987*Settings!$B$8,2))</f>
        <v/>
      </c>
      <c r="L2987" s="16"/>
      <c r="M2987" s="8" t="str">
        <f t="shared" si="46"/>
        <v/>
      </c>
      <c r="N2987" s="9"/>
    </row>
    <row r="2988" spans="1:14" ht="15.75">
      <c r="A2988" s="11"/>
      <c r="B2988" s="9"/>
      <c r="C2988" s="12" t="str">
        <f>IF(B2988="","",IFERROR(INDEX('Cashier Roster'!$C$5:$C$64,MATCH(B2988,'Cashier Roster'!$B$5:$B$64,0)),"Not on roster"))</f>
        <v/>
      </c>
      <c r="D2988" s="12" t="str">
        <f>IF(B2988="","",IFERROR(INDEX('Cashier Roster'!$D$5:$D$64,MATCH(B2988,'Cashier Roster'!$B$5:$B$64,0)),""))</f>
        <v/>
      </c>
      <c r="E2988" s="13"/>
      <c r="F2988" s="14"/>
      <c r="G2988" s="8" t="str">
        <f>IF(OR(B2988="",E2988=""),"",IF(E2988="No","Missed",IF(F2988="","",IF(F2988&lt;=Settings!$B$7,"On time","Late"))))</f>
        <v/>
      </c>
      <c r="H2988" s="15"/>
      <c r="I2988" s="16"/>
      <c r="J2988" s="16"/>
      <c r="K2988" s="17" t="str">
        <f>IF(J2988="","",ROUND(J2988*Settings!$B$8,2))</f>
        <v/>
      </c>
      <c r="L2988" s="16"/>
      <c r="M2988" s="8" t="str">
        <f t="shared" si="46"/>
        <v/>
      </c>
      <c r="N2988" s="9"/>
    </row>
    <row r="2989" spans="1:14" ht="15.75">
      <c r="A2989" s="11"/>
      <c r="B2989" s="9"/>
      <c r="C2989" s="12" t="str">
        <f>IF(B2989="","",IFERROR(INDEX('Cashier Roster'!$C$5:$C$64,MATCH(B2989,'Cashier Roster'!$B$5:$B$64,0)),"Not on roster"))</f>
        <v/>
      </c>
      <c r="D2989" s="12" t="str">
        <f>IF(B2989="","",IFERROR(INDEX('Cashier Roster'!$D$5:$D$64,MATCH(B2989,'Cashier Roster'!$B$5:$B$64,0)),""))</f>
        <v/>
      </c>
      <c r="E2989" s="13"/>
      <c r="F2989" s="14"/>
      <c r="G2989" s="8" t="str">
        <f>IF(OR(B2989="",E2989=""),"",IF(E2989="No","Missed",IF(F2989="","",IF(F2989&lt;=Settings!$B$7,"On time","Late"))))</f>
        <v/>
      </c>
      <c r="H2989" s="15"/>
      <c r="I2989" s="16"/>
      <c r="J2989" s="16"/>
      <c r="K2989" s="17" t="str">
        <f>IF(J2989="","",ROUND(J2989*Settings!$B$8,2))</f>
        <v/>
      </c>
      <c r="L2989" s="16"/>
      <c r="M2989" s="8" t="str">
        <f t="shared" si="46"/>
        <v/>
      </c>
      <c r="N2989" s="9"/>
    </row>
    <row r="2990" spans="1:14" ht="15.75">
      <c r="A2990" s="11"/>
      <c r="B2990" s="9"/>
      <c r="C2990" s="12" t="str">
        <f>IF(B2990="","",IFERROR(INDEX('Cashier Roster'!$C$5:$C$64,MATCH(B2990,'Cashier Roster'!$B$5:$B$64,0)),"Not on roster"))</f>
        <v/>
      </c>
      <c r="D2990" s="12" t="str">
        <f>IF(B2990="","",IFERROR(INDEX('Cashier Roster'!$D$5:$D$64,MATCH(B2990,'Cashier Roster'!$B$5:$B$64,0)),""))</f>
        <v/>
      </c>
      <c r="E2990" s="13"/>
      <c r="F2990" s="14"/>
      <c r="G2990" s="8" t="str">
        <f>IF(OR(B2990="",E2990=""),"",IF(E2990="No","Missed",IF(F2990="","",IF(F2990&lt;=Settings!$B$7,"On time","Late"))))</f>
        <v/>
      </c>
      <c r="H2990" s="15"/>
      <c r="I2990" s="16"/>
      <c r="J2990" s="16"/>
      <c r="K2990" s="17" t="str">
        <f>IF(J2990="","",ROUND(J2990*Settings!$B$8,2))</f>
        <v/>
      </c>
      <c r="L2990" s="16"/>
      <c r="M2990" s="8" t="str">
        <f t="shared" si="46"/>
        <v/>
      </c>
      <c r="N2990" s="9"/>
    </row>
    <row r="2991" spans="1:14" ht="15.75">
      <c r="A2991" s="11"/>
      <c r="B2991" s="9"/>
      <c r="C2991" s="12" t="str">
        <f>IF(B2991="","",IFERROR(INDEX('Cashier Roster'!$C$5:$C$64,MATCH(B2991,'Cashier Roster'!$B$5:$B$64,0)),"Not on roster"))</f>
        <v/>
      </c>
      <c r="D2991" s="12" t="str">
        <f>IF(B2991="","",IFERROR(INDEX('Cashier Roster'!$D$5:$D$64,MATCH(B2991,'Cashier Roster'!$B$5:$B$64,0)),""))</f>
        <v/>
      </c>
      <c r="E2991" s="13"/>
      <c r="F2991" s="14"/>
      <c r="G2991" s="8" t="str">
        <f>IF(OR(B2991="",E2991=""),"",IF(E2991="No","Missed",IF(F2991="","",IF(F2991&lt;=Settings!$B$7,"On time","Late"))))</f>
        <v/>
      </c>
      <c r="H2991" s="15"/>
      <c r="I2991" s="16"/>
      <c r="J2991" s="16"/>
      <c r="K2991" s="17" t="str">
        <f>IF(J2991="","",ROUND(J2991*Settings!$B$8,2))</f>
        <v/>
      </c>
      <c r="L2991" s="16"/>
      <c r="M2991" s="8" t="str">
        <f t="shared" si="46"/>
        <v/>
      </c>
      <c r="N2991" s="9"/>
    </row>
    <row r="2992" spans="1:14" ht="15.75">
      <c r="A2992" s="11"/>
      <c r="B2992" s="9"/>
      <c r="C2992" s="12" t="str">
        <f>IF(B2992="","",IFERROR(INDEX('Cashier Roster'!$C$5:$C$64,MATCH(B2992,'Cashier Roster'!$B$5:$B$64,0)),"Not on roster"))</f>
        <v/>
      </c>
      <c r="D2992" s="12" t="str">
        <f>IF(B2992="","",IFERROR(INDEX('Cashier Roster'!$D$5:$D$64,MATCH(B2992,'Cashier Roster'!$B$5:$B$64,0)),""))</f>
        <v/>
      </c>
      <c r="E2992" s="13"/>
      <c r="F2992" s="14"/>
      <c r="G2992" s="8" t="str">
        <f>IF(OR(B2992="",E2992=""),"",IF(E2992="No","Missed",IF(F2992="","",IF(F2992&lt;=Settings!$B$7,"On time","Late"))))</f>
        <v/>
      </c>
      <c r="H2992" s="15"/>
      <c r="I2992" s="16"/>
      <c r="J2992" s="16"/>
      <c r="K2992" s="17" t="str">
        <f>IF(J2992="","",ROUND(J2992*Settings!$B$8,2))</f>
        <v/>
      </c>
      <c r="L2992" s="16"/>
      <c r="M2992" s="8" t="str">
        <f t="shared" si="46"/>
        <v/>
      </c>
      <c r="N2992" s="9"/>
    </row>
    <row r="2993" spans="1:14" ht="15.75">
      <c r="A2993" s="11"/>
      <c r="B2993" s="9"/>
      <c r="C2993" s="12" t="str">
        <f>IF(B2993="","",IFERROR(INDEX('Cashier Roster'!$C$5:$C$64,MATCH(B2993,'Cashier Roster'!$B$5:$B$64,0)),"Not on roster"))</f>
        <v/>
      </c>
      <c r="D2993" s="12" t="str">
        <f>IF(B2993="","",IFERROR(INDEX('Cashier Roster'!$D$5:$D$64,MATCH(B2993,'Cashier Roster'!$B$5:$B$64,0)),""))</f>
        <v/>
      </c>
      <c r="E2993" s="13"/>
      <c r="F2993" s="14"/>
      <c r="G2993" s="8" t="str">
        <f>IF(OR(B2993="",E2993=""),"",IF(E2993="No","Missed",IF(F2993="","",IF(F2993&lt;=Settings!$B$7,"On time","Late"))))</f>
        <v/>
      </c>
      <c r="H2993" s="15"/>
      <c r="I2993" s="16"/>
      <c r="J2993" s="16"/>
      <c r="K2993" s="17" t="str">
        <f>IF(J2993="","",ROUND(J2993*Settings!$B$8,2))</f>
        <v/>
      </c>
      <c r="L2993" s="16"/>
      <c r="M2993" s="8" t="str">
        <f t="shared" si="46"/>
        <v/>
      </c>
      <c r="N2993" s="9"/>
    </row>
    <row r="2994" spans="1:14" ht="15.75">
      <c r="A2994" s="11"/>
      <c r="B2994" s="9"/>
      <c r="C2994" s="12" t="str">
        <f>IF(B2994="","",IFERROR(INDEX('Cashier Roster'!$C$5:$C$64,MATCH(B2994,'Cashier Roster'!$B$5:$B$64,0)),"Not on roster"))</f>
        <v/>
      </c>
      <c r="D2994" s="12" t="str">
        <f>IF(B2994="","",IFERROR(INDEX('Cashier Roster'!$D$5:$D$64,MATCH(B2994,'Cashier Roster'!$B$5:$B$64,0)),""))</f>
        <v/>
      </c>
      <c r="E2994" s="13"/>
      <c r="F2994" s="14"/>
      <c r="G2994" s="8" t="str">
        <f>IF(OR(B2994="",E2994=""),"",IF(E2994="No","Missed",IF(F2994="","",IF(F2994&lt;=Settings!$B$7,"On time","Late"))))</f>
        <v/>
      </c>
      <c r="H2994" s="15"/>
      <c r="I2994" s="16"/>
      <c r="J2994" s="16"/>
      <c r="K2994" s="17" t="str">
        <f>IF(J2994="","",ROUND(J2994*Settings!$B$8,2))</f>
        <v/>
      </c>
      <c r="L2994" s="16"/>
      <c r="M2994" s="8" t="str">
        <f t="shared" si="46"/>
        <v/>
      </c>
      <c r="N2994" s="9"/>
    </row>
    <row r="2995" spans="1:14" ht="15.75">
      <c r="A2995" s="11"/>
      <c r="B2995" s="9"/>
      <c r="C2995" s="12" t="str">
        <f>IF(B2995="","",IFERROR(INDEX('Cashier Roster'!$C$5:$C$64,MATCH(B2995,'Cashier Roster'!$B$5:$B$64,0)),"Not on roster"))</f>
        <v/>
      </c>
      <c r="D2995" s="12" t="str">
        <f>IF(B2995="","",IFERROR(INDEX('Cashier Roster'!$D$5:$D$64,MATCH(B2995,'Cashier Roster'!$B$5:$B$64,0)),""))</f>
        <v/>
      </c>
      <c r="E2995" s="13"/>
      <c r="F2995" s="14"/>
      <c r="G2995" s="8" t="str">
        <f>IF(OR(B2995="",E2995=""),"",IF(E2995="No","Missed",IF(F2995="","",IF(F2995&lt;=Settings!$B$7,"On time","Late"))))</f>
        <v/>
      </c>
      <c r="H2995" s="15"/>
      <c r="I2995" s="16"/>
      <c r="J2995" s="16"/>
      <c r="K2995" s="17" t="str">
        <f>IF(J2995="","",ROUND(J2995*Settings!$B$8,2))</f>
        <v/>
      </c>
      <c r="L2995" s="16"/>
      <c r="M2995" s="8" t="str">
        <f t="shared" si="46"/>
        <v/>
      </c>
      <c r="N2995" s="9"/>
    </row>
    <row r="2996" spans="1:14" ht="15.75">
      <c r="A2996" s="11"/>
      <c r="B2996" s="9"/>
      <c r="C2996" s="12" t="str">
        <f>IF(B2996="","",IFERROR(INDEX('Cashier Roster'!$C$5:$C$64,MATCH(B2996,'Cashier Roster'!$B$5:$B$64,0)),"Not on roster"))</f>
        <v/>
      </c>
      <c r="D2996" s="12" t="str">
        <f>IF(B2996="","",IFERROR(INDEX('Cashier Roster'!$D$5:$D$64,MATCH(B2996,'Cashier Roster'!$B$5:$B$64,0)),""))</f>
        <v/>
      </c>
      <c r="E2996" s="13"/>
      <c r="F2996" s="14"/>
      <c r="G2996" s="8" t="str">
        <f>IF(OR(B2996="",E2996=""),"",IF(E2996="No","Missed",IF(F2996="","",IF(F2996&lt;=Settings!$B$7,"On time","Late"))))</f>
        <v/>
      </c>
      <c r="H2996" s="15"/>
      <c r="I2996" s="16"/>
      <c r="J2996" s="16"/>
      <c r="K2996" s="17" t="str">
        <f>IF(J2996="","",ROUND(J2996*Settings!$B$8,2))</f>
        <v/>
      </c>
      <c r="L2996" s="16"/>
      <c r="M2996" s="8" t="str">
        <f t="shared" si="46"/>
        <v/>
      </c>
      <c r="N2996" s="9"/>
    </row>
    <row r="2997" spans="1:14" ht="15.75">
      <c r="A2997" s="11"/>
      <c r="B2997" s="9"/>
      <c r="C2997" s="12" t="str">
        <f>IF(B2997="","",IFERROR(INDEX('Cashier Roster'!$C$5:$C$64,MATCH(B2997,'Cashier Roster'!$B$5:$B$64,0)),"Not on roster"))</f>
        <v/>
      </c>
      <c r="D2997" s="12" t="str">
        <f>IF(B2997="","",IFERROR(INDEX('Cashier Roster'!$D$5:$D$64,MATCH(B2997,'Cashier Roster'!$B$5:$B$64,0)),""))</f>
        <v/>
      </c>
      <c r="E2997" s="13"/>
      <c r="F2997" s="14"/>
      <c r="G2997" s="8" t="str">
        <f>IF(OR(B2997="",E2997=""),"",IF(E2997="No","Missed",IF(F2997="","",IF(F2997&lt;=Settings!$B$7,"On time","Late"))))</f>
        <v/>
      </c>
      <c r="H2997" s="15"/>
      <c r="I2997" s="16"/>
      <c r="J2997" s="16"/>
      <c r="K2997" s="17" t="str">
        <f>IF(J2997="","",ROUND(J2997*Settings!$B$8,2))</f>
        <v/>
      </c>
      <c r="L2997" s="16"/>
      <c r="M2997" s="8" t="str">
        <f t="shared" si="46"/>
        <v/>
      </c>
      <c r="N2997" s="9"/>
    </row>
    <row r="2998" spans="1:14" ht="15.75">
      <c r="A2998" s="11"/>
      <c r="B2998" s="9"/>
      <c r="C2998" s="12" t="str">
        <f>IF(B2998="","",IFERROR(INDEX('Cashier Roster'!$C$5:$C$64,MATCH(B2998,'Cashier Roster'!$B$5:$B$64,0)),"Not on roster"))</f>
        <v/>
      </c>
      <c r="D2998" s="12" t="str">
        <f>IF(B2998="","",IFERROR(INDEX('Cashier Roster'!$D$5:$D$64,MATCH(B2998,'Cashier Roster'!$B$5:$B$64,0)),""))</f>
        <v/>
      </c>
      <c r="E2998" s="13"/>
      <c r="F2998" s="14"/>
      <c r="G2998" s="8" t="str">
        <f>IF(OR(B2998="",E2998=""),"",IF(E2998="No","Missed",IF(F2998="","",IF(F2998&lt;=Settings!$B$7,"On time","Late"))))</f>
        <v/>
      </c>
      <c r="H2998" s="15"/>
      <c r="I2998" s="16"/>
      <c r="J2998" s="16"/>
      <c r="K2998" s="17" t="str">
        <f>IF(J2998="","",ROUND(J2998*Settings!$B$8,2))</f>
        <v/>
      </c>
      <c r="L2998" s="16"/>
      <c r="M2998" s="8" t="str">
        <f t="shared" si="46"/>
        <v/>
      </c>
      <c r="N2998" s="9"/>
    </row>
    <row r="2999" spans="1:14" ht="15.75">
      <c r="A2999" s="11"/>
      <c r="B2999" s="9"/>
      <c r="C2999" s="12" t="str">
        <f>IF(B2999="","",IFERROR(INDEX('Cashier Roster'!$C$5:$C$64,MATCH(B2999,'Cashier Roster'!$B$5:$B$64,0)),"Not on roster"))</f>
        <v/>
      </c>
      <c r="D2999" s="12" t="str">
        <f>IF(B2999="","",IFERROR(INDEX('Cashier Roster'!$D$5:$D$64,MATCH(B2999,'Cashier Roster'!$B$5:$B$64,0)),""))</f>
        <v/>
      </c>
      <c r="E2999" s="13"/>
      <c r="F2999" s="14"/>
      <c r="G2999" s="8" t="str">
        <f>IF(OR(B2999="",E2999=""),"",IF(E2999="No","Missed",IF(F2999="","",IF(F2999&lt;=Settings!$B$7,"On time","Late"))))</f>
        <v/>
      </c>
      <c r="H2999" s="15"/>
      <c r="I2999" s="16"/>
      <c r="J2999" s="16"/>
      <c r="K2999" s="17" t="str">
        <f>IF(J2999="","",ROUND(J2999*Settings!$B$8,2))</f>
        <v/>
      </c>
      <c r="L2999" s="16"/>
      <c r="M2999" s="8" t="str">
        <f t="shared" si="46"/>
        <v/>
      </c>
      <c r="N2999" s="9"/>
    </row>
    <row r="3000" spans="1:14" ht="15.75">
      <c r="A3000" s="11"/>
      <c r="B3000" s="9"/>
      <c r="C3000" s="12" t="str">
        <f>IF(B3000="","",IFERROR(INDEX('Cashier Roster'!$C$5:$C$64,MATCH(B3000,'Cashier Roster'!$B$5:$B$64,0)),"Not on roster"))</f>
        <v/>
      </c>
      <c r="D3000" s="12" t="str">
        <f>IF(B3000="","",IFERROR(INDEX('Cashier Roster'!$D$5:$D$64,MATCH(B3000,'Cashier Roster'!$B$5:$B$64,0)),""))</f>
        <v/>
      </c>
      <c r="E3000" s="13"/>
      <c r="F3000" s="14"/>
      <c r="G3000" s="8" t="str">
        <f>IF(OR(B3000="",E3000=""),"",IF(E3000="No","Missed",IF(F3000="","",IF(F3000&lt;=Settings!$B$7,"On time","Late"))))</f>
        <v/>
      </c>
      <c r="H3000" s="15"/>
      <c r="I3000" s="16"/>
      <c r="J3000" s="16"/>
      <c r="K3000" s="17" t="str">
        <f>IF(J3000="","",ROUND(J3000*Settings!$B$8,2))</f>
        <v/>
      </c>
      <c r="L3000" s="16"/>
      <c r="M3000" s="8" t="str">
        <f t="shared" si="46"/>
        <v/>
      </c>
      <c r="N3000" s="9"/>
    </row>
    <row r="3001" spans="1:14" ht="15.75">
      <c r="A3001" s="11"/>
      <c r="B3001" s="9"/>
      <c r="C3001" s="12" t="str">
        <f>IF(B3001="","",IFERROR(INDEX('Cashier Roster'!$C$5:$C$64,MATCH(B3001,'Cashier Roster'!$B$5:$B$64,0)),"Not on roster"))</f>
        <v/>
      </c>
      <c r="D3001" s="12" t="str">
        <f>IF(B3001="","",IFERROR(INDEX('Cashier Roster'!$D$5:$D$64,MATCH(B3001,'Cashier Roster'!$B$5:$B$64,0)),""))</f>
        <v/>
      </c>
      <c r="E3001" s="13"/>
      <c r="F3001" s="14"/>
      <c r="G3001" s="8" t="str">
        <f>IF(OR(B3001="",E3001=""),"",IF(E3001="No","Missed",IF(F3001="","",IF(F3001&lt;=Settings!$B$7,"On time","Late"))))</f>
        <v/>
      </c>
      <c r="H3001" s="15"/>
      <c r="I3001" s="16"/>
      <c r="J3001" s="16"/>
      <c r="K3001" s="17" t="str">
        <f>IF(J3001="","",ROUND(J3001*Settings!$B$8,2))</f>
        <v/>
      </c>
      <c r="L3001" s="16"/>
      <c r="M3001" s="8" t="str">
        <f t="shared" si="46"/>
        <v/>
      </c>
      <c r="N3001" s="9"/>
    </row>
    <row r="3002" spans="1:14" ht="15.75">
      <c r="A3002" s="11"/>
      <c r="B3002" s="9"/>
      <c r="C3002" s="12" t="str">
        <f>IF(B3002="","",IFERROR(INDEX('Cashier Roster'!$C$5:$C$64,MATCH(B3002,'Cashier Roster'!$B$5:$B$64,0)),"Not on roster"))</f>
        <v/>
      </c>
      <c r="D3002" s="12" t="str">
        <f>IF(B3002="","",IFERROR(INDEX('Cashier Roster'!$D$5:$D$64,MATCH(B3002,'Cashier Roster'!$B$5:$B$64,0)),""))</f>
        <v/>
      </c>
      <c r="E3002" s="13"/>
      <c r="F3002" s="14"/>
      <c r="G3002" s="8" t="str">
        <f>IF(OR(B3002="",E3002=""),"",IF(E3002="No","Missed",IF(F3002="","",IF(F3002&lt;=Settings!$B$7,"On time","Late"))))</f>
        <v/>
      </c>
      <c r="H3002" s="15"/>
      <c r="I3002" s="16"/>
      <c r="J3002" s="16"/>
      <c r="K3002" s="17" t="str">
        <f>IF(J3002="","",ROUND(J3002*Settings!$B$8,2))</f>
        <v/>
      </c>
      <c r="L3002" s="16"/>
      <c r="M3002" s="8" t="str">
        <f t="shared" si="46"/>
        <v/>
      </c>
      <c r="N3002" s="9"/>
    </row>
    <row r="3003" spans="1:14" ht="15.75">
      <c r="A3003" s="11"/>
      <c r="B3003" s="9"/>
      <c r="C3003" s="12" t="str">
        <f>IF(B3003="","",IFERROR(INDEX('Cashier Roster'!$C$5:$C$64,MATCH(B3003,'Cashier Roster'!$B$5:$B$64,0)),"Not on roster"))</f>
        <v/>
      </c>
      <c r="D3003" s="12" t="str">
        <f>IF(B3003="","",IFERROR(INDEX('Cashier Roster'!$D$5:$D$64,MATCH(B3003,'Cashier Roster'!$B$5:$B$64,0)),""))</f>
        <v/>
      </c>
      <c r="E3003" s="13"/>
      <c r="F3003" s="14"/>
      <c r="G3003" s="8" t="str">
        <f>IF(OR(B3003="",E3003=""),"",IF(E3003="No","Missed",IF(F3003="","",IF(F3003&lt;=Settings!$B$7,"On time","Late"))))</f>
        <v/>
      </c>
      <c r="H3003" s="15"/>
      <c r="I3003" s="16"/>
      <c r="J3003" s="16"/>
      <c r="K3003" s="17" t="str">
        <f>IF(J3003="","",ROUND(J3003*Settings!$B$8,2))</f>
        <v/>
      </c>
      <c r="L3003" s="16"/>
      <c r="M3003" s="8" t="str">
        <f t="shared" si="46"/>
        <v/>
      </c>
      <c r="N3003" s="9"/>
    </row>
    <row r="3004" spans="1:14" ht="15.75">
      <c r="A3004" s="11"/>
      <c r="B3004" s="9"/>
      <c r="C3004" s="12" t="str">
        <f>IF(B3004="","",IFERROR(INDEX('Cashier Roster'!$C$5:$C$64,MATCH(B3004,'Cashier Roster'!$B$5:$B$64,0)),"Not on roster"))</f>
        <v/>
      </c>
      <c r="D3004" s="12" t="str">
        <f>IF(B3004="","",IFERROR(INDEX('Cashier Roster'!$D$5:$D$64,MATCH(B3004,'Cashier Roster'!$B$5:$B$64,0)),""))</f>
        <v/>
      </c>
      <c r="E3004" s="13"/>
      <c r="F3004" s="14"/>
      <c r="G3004" s="8" t="str">
        <f>IF(OR(B3004="",E3004=""),"",IF(E3004="No","Missed",IF(F3004="","",IF(F3004&lt;=Settings!$B$7,"On time","Late"))))</f>
        <v/>
      </c>
      <c r="H3004" s="15"/>
      <c r="I3004" s="16"/>
      <c r="J3004" s="16"/>
      <c r="K3004" s="17" t="str">
        <f>IF(J3004="","",ROUND(J3004*Settings!$B$8,2))</f>
        <v/>
      </c>
      <c r="L3004" s="16"/>
      <c r="M3004" s="8" t="str">
        <f t="shared" si="46"/>
        <v/>
      </c>
      <c r="N3004" s="9"/>
    </row>
    <row r="3005" spans="1:14" ht="15.75">
      <c r="A3005" s="11"/>
      <c r="B3005" s="9"/>
      <c r="C3005" s="12" t="str">
        <f>IF(B3005="","",IFERROR(INDEX('Cashier Roster'!$C$5:$C$64,MATCH(B3005,'Cashier Roster'!$B$5:$B$64,0)),"Not on roster"))</f>
        <v/>
      </c>
      <c r="D3005" s="12" t="str">
        <f>IF(B3005="","",IFERROR(INDEX('Cashier Roster'!$D$5:$D$64,MATCH(B3005,'Cashier Roster'!$B$5:$B$64,0)),""))</f>
        <v/>
      </c>
      <c r="E3005" s="13"/>
      <c r="F3005" s="14"/>
      <c r="G3005" s="8" t="str">
        <f>IF(OR(B3005="",E3005=""),"",IF(E3005="No","Missed",IF(F3005="","",IF(F3005&lt;=Settings!$B$7,"On time","Late"))))</f>
        <v/>
      </c>
      <c r="H3005" s="15"/>
      <c r="I3005" s="16"/>
      <c r="J3005" s="16"/>
      <c r="K3005" s="17" t="str">
        <f>IF(J3005="","",ROUND(J3005*Settings!$B$8,2))</f>
        <v/>
      </c>
      <c r="L3005" s="16"/>
      <c r="M3005" s="8" t="str">
        <f t="shared" si="46"/>
        <v/>
      </c>
      <c r="N3005" s="9"/>
    </row>
    <row r="3006" spans="1:14" ht="15.75">
      <c r="A3006" s="11"/>
      <c r="B3006" s="9"/>
      <c r="C3006" s="12" t="str">
        <f>IF(B3006="","",IFERROR(INDEX('Cashier Roster'!$C$5:$C$64,MATCH(B3006,'Cashier Roster'!$B$5:$B$64,0)),"Not on roster"))</f>
        <v/>
      </c>
      <c r="D3006" s="12" t="str">
        <f>IF(B3006="","",IFERROR(INDEX('Cashier Roster'!$D$5:$D$64,MATCH(B3006,'Cashier Roster'!$B$5:$B$64,0)),""))</f>
        <v/>
      </c>
      <c r="E3006" s="13"/>
      <c r="F3006" s="14"/>
      <c r="G3006" s="8" t="str">
        <f>IF(OR(B3006="",E3006=""),"",IF(E3006="No","Missed",IF(F3006="","",IF(F3006&lt;=Settings!$B$7,"On time","Late"))))</f>
        <v/>
      </c>
      <c r="H3006" s="15"/>
      <c r="I3006" s="16"/>
      <c r="J3006" s="16"/>
      <c r="K3006" s="17" t="str">
        <f>IF(J3006="","",ROUND(J3006*Settings!$B$8,2))</f>
        <v/>
      </c>
      <c r="L3006" s="16"/>
      <c r="M3006" s="8" t="str">
        <f t="shared" si="46"/>
        <v/>
      </c>
      <c r="N3006" s="9"/>
    </row>
    <row r="3007" spans="1:14" ht="15.75">
      <c r="A3007" s="11"/>
      <c r="B3007" s="9"/>
      <c r="C3007" s="12" t="str">
        <f>IF(B3007="","",IFERROR(INDEX('Cashier Roster'!$C$5:$C$64,MATCH(B3007,'Cashier Roster'!$B$5:$B$64,0)),"Not on roster"))</f>
        <v/>
      </c>
      <c r="D3007" s="12" t="str">
        <f>IF(B3007="","",IFERROR(INDEX('Cashier Roster'!$D$5:$D$64,MATCH(B3007,'Cashier Roster'!$B$5:$B$64,0)),""))</f>
        <v/>
      </c>
      <c r="E3007" s="13"/>
      <c r="F3007" s="14"/>
      <c r="G3007" s="8" t="str">
        <f>IF(OR(B3007="",E3007=""),"",IF(E3007="No","Missed",IF(F3007="","",IF(F3007&lt;=Settings!$B$7,"On time","Late"))))</f>
        <v/>
      </c>
      <c r="H3007" s="15"/>
      <c r="I3007" s="16"/>
      <c r="J3007" s="16"/>
      <c r="K3007" s="17" t="str">
        <f>IF(J3007="","",ROUND(J3007*Settings!$B$8,2))</f>
        <v/>
      </c>
      <c r="L3007" s="16"/>
      <c r="M3007" s="8" t="str">
        <f t="shared" si="46"/>
        <v/>
      </c>
      <c r="N3007" s="9"/>
    </row>
    <row r="3008" spans="1:14" ht="15.75">
      <c r="A3008" s="11"/>
      <c r="B3008" s="9"/>
      <c r="C3008" s="12" t="str">
        <f>IF(B3008="","",IFERROR(INDEX('Cashier Roster'!$C$5:$C$64,MATCH(B3008,'Cashier Roster'!$B$5:$B$64,0)),"Not on roster"))</f>
        <v/>
      </c>
      <c r="D3008" s="12" t="str">
        <f>IF(B3008="","",IFERROR(INDEX('Cashier Roster'!$D$5:$D$64,MATCH(B3008,'Cashier Roster'!$B$5:$B$64,0)),""))</f>
        <v/>
      </c>
      <c r="E3008" s="13"/>
      <c r="F3008" s="14"/>
      <c r="G3008" s="8" t="str">
        <f>IF(OR(B3008="",E3008=""),"",IF(E3008="No","Missed",IF(F3008="","",IF(F3008&lt;=Settings!$B$7,"On time","Late"))))</f>
        <v/>
      </c>
      <c r="H3008" s="15"/>
      <c r="I3008" s="16"/>
      <c r="J3008" s="16"/>
      <c r="K3008" s="17" t="str">
        <f>IF(J3008="","",ROUND(J3008*Settings!$B$8,2))</f>
        <v/>
      </c>
      <c r="L3008" s="16"/>
      <c r="M3008" s="8" t="str">
        <f t="shared" si="46"/>
        <v/>
      </c>
      <c r="N3008" s="9"/>
    </row>
    <row r="3009" spans="1:14" ht="15.75">
      <c r="A3009" s="11"/>
      <c r="B3009" s="9"/>
      <c r="C3009" s="12" t="str">
        <f>IF(B3009="","",IFERROR(INDEX('Cashier Roster'!$C$5:$C$64,MATCH(B3009,'Cashier Roster'!$B$5:$B$64,0)),"Not on roster"))</f>
        <v/>
      </c>
      <c r="D3009" s="12" t="str">
        <f>IF(B3009="","",IFERROR(INDEX('Cashier Roster'!$D$5:$D$64,MATCH(B3009,'Cashier Roster'!$B$5:$B$64,0)),""))</f>
        <v/>
      </c>
      <c r="E3009" s="13"/>
      <c r="F3009" s="14"/>
      <c r="G3009" s="8" t="str">
        <f>IF(OR(B3009="",E3009=""),"",IF(E3009="No","Missed",IF(F3009="","",IF(F3009&lt;=Settings!$B$7,"On time","Late"))))</f>
        <v/>
      </c>
      <c r="H3009" s="15"/>
      <c r="I3009" s="16"/>
      <c r="J3009" s="16"/>
      <c r="K3009" s="17" t="str">
        <f>IF(J3009="","",ROUND(J3009*Settings!$B$8,2))</f>
        <v/>
      </c>
      <c r="L3009" s="16"/>
      <c r="M3009" s="8" t="str">
        <f t="shared" si="46"/>
        <v/>
      </c>
      <c r="N3009" s="9"/>
    </row>
    <row r="3010" spans="1:14" ht="15.75">
      <c r="A3010" s="11"/>
      <c r="B3010" s="9"/>
      <c r="C3010" s="12" t="str">
        <f>IF(B3010="","",IFERROR(INDEX('Cashier Roster'!$C$5:$C$64,MATCH(B3010,'Cashier Roster'!$B$5:$B$64,0)),"Not on roster"))</f>
        <v/>
      </c>
      <c r="D3010" s="12" t="str">
        <f>IF(B3010="","",IFERROR(INDEX('Cashier Roster'!$D$5:$D$64,MATCH(B3010,'Cashier Roster'!$B$5:$B$64,0)),""))</f>
        <v/>
      </c>
      <c r="E3010" s="13"/>
      <c r="F3010" s="14"/>
      <c r="G3010" s="8" t="str">
        <f>IF(OR(B3010="",E3010=""),"",IF(E3010="No","Missed",IF(F3010="","",IF(F3010&lt;=Settings!$B$7,"On time","Late"))))</f>
        <v/>
      </c>
      <c r="H3010" s="15"/>
      <c r="I3010" s="16"/>
      <c r="J3010" s="16"/>
      <c r="K3010" s="17" t="str">
        <f>IF(J3010="","",ROUND(J3010*Settings!$B$8,2))</f>
        <v/>
      </c>
      <c r="L3010" s="16"/>
      <c r="M3010" s="8" t="str">
        <f t="shared" si="46"/>
        <v/>
      </c>
      <c r="N3010" s="9"/>
    </row>
    <row r="3011" spans="1:14" ht="15.75">
      <c r="A3011" s="11"/>
      <c r="B3011" s="9"/>
      <c r="C3011" s="12" t="str">
        <f>IF(B3011="","",IFERROR(INDEX('Cashier Roster'!$C$5:$C$64,MATCH(B3011,'Cashier Roster'!$B$5:$B$64,0)),"Not on roster"))</f>
        <v/>
      </c>
      <c r="D3011" s="12" t="str">
        <f>IF(B3011="","",IFERROR(INDEX('Cashier Roster'!$D$5:$D$64,MATCH(B3011,'Cashier Roster'!$B$5:$B$64,0)),""))</f>
        <v/>
      </c>
      <c r="E3011" s="13"/>
      <c r="F3011" s="14"/>
      <c r="G3011" s="8" t="str">
        <f>IF(OR(B3011="",E3011=""),"",IF(E3011="No","Missed",IF(F3011="","",IF(F3011&lt;=Settings!$B$7,"On time","Late"))))</f>
        <v/>
      </c>
      <c r="H3011" s="15"/>
      <c r="I3011" s="16"/>
      <c r="J3011" s="16"/>
      <c r="K3011" s="17" t="str">
        <f>IF(J3011="","",ROUND(J3011*Settings!$B$8,2))</f>
        <v/>
      </c>
      <c r="L3011" s="16"/>
      <c r="M3011" s="8" t="str">
        <f t="shared" si="46"/>
        <v/>
      </c>
      <c r="N3011" s="9"/>
    </row>
    <row r="3012" spans="1:14" ht="15.75">
      <c r="A3012" s="11"/>
      <c r="B3012" s="9"/>
      <c r="C3012" s="12" t="str">
        <f>IF(B3012="","",IFERROR(INDEX('Cashier Roster'!$C$5:$C$64,MATCH(B3012,'Cashier Roster'!$B$5:$B$64,0)),"Not on roster"))</f>
        <v/>
      </c>
      <c r="D3012" s="12" t="str">
        <f>IF(B3012="","",IFERROR(INDEX('Cashier Roster'!$D$5:$D$64,MATCH(B3012,'Cashier Roster'!$B$5:$B$64,0)),""))</f>
        <v/>
      </c>
      <c r="E3012" s="13"/>
      <c r="F3012" s="14"/>
      <c r="G3012" s="8" t="str">
        <f>IF(OR(B3012="",E3012=""),"",IF(E3012="No","Missed",IF(F3012="","",IF(F3012&lt;=Settings!$B$7,"On time","Late"))))</f>
        <v/>
      </c>
      <c r="H3012" s="15"/>
      <c r="I3012" s="16"/>
      <c r="J3012" s="16"/>
      <c r="K3012" s="17" t="str">
        <f>IF(J3012="","",ROUND(J3012*Settings!$B$8,2))</f>
        <v/>
      </c>
      <c r="L3012" s="16"/>
      <c r="M3012" s="8" t="str">
        <f t="shared" si="46"/>
        <v/>
      </c>
      <c r="N3012" s="9"/>
    </row>
    <row r="3013" spans="1:14" ht="15.75">
      <c r="A3013" s="11"/>
      <c r="B3013" s="9"/>
      <c r="C3013" s="12" t="str">
        <f>IF(B3013="","",IFERROR(INDEX('Cashier Roster'!$C$5:$C$64,MATCH(B3013,'Cashier Roster'!$B$5:$B$64,0)),"Not on roster"))</f>
        <v/>
      </c>
      <c r="D3013" s="12" t="str">
        <f>IF(B3013="","",IFERROR(INDEX('Cashier Roster'!$D$5:$D$64,MATCH(B3013,'Cashier Roster'!$B$5:$B$64,0)),""))</f>
        <v/>
      </c>
      <c r="E3013" s="13"/>
      <c r="F3013" s="14"/>
      <c r="G3013" s="8" t="str">
        <f>IF(OR(B3013="",E3013=""),"",IF(E3013="No","Missed",IF(F3013="","",IF(F3013&lt;=Settings!$B$7,"On time","Late"))))</f>
        <v/>
      </c>
      <c r="H3013" s="15"/>
      <c r="I3013" s="16"/>
      <c r="J3013" s="16"/>
      <c r="K3013" s="17" t="str">
        <f>IF(J3013="","",ROUND(J3013*Settings!$B$8,2))</f>
        <v/>
      </c>
      <c r="L3013" s="16"/>
      <c r="M3013" s="8" t="str">
        <f t="shared" ref="M3013:M3076" si="47">IF(L3013="","",IF(L3013&lt;=0,"Yes","No"))</f>
        <v/>
      </c>
      <c r="N3013" s="9"/>
    </row>
    <row r="3014" spans="1:14" ht="15.75">
      <c r="A3014" s="11"/>
      <c r="B3014" s="9"/>
      <c r="C3014" s="12" t="str">
        <f>IF(B3014="","",IFERROR(INDEX('Cashier Roster'!$C$5:$C$64,MATCH(B3014,'Cashier Roster'!$B$5:$B$64,0)),"Not on roster"))</f>
        <v/>
      </c>
      <c r="D3014" s="12" t="str">
        <f>IF(B3014="","",IFERROR(INDEX('Cashier Roster'!$D$5:$D$64,MATCH(B3014,'Cashier Roster'!$B$5:$B$64,0)),""))</f>
        <v/>
      </c>
      <c r="E3014" s="13"/>
      <c r="F3014" s="14"/>
      <c r="G3014" s="8" t="str">
        <f>IF(OR(B3014="",E3014=""),"",IF(E3014="No","Missed",IF(F3014="","",IF(F3014&lt;=Settings!$B$7,"On time","Late"))))</f>
        <v/>
      </c>
      <c r="H3014" s="15"/>
      <c r="I3014" s="16"/>
      <c r="J3014" s="16"/>
      <c r="K3014" s="17" t="str">
        <f>IF(J3014="","",ROUND(J3014*Settings!$B$8,2))</f>
        <v/>
      </c>
      <c r="L3014" s="16"/>
      <c r="M3014" s="8" t="str">
        <f t="shared" si="47"/>
        <v/>
      </c>
      <c r="N3014" s="9"/>
    </row>
    <row r="3015" spans="1:14" ht="15.75">
      <c r="A3015" s="11"/>
      <c r="B3015" s="9"/>
      <c r="C3015" s="12" t="str">
        <f>IF(B3015="","",IFERROR(INDEX('Cashier Roster'!$C$5:$C$64,MATCH(B3015,'Cashier Roster'!$B$5:$B$64,0)),"Not on roster"))</f>
        <v/>
      </c>
      <c r="D3015" s="12" t="str">
        <f>IF(B3015="","",IFERROR(INDEX('Cashier Roster'!$D$5:$D$64,MATCH(B3015,'Cashier Roster'!$B$5:$B$64,0)),""))</f>
        <v/>
      </c>
      <c r="E3015" s="13"/>
      <c r="F3015" s="14"/>
      <c r="G3015" s="8" t="str">
        <f>IF(OR(B3015="",E3015=""),"",IF(E3015="No","Missed",IF(F3015="","",IF(F3015&lt;=Settings!$B$7,"On time","Late"))))</f>
        <v/>
      </c>
      <c r="H3015" s="15"/>
      <c r="I3015" s="16"/>
      <c r="J3015" s="16"/>
      <c r="K3015" s="17" t="str">
        <f>IF(J3015="","",ROUND(J3015*Settings!$B$8,2))</f>
        <v/>
      </c>
      <c r="L3015" s="16"/>
      <c r="M3015" s="8" t="str">
        <f t="shared" si="47"/>
        <v/>
      </c>
      <c r="N3015" s="9"/>
    </row>
    <row r="3016" spans="1:14" ht="15.75">
      <c r="A3016" s="11"/>
      <c r="B3016" s="9"/>
      <c r="C3016" s="12" t="str">
        <f>IF(B3016="","",IFERROR(INDEX('Cashier Roster'!$C$5:$C$64,MATCH(B3016,'Cashier Roster'!$B$5:$B$64,0)),"Not on roster"))</f>
        <v/>
      </c>
      <c r="D3016" s="12" t="str">
        <f>IF(B3016="","",IFERROR(INDEX('Cashier Roster'!$D$5:$D$64,MATCH(B3016,'Cashier Roster'!$B$5:$B$64,0)),""))</f>
        <v/>
      </c>
      <c r="E3016" s="13"/>
      <c r="F3016" s="14"/>
      <c r="G3016" s="8" t="str">
        <f>IF(OR(B3016="",E3016=""),"",IF(E3016="No","Missed",IF(F3016="","",IF(F3016&lt;=Settings!$B$7,"On time","Late"))))</f>
        <v/>
      </c>
      <c r="H3016" s="15"/>
      <c r="I3016" s="16"/>
      <c r="J3016" s="16"/>
      <c r="K3016" s="17" t="str">
        <f>IF(J3016="","",ROUND(J3016*Settings!$B$8,2))</f>
        <v/>
      </c>
      <c r="L3016" s="16"/>
      <c r="M3016" s="8" t="str">
        <f t="shared" si="47"/>
        <v/>
      </c>
      <c r="N3016" s="9"/>
    </row>
    <row r="3017" spans="1:14" ht="15.75">
      <c r="A3017" s="11"/>
      <c r="B3017" s="9"/>
      <c r="C3017" s="12" t="str">
        <f>IF(B3017="","",IFERROR(INDEX('Cashier Roster'!$C$5:$C$64,MATCH(B3017,'Cashier Roster'!$B$5:$B$64,0)),"Not on roster"))</f>
        <v/>
      </c>
      <c r="D3017" s="12" t="str">
        <f>IF(B3017="","",IFERROR(INDEX('Cashier Roster'!$D$5:$D$64,MATCH(B3017,'Cashier Roster'!$B$5:$B$64,0)),""))</f>
        <v/>
      </c>
      <c r="E3017" s="13"/>
      <c r="F3017" s="14"/>
      <c r="G3017" s="8" t="str">
        <f>IF(OR(B3017="",E3017=""),"",IF(E3017="No","Missed",IF(F3017="","",IF(F3017&lt;=Settings!$B$7,"On time","Late"))))</f>
        <v/>
      </c>
      <c r="H3017" s="15"/>
      <c r="I3017" s="16"/>
      <c r="J3017" s="16"/>
      <c r="K3017" s="17" t="str">
        <f>IF(J3017="","",ROUND(J3017*Settings!$B$8,2))</f>
        <v/>
      </c>
      <c r="L3017" s="16"/>
      <c r="M3017" s="8" t="str">
        <f t="shared" si="47"/>
        <v/>
      </c>
      <c r="N3017" s="9"/>
    </row>
    <row r="3018" spans="1:14" ht="15.75">
      <c r="A3018" s="11"/>
      <c r="B3018" s="9"/>
      <c r="C3018" s="12" t="str">
        <f>IF(B3018="","",IFERROR(INDEX('Cashier Roster'!$C$5:$C$64,MATCH(B3018,'Cashier Roster'!$B$5:$B$64,0)),"Not on roster"))</f>
        <v/>
      </c>
      <c r="D3018" s="12" t="str">
        <f>IF(B3018="","",IFERROR(INDEX('Cashier Roster'!$D$5:$D$64,MATCH(B3018,'Cashier Roster'!$B$5:$B$64,0)),""))</f>
        <v/>
      </c>
      <c r="E3018" s="13"/>
      <c r="F3018" s="14"/>
      <c r="G3018" s="8" t="str">
        <f>IF(OR(B3018="",E3018=""),"",IF(E3018="No","Missed",IF(F3018="","",IF(F3018&lt;=Settings!$B$7,"On time","Late"))))</f>
        <v/>
      </c>
      <c r="H3018" s="15"/>
      <c r="I3018" s="16"/>
      <c r="J3018" s="16"/>
      <c r="K3018" s="17" t="str">
        <f>IF(J3018="","",ROUND(J3018*Settings!$B$8,2))</f>
        <v/>
      </c>
      <c r="L3018" s="16"/>
      <c r="M3018" s="8" t="str">
        <f t="shared" si="47"/>
        <v/>
      </c>
      <c r="N3018" s="9"/>
    </row>
    <row r="3019" spans="1:14" ht="15.75">
      <c r="A3019" s="11"/>
      <c r="B3019" s="9"/>
      <c r="C3019" s="12" t="str">
        <f>IF(B3019="","",IFERROR(INDEX('Cashier Roster'!$C$5:$C$64,MATCH(B3019,'Cashier Roster'!$B$5:$B$64,0)),"Not on roster"))</f>
        <v/>
      </c>
      <c r="D3019" s="12" t="str">
        <f>IF(B3019="","",IFERROR(INDEX('Cashier Roster'!$D$5:$D$64,MATCH(B3019,'Cashier Roster'!$B$5:$B$64,0)),""))</f>
        <v/>
      </c>
      <c r="E3019" s="13"/>
      <c r="F3019" s="14"/>
      <c r="G3019" s="8" t="str">
        <f>IF(OR(B3019="",E3019=""),"",IF(E3019="No","Missed",IF(F3019="","",IF(F3019&lt;=Settings!$B$7,"On time","Late"))))</f>
        <v/>
      </c>
      <c r="H3019" s="15"/>
      <c r="I3019" s="16"/>
      <c r="J3019" s="16"/>
      <c r="K3019" s="17" t="str">
        <f>IF(J3019="","",ROUND(J3019*Settings!$B$8,2))</f>
        <v/>
      </c>
      <c r="L3019" s="16"/>
      <c r="M3019" s="8" t="str">
        <f t="shared" si="47"/>
        <v/>
      </c>
      <c r="N3019" s="9"/>
    </row>
    <row r="3020" spans="1:14" ht="15.75">
      <c r="A3020" s="11"/>
      <c r="B3020" s="9"/>
      <c r="C3020" s="12" t="str">
        <f>IF(B3020="","",IFERROR(INDEX('Cashier Roster'!$C$5:$C$64,MATCH(B3020,'Cashier Roster'!$B$5:$B$64,0)),"Not on roster"))</f>
        <v/>
      </c>
      <c r="D3020" s="12" t="str">
        <f>IF(B3020="","",IFERROR(INDEX('Cashier Roster'!$D$5:$D$64,MATCH(B3020,'Cashier Roster'!$B$5:$B$64,0)),""))</f>
        <v/>
      </c>
      <c r="E3020" s="13"/>
      <c r="F3020" s="14"/>
      <c r="G3020" s="8" t="str">
        <f>IF(OR(B3020="",E3020=""),"",IF(E3020="No","Missed",IF(F3020="","",IF(F3020&lt;=Settings!$B$7,"On time","Late"))))</f>
        <v/>
      </c>
      <c r="H3020" s="15"/>
      <c r="I3020" s="16"/>
      <c r="J3020" s="16"/>
      <c r="K3020" s="17" t="str">
        <f>IF(J3020="","",ROUND(J3020*Settings!$B$8,2))</f>
        <v/>
      </c>
      <c r="L3020" s="16"/>
      <c r="M3020" s="8" t="str">
        <f t="shared" si="47"/>
        <v/>
      </c>
      <c r="N3020" s="9"/>
    </row>
    <row r="3021" spans="1:14" ht="15.75">
      <c r="A3021" s="11"/>
      <c r="B3021" s="9"/>
      <c r="C3021" s="12" t="str">
        <f>IF(B3021="","",IFERROR(INDEX('Cashier Roster'!$C$5:$C$64,MATCH(B3021,'Cashier Roster'!$B$5:$B$64,0)),"Not on roster"))</f>
        <v/>
      </c>
      <c r="D3021" s="12" t="str">
        <f>IF(B3021="","",IFERROR(INDEX('Cashier Roster'!$D$5:$D$64,MATCH(B3021,'Cashier Roster'!$B$5:$B$64,0)),""))</f>
        <v/>
      </c>
      <c r="E3021" s="13"/>
      <c r="F3021" s="14"/>
      <c r="G3021" s="8" t="str">
        <f>IF(OR(B3021="",E3021=""),"",IF(E3021="No","Missed",IF(F3021="","",IF(F3021&lt;=Settings!$B$7,"On time","Late"))))</f>
        <v/>
      </c>
      <c r="H3021" s="15"/>
      <c r="I3021" s="16"/>
      <c r="J3021" s="16"/>
      <c r="K3021" s="17" t="str">
        <f>IF(J3021="","",ROUND(J3021*Settings!$B$8,2))</f>
        <v/>
      </c>
      <c r="L3021" s="16"/>
      <c r="M3021" s="8" t="str">
        <f t="shared" si="47"/>
        <v/>
      </c>
      <c r="N3021" s="9"/>
    </row>
    <row r="3022" spans="1:14" ht="15.75">
      <c r="A3022" s="11"/>
      <c r="B3022" s="9"/>
      <c r="C3022" s="12" t="str">
        <f>IF(B3022="","",IFERROR(INDEX('Cashier Roster'!$C$5:$C$64,MATCH(B3022,'Cashier Roster'!$B$5:$B$64,0)),"Not on roster"))</f>
        <v/>
      </c>
      <c r="D3022" s="12" t="str">
        <f>IF(B3022="","",IFERROR(INDEX('Cashier Roster'!$D$5:$D$64,MATCH(B3022,'Cashier Roster'!$B$5:$B$64,0)),""))</f>
        <v/>
      </c>
      <c r="E3022" s="13"/>
      <c r="F3022" s="14"/>
      <c r="G3022" s="8" t="str">
        <f>IF(OR(B3022="",E3022=""),"",IF(E3022="No","Missed",IF(F3022="","",IF(F3022&lt;=Settings!$B$7,"On time","Late"))))</f>
        <v/>
      </c>
      <c r="H3022" s="15"/>
      <c r="I3022" s="16"/>
      <c r="J3022" s="16"/>
      <c r="K3022" s="17" t="str">
        <f>IF(J3022="","",ROUND(J3022*Settings!$B$8,2))</f>
        <v/>
      </c>
      <c r="L3022" s="16"/>
      <c r="M3022" s="8" t="str">
        <f t="shared" si="47"/>
        <v/>
      </c>
      <c r="N3022" s="9"/>
    </row>
    <row r="3023" spans="1:14" ht="15.75">
      <c r="A3023" s="11"/>
      <c r="B3023" s="9"/>
      <c r="C3023" s="12" t="str">
        <f>IF(B3023="","",IFERROR(INDEX('Cashier Roster'!$C$5:$C$64,MATCH(B3023,'Cashier Roster'!$B$5:$B$64,0)),"Not on roster"))</f>
        <v/>
      </c>
      <c r="D3023" s="12" t="str">
        <f>IF(B3023="","",IFERROR(INDEX('Cashier Roster'!$D$5:$D$64,MATCH(B3023,'Cashier Roster'!$B$5:$B$64,0)),""))</f>
        <v/>
      </c>
      <c r="E3023" s="13"/>
      <c r="F3023" s="14"/>
      <c r="G3023" s="8" t="str">
        <f>IF(OR(B3023="",E3023=""),"",IF(E3023="No","Missed",IF(F3023="","",IF(F3023&lt;=Settings!$B$7,"On time","Late"))))</f>
        <v/>
      </c>
      <c r="H3023" s="15"/>
      <c r="I3023" s="16"/>
      <c r="J3023" s="16"/>
      <c r="K3023" s="17" t="str">
        <f>IF(J3023="","",ROUND(J3023*Settings!$B$8,2))</f>
        <v/>
      </c>
      <c r="L3023" s="16"/>
      <c r="M3023" s="8" t="str">
        <f t="shared" si="47"/>
        <v/>
      </c>
      <c r="N3023" s="9"/>
    </row>
    <row r="3024" spans="1:14" ht="15.75">
      <c r="A3024" s="11"/>
      <c r="B3024" s="9"/>
      <c r="C3024" s="12" t="str">
        <f>IF(B3024="","",IFERROR(INDEX('Cashier Roster'!$C$5:$C$64,MATCH(B3024,'Cashier Roster'!$B$5:$B$64,0)),"Not on roster"))</f>
        <v/>
      </c>
      <c r="D3024" s="12" t="str">
        <f>IF(B3024="","",IFERROR(INDEX('Cashier Roster'!$D$5:$D$64,MATCH(B3024,'Cashier Roster'!$B$5:$B$64,0)),""))</f>
        <v/>
      </c>
      <c r="E3024" s="13"/>
      <c r="F3024" s="14"/>
      <c r="G3024" s="8" t="str">
        <f>IF(OR(B3024="",E3024=""),"",IF(E3024="No","Missed",IF(F3024="","",IF(F3024&lt;=Settings!$B$7,"On time","Late"))))</f>
        <v/>
      </c>
      <c r="H3024" s="15"/>
      <c r="I3024" s="16"/>
      <c r="J3024" s="16"/>
      <c r="K3024" s="17" t="str">
        <f>IF(J3024="","",ROUND(J3024*Settings!$B$8,2))</f>
        <v/>
      </c>
      <c r="L3024" s="16"/>
      <c r="M3024" s="8" t="str">
        <f t="shared" si="47"/>
        <v/>
      </c>
      <c r="N3024" s="9"/>
    </row>
    <row r="3025" spans="1:14" ht="15.75">
      <c r="A3025" s="11"/>
      <c r="B3025" s="9"/>
      <c r="C3025" s="12" t="str">
        <f>IF(B3025="","",IFERROR(INDEX('Cashier Roster'!$C$5:$C$64,MATCH(B3025,'Cashier Roster'!$B$5:$B$64,0)),"Not on roster"))</f>
        <v/>
      </c>
      <c r="D3025" s="12" t="str">
        <f>IF(B3025="","",IFERROR(INDEX('Cashier Roster'!$D$5:$D$64,MATCH(B3025,'Cashier Roster'!$B$5:$B$64,0)),""))</f>
        <v/>
      </c>
      <c r="E3025" s="13"/>
      <c r="F3025" s="14"/>
      <c r="G3025" s="8" t="str">
        <f>IF(OR(B3025="",E3025=""),"",IF(E3025="No","Missed",IF(F3025="","",IF(F3025&lt;=Settings!$B$7,"On time","Late"))))</f>
        <v/>
      </c>
      <c r="H3025" s="15"/>
      <c r="I3025" s="16"/>
      <c r="J3025" s="16"/>
      <c r="K3025" s="17" t="str">
        <f>IF(J3025="","",ROUND(J3025*Settings!$B$8,2))</f>
        <v/>
      </c>
      <c r="L3025" s="16"/>
      <c r="M3025" s="8" t="str">
        <f t="shared" si="47"/>
        <v/>
      </c>
      <c r="N3025" s="9"/>
    </row>
    <row r="3026" spans="1:14" ht="15.75">
      <c r="A3026" s="11"/>
      <c r="B3026" s="9"/>
      <c r="C3026" s="12" t="str">
        <f>IF(B3026="","",IFERROR(INDEX('Cashier Roster'!$C$5:$C$64,MATCH(B3026,'Cashier Roster'!$B$5:$B$64,0)),"Not on roster"))</f>
        <v/>
      </c>
      <c r="D3026" s="12" t="str">
        <f>IF(B3026="","",IFERROR(INDEX('Cashier Roster'!$D$5:$D$64,MATCH(B3026,'Cashier Roster'!$B$5:$B$64,0)),""))</f>
        <v/>
      </c>
      <c r="E3026" s="13"/>
      <c r="F3026" s="14"/>
      <c r="G3026" s="8" t="str">
        <f>IF(OR(B3026="",E3026=""),"",IF(E3026="No","Missed",IF(F3026="","",IF(F3026&lt;=Settings!$B$7,"On time","Late"))))</f>
        <v/>
      </c>
      <c r="H3026" s="15"/>
      <c r="I3026" s="16"/>
      <c r="J3026" s="16"/>
      <c r="K3026" s="17" t="str">
        <f>IF(J3026="","",ROUND(J3026*Settings!$B$8,2))</f>
        <v/>
      </c>
      <c r="L3026" s="16"/>
      <c r="M3026" s="8" t="str">
        <f t="shared" si="47"/>
        <v/>
      </c>
      <c r="N3026" s="9"/>
    </row>
    <row r="3027" spans="1:14" ht="15.75">
      <c r="A3027" s="11"/>
      <c r="B3027" s="9"/>
      <c r="C3027" s="12" t="str">
        <f>IF(B3027="","",IFERROR(INDEX('Cashier Roster'!$C$5:$C$64,MATCH(B3027,'Cashier Roster'!$B$5:$B$64,0)),"Not on roster"))</f>
        <v/>
      </c>
      <c r="D3027" s="12" t="str">
        <f>IF(B3027="","",IFERROR(INDEX('Cashier Roster'!$D$5:$D$64,MATCH(B3027,'Cashier Roster'!$B$5:$B$64,0)),""))</f>
        <v/>
      </c>
      <c r="E3027" s="13"/>
      <c r="F3027" s="14"/>
      <c r="G3027" s="8" t="str">
        <f>IF(OR(B3027="",E3027=""),"",IF(E3027="No","Missed",IF(F3027="","",IF(F3027&lt;=Settings!$B$7,"On time","Late"))))</f>
        <v/>
      </c>
      <c r="H3027" s="15"/>
      <c r="I3027" s="16"/>
      <c r="J3027" s="16"/>
      <c r="K3027" s="17" t="str">
        <f>IF(J3027="","",ROUND(J3027*Settings!$B$8,2))</f>
        <v/>
      </c>
      <c r="L3027" s="16"/>
      <c r="M3027" s="8" t="str">
        <f t="shared" si="47"/>
        <v/>
      </c>
      <c r="N3027" s="9"/>
    </row>
    <row r="3028" spans="1:14" ht="15.75">
      <c r="A3028" s="11"/>
      <c r="B3028" s="9"/>
      <c r="C3028" s="12" t="str">
        <f>IF(B3028="","",IFERROR(INDEX('Cashier Roster'!$C$5:$C$64,MATCH(B3028,'Cashier Roster'!$B$5:$B$64,0)),"Not on roster"))</f>
        <v/>
      </c>
      <c r="D3028" s="12" t="str">
        <f>IF(B3028="","",IFERROR(INDEX('Cashier Roster'!$D$5:$D$64,MATCH(B3028,'Cashier Roster'!$B$5:$B$64,0)),""))</f>
        <v/>
      </c>
      <c r="E3028" s="13"/>
      <c r="F3028" s="14"/>
      <c r="G3028" s="8" t="str">
        <f>IF(OR(B3028="",E3028=""),"",IF(E3028="No","Missed",IF(F3028="","",IF(F3028&lt;=Settings!$B$7,"On time","Late"))))</f>
        <v/>
      </c>
      <c r="H3028" s="15"/>
      <c r="I3028" s="16"/>
      <c r="J3028" s="16"/>
      <c r="K3028" s="17" t="str">
        <f>IF(J3028="","",ROUND(J3028*Settings!$B$8,2))</f>
        <v/>
      </c>
      <c r="L3028" s="16"/>
      <c r="M3028" s="8" t="str">
        <f t="shared" si="47"/>
        <v/>
      </c>
      <c r="N3028" s="9"/>
    </row>
    <row r="3029" spans="1:14" ht="15.75">
      <c r="A3029" s="11"/>
      <c r="B3029" s="9"/>
      <c r="C3029" s="12" t="str">
        <f>IF(B3029="","",IFERROR(INDEX('Cashier Roster'!$C$5:$C$64,MATCH(B3029,'Cashier Roster'!$B$5:$B$64,0)),"Not on roster"))</f>
        <v/>
      </c>
      <c r="D3029" s="12" t="str">
        <f>IF(B3029="","",IFERROR(INDEX('Cashier Roster'!$D$5:$D$64,MATCH(B3029,'Cashier Roster'!$B$5:$B$64,0)),""))</f>
        <v/>
      </c>
      <c r="E3029" s="13"/>
      <c r="F3029" s="14"/>
      <c r="G3029" s="8" t="str">
        <f>IF(OR(B3029="",E3029=""),"",IF(E3029="No","Missed",IF(F3029="","",IF(F3029&lt;=Settings!$B$7,"On time","Late"))))</f>
        <v/>
      </c>
      <c r="H3029" s="15"/>
      <c r="I3029" s="16"/>
      <c r="J3029" s="16"/>
      <c r="K3029" s="17" t="str">
        <f>IF(J3029="","",ROUND(J3029*Settings!$B$8,2))</f>
        <v/>
      </c>
      <c r="L3029" s="16"/>
      <c r="M3029" s="8" t="str">
        <f t="shared" si="47"/>
        <v/>
      </c>
      <c r="N3029" s="9"/>
    </row>
    <row r="3030" spans="1:14" ht="15.75">
      <c r="A3030" s="11"/>
      <c r="B3030" s="9"/>
      <c r="C3030" s="12" t="str">
        <f>IF(B3030="","",IFERROR(INDEX('Cashier Roster'!$C$5:$C$64,MATCH(B3030,'Cashier Roster'!$B$5:$B$64,0)),"Not on roster"))</f>
        <v/>
      </c>
      <c r="D3030" s="12" t="str">
        <f>IF(B3030="","",IFERROR(INDEX('Cashier Roster'!$D$5:$D$64,MATCH(B3030,'Cashier Roster'!$B$5:$B$64,0)),""))</f>
        <v/>
      </c>
      <c r="E3030" s="13"/>
      <c r="F3030" s="14"/>
      <c r="G3030" s="8" t="str">
        <f>IF(OR(B3030="",E3030=""),"",IF(E3030="No","Missed",IF(F3030="","",IF(F3030&lt;=Settings!$B$7,"On time","Late"))))</f>
        <v/>
      </c>
      <c r="H3030" s="15"/>
      <c r="I3030" s="16"/>
      <c r="J3030" s="16"/>
      <c r="K3030" s="17" t="str">
        <f>IF(J3030="","",ROUND(J3030*Settings!$B$8,2))</f>
        <v/>
      </c>
      <c r="L3030" s="16"/>
      <c r="M3030" s="8" t="str">
        <f t="shared" si="47"/>
        <v/>
      </c>
      <c r="N3030" s="9"/>
    </row>
    <row r="3031" spans="1:14" ht="15.75">
      <c r="A3031" s="11"/>
      <c r="B3031" s="9"/>
      <c r="C3031" s="12" t="str">
        <f>IF(B3031="","",IFERROR(INDEX('Cashier Roster'!$C$5:$C$64,MATCH(B3031,'Cashier Roster'!$B$5:$B$64,0)),"Not on roster"))</f>
        <v/>
      </c>
      <c r="D3031" s="12" t="str">
        <f>IF(B3031="","",IFERROR(INDEX('Cashier Roster'!$D$5:$D$64,MATCH(B3031,'Cashier Roster'!$B$5:$B$64,0)),""))</f>
        <v/>
      </c>
      <c r="E3031" s="13"/>
      <c r="F3031" s="14"/>
      <c r="G3031" s="8" t="str">
        <f>IF(OR(B3031="",E3031=""),"",IF(E3031="No","Missed",IF(F3031="","",IF(F3031&lt;=Settings!$B$7,"On time","Late"))))</f>
        <v/>
      </c>
      <c r="H3031" s="15"/>
      <c r="I3031" s="16"/>
      <c r="J3031" s="16"/>
      <c r="K3031" s="17" t="str">
        <f>IF(J3031="","",ROUND(J3031*Settings!$B$8,2))</f>
        <v/>
      </c>
      <c r="L3031" s="16"/>
      <c r="M3031" s="8" t="str">
        <f t="shared" si="47"/>
        <v/>
      </c>
      <c r="N3031" s="9"/>
    </row>
    <row r="3032" spans="1:14" ht="15.75">
      <c r="A3032" s="11"/>
      <c r="B3032" s="9"/>
      <c r="C3032" s="12" t="str">
        <f>IF(B3032="","",IFERROR(INDEX('Cashier Roster'!$C$5:$C$64,MATCH(B3032,'Cashier Roster'!$B$5:$B$64,0)),"Not on roster"))</f>
        <v/>
      </c>
      <c r="D3032" s="12" t="str">
        <f>IF(B3032="","",IFERROR(INDEX('Cashier Roster'!$D$5:$D$64,MATCH(B3032,'Cashier Roster'!$B$5:$B$64,0)),""))</f>
        <v/>
      </c>
      <c r="E3032" s="13"/>
      <c r="F3032" s="14"/>
      <c r="G3032" s="8" t="str">
        <f>IF(OR(B3032="",E3032=""),"",IF(E3032="No","Missed",IF(F3032="","",IF(F3032&lt;=Settings!$B$7,"On time","Late"))))</f>
        <v/>
      </c>
      <c r="H3032" s="15"/>
      <c r="I3032" s="16"/>
      <c r="J3032" s="16"/>
      <c r="K3032" s="17" t="str">
        <f>IF(J3032="","",ROUND(J3032*Settings!$B$8,2))</f>
        <v/>
      </c>
      <c r="L3032" s="16"/>
      <c r="M3032" s="8" t="str">
        <f t="shared" si="47"/>
        <v/>
      </c>
      <c r="N3032" s="9"/>
    </row>
    <row r="3033" spans="1:14" ht="15.75">
      <c r="A3033" s="11"/>
      <c r="B3033" s="9"/>
      <c r="C3033" s="12" t="str">
        <f>IF(B3033="","",IFERROR(INDEX('Cashier Roster'!$C$5:$C$64,MATCH(B3033,'Cashier Roster'!$B$5:$B$64,0)),"Not on roster"))</f>
        <v/>
      </c>
      <c r="D3033" s="12" t="str">
        <f>IF(B3033="","",IFERROR(INDEX('Cashier Roster'!$D$5:$D$64,MATCH(B3033,'Cashier Roster'!$B$5:$B$64,0)),""))</f>
        <v/>
      </c>
      <c r="E3033" s="13"/>
      <c r="F3033" s="14"/>
      <c r="G3033" s="8" t="str">
        <f>IF(OR(B3033="",E3033=""),"",IF(E3033="No","Missed",IF(F3033="","",IF(F3033&lt;=Settings!$B$7,"On time","Late"))))</f>
        <v/>
      </c>
      <c r="H3033" s="15"/>
      <c r="I3033" s="16"/>
      <c r="J3033" s="16"/>
      <c r="K3033" s="17" t="str">
        <f>IF(J3033="","",ROUND(J3033*Settings!$B$8,2))</f>
        <v/>
      </c>
      <c r="L3033" s="16"/>
      <c r="M3033" s="8" t="str">
        <f t="shared" si="47"/>
        <v/>
      </c>
      <c r="N3033" s="9"/>
    </row>
    <row r="3034" spans="1:14" ht="15.75">
      <c r="A3034" s="11"/>
      <c r="B3034" s="9"/>
      <c r="C3034" s="12" t="str">
        <f>IF(B3034="","",IFERROR(INDEX('Cashier Roster'!$C$5:$C$64,MATCH(B3034,'Cashier Roster'!$B$5:$B$64,0)),"Not on roster"))</f>
        <v/>
      </c>
      <c r="D3034" s="12" t="str">
        <f>IF(B3034="","",IFERROR(INDEX('Cashier Roster'!$D$5:$D$64,MATCH(B3034,'Cashier Roster'!$B$5:$B$64,0)),""))</f>
        <v/>
      </c>
      <c r="E3034" s="13"/>
      <c r="F3034" s="14"/>
      <c r="G3034" s="8" t="str">
        <f>IF(OR(B3034="",E3034=""),"",IF(E3034="No","Missed",IF(F3034="","",IF(F3034&lt;=Settings!$B$7,"On time","Late"))))</f>
        <v/>
      </c>
      <c r="H3034" s="15"/>
      <c r="I3034" s="16"/>
      <c r="J3034" s="16"/>
      <c r="K3034" s="17" t="str">
        <f>IF(J3034="","",ROUND(J3034*Settings!$B$8,2))</f>
        <v/>
      </c>
      <c r="L3034" s="16"/>
      <c r="M3034" s="8" t="str">
        <f t="shared" si="47"/>
        <v/>
      </c>
      <c r="N3034" s="9"/>
    </row>
    <row r="3035" spans="1:14" ht="15.75">
      <c r="A3035" s="11"/>
      <c r="B3035" s="9"/>
      <c r="C3035" s="12" t="str">
        <f>IF(B3035="","",IFERROR(INDEX('Cashier Roster'!$C$5:$C$64,MATCH(B3035,'Cashier Roster'!$B$5:$B$64,0)),"Not on roster"))</f>
        <v/>
      </c>
      <c r="D3035" s="12" t="str">
        <f>IF(B3035="","",IFERROR(INDEX('Cashier Roster'!$D$5:$D$64,MATCH(B3035,'Cashier Roster'!$B$5:$B$64,0)),""))</f>
        <v/>
      </c>
      <c r="E3035" s="13"/>
      <c r="F3035" s="14"/>
      <c r="G3035" s="8" t="str">
        <f>IF(OR(B3035="",E3035=""),"",IF(E3035="No","Missed",IF(F3035="","",IF(F3035&lt;=Settings!$B$7,"On time","Late"))))</f>
        <v/>
      </c>
      <c r="H3035" s="15"/>
      <c r="I3035" s="16"/>
      <c r="J3035" s="16"/>
      <c r="K3035" s="17" t="str">
        <f>IF(J3035="","",ROUND(J3035*Settings!$B$8,2))</f>
        <v/>
      </c>
      <c r="L3035" s="16"/>
      <c r="M3035" s="8" t="str">
        <f t="shared" si="47"/>
        <v/>
      </c>
      <c r="N3035" s="9"/>
    </row>
    <row r="3036" spans="1:14" ht="15.75">
      <c r="A3036" s="11"/>
      <c r="B3036" s="9"/>
      <c r="C3036" s="12" t="str">
        <f>IF(B3036="","",IFERROR(INDEX('Cashier Roster'!$C$5:$C$64,MATCH(B3036,'Cashier Roster'!$B$5:$B$64,0)),"Not on roster"))</f>
        <v/>
      </c>
      <c r="D3036" s="12" t="str">
        <f>IF(B3036="","",IFERROR(INDEX('Cashier Roster'!$D$5:$D$64,MATCH(B3036,'Cashier Roster'!$B$5:$B$64,0)),""))</f>
        <v/>
      </c>
      <c r="E3036" s="13"/>
      <c r="F3036" s="14"/>
      <c r="G3036" s="8" t="str">
        <f>IF(OR(B3036="",E3036=""),"",IF(E3036="No","Missed",IF(F3036="","",IF(F3036&lt;=Settings!$B$7,"On time","Late"))))</f>
        <v/>
      </c>
      <c r="H3036" s="15"/>
      <c r="I3036" s="16"/>
      <c r="J3036" s="16"/>
      <c r="K3036" s="17" t="str">
        <f>IF(J3036="","",ROUND(J3036*Settings!$B$8,2))</f>
        <v/>
      </c>
      <c r="L3036" s="16"/>
      <c r="M3036" s="8" t="str">
        <f t="shared" si="47"/>
        <v/>
      </c>
      <c r="N3036" s="9"/>
    </row>
    <row r="3037" spans="1:14" ht="15.75">
      <c r="A3037" s="11"/>
      <c r="B3037" s="9"/>
      <c r="C3037" s="12" t="str">
        <f>IF(B3037="","",IFERROR(INDEX('Cashier Roster'!$C$5:$C$64,MATCH(B3037,'Cashier Roster'!$B$5:$B$64,0)),"Not on roster"))</f>
        <v/>
      </c>
      <c r="D3037" s="12" t="str">
        <f>IF(B3037="","",IFERROR(INDEX('Cashier Roster'!$D$5:$D$64,MATCH(B3037,'Cashier Roster'!$B$5:$B$64,0)),""))</f>
        <v/>
      </c>
      <c r="E3037" s="13"/>
      <c r="F3037" s="14"/>
      <c r="G3037" s="8" t="str">
        <f>IF(OR(B3037="",E3037=""),"",IF(E3037="No","Missed",IF(F3037="","",IF(F3037&lt;=Settings!$B$7,"On time","Late"))))</f>
        <v/>
      </c>
      <c r="H3037" s="15"/>
      <c r="I3037" s="16"/>
      <c r="J3037" s="16"/>
      <c r="K3037" s="17" t="str">
        <f>IF(J3037="","",ROUND(J3037*Settings!$B$8,2))</f>
        <v/>
      </c>
      <c r="L3037" s="16"/>
      <c r="M3037" s="8" t="str">
        <f t="shared" si="47"/>
        <v/>
      </c>
      <c r="N3037" s="9"/>
    </row>
    <row r="3038" spans="1:14" ht="15.75">
      <c r="A3038" s="11"/>
      <c r="B3038" s="9"/>
      <c r="C3038" s="12" t="str">
        <f>IF(B3038="","",IFERROR(INDEX('Cashier Roster'!$C$5:$C$64,MATCH(B3038,'Cashier Roster'!$B$5:$B$64,0)),"Not on roster"))</f>
        <v/>
      </c>
      <c r="D3038" s="12" t="str">
        <f>IF(B3038="","",IFERROR(INDEX('Cashier Roster'!$D$5:$D$64,MATCH(B3038,'Cashier Roster'!$B$5:$B$64,0)),""))</f>
        <v/>
      </c>
      <c r="E3038" s="13"/>
      <c r="F3038" s="14"/>
      <c r="G3038" s="8" t="str">
        <f>IF(OR(B3038="",E3038=""),"",IF(E3038="No","Missed",IF(F3038="","",IF(F3038&lt;=Settings!$B$7,"On time","Late"))))</f>
        <v/>
      </c>
      <c r="H3038" s="15"/>
      <c r="I3038" s="16"/>
      <c r="J3038" s="16"/>
      <c r="K3038" s="17" t="str">
        <f>IF(J3038="","",ROUND(J3038*Settings!$B$8,2))</f>
        <v/>
      </c>
      <c r="L3038" s="16"/>
      <c r="M3038" s="8" t="str">
        <f t="shared" si="47"/>
        <v/>
      </c>
      <c r="N3038" s="9"/>
    </row>
    <row r="3039" spans="1:14" ht="15.75">
      <c r="A3039" s="11"/>
      <c r="B3039" s="9"/>
      <c r="C3039" s="12" t="str">
        <f>IF(B3039="","",IFERROR(INDEX('Cashier Roster'!$C$5:$C$64,MATCH(B3039,'Cashier Roster'!$B$5:$B$64,0)),"Not on roster"))</f>
        <v/>
      </c>
      <c r="D3039" s="12" t="str">
        <f>IF(B3039="","",IFERROR(INDEX('Cashier Roster'!$D$5:$D$64,MATCH(B3039,'Cashier Roster'!$B$5:$B$64,0)),""))</f>
        <v/>
      </c>
      <c r="E3039" s="13"/>
      <c r="F3039" s="14"/>
      <c r="G3039" s="8" t="str">
        <f>IF(OR(B3039="",E3039=""),"",IF(E3039="No","Missed",IF(F3039="","",IF(F3039&lt;=Settings!$B$7,"On time","Late"))))</f>
        <v/>
      </c>
      <c r="H3039" s="15"/>
      <c r="I3039" s="16"/>
      <c r="J3039" s="16"/>
      <c r="K3039" s="17" t="str">
        <f>IF(J3039="","",ROUND(J3039*Settings!$B$8,2))</f>
        <v/>
      </c>
      <c r="L3039" s="16"/>
      <c r="M3039" s="8" t="str">
        <f t="shared" si="47"/>
        <v/>
      </c>
      <c r="N3039" s="9"/>
    </row>
    <row r="3040" spans="1:14" ht="15.75">
      <c r="A3040" s="11"/>
      <c r="B3040" s="9"/>
      <c r="C3040" s="12" t="str">
        <f>IF(B3040="","",IFERROR(INDEX('Cashier Roster'!$C$5:$C$64,MATCH(B3040,'Cashier Roster'!$B$5:$B$64,0)),"Not on roster"))</f>
        <v/>
      </c>
      <c r="D3040" s="12" t="str">
        <f>IF(B3040="","",IFERROR(INDEX('Cashier Roster'!$D$5:$D$64,MATCH(B3040,'Cashier Roster'!$B$5:$B$64,0)),""))</f>
        <v/>
      </c>
      <c r="E3040" s="13"/>
      <c r="F3040" s="14"/>
      <c r="G3040" s="8" t="str">
        <f>IF(OR(B3040="",E3040=""),"",IF(E3040="No","Missed",IF(F3040="","",IF(F3040&lt;=Settings!$B$7,"On time","Late"))))</f>
        <v/>
      </c>
      <c r="H3040" s="15"/>
      <c r="I3040" s="16"/>
      <c r="J3040" s="16"/>
      <c r="K3040" s="17" t="str">
        <f>IF(J3040="","",ROUND(J3040*Settings!$B$8,2))</f>
        <v/>
      </c>
      <c r="L3040" s="16"/>
      <c r="M3040" s="8" t="str">
        <f t="shared" si="47"/>
        <v/>
      </c>
      <c r="N3040" s="9"/>
    </row>
    <row r="3041" spans="1:14" ht="15.75">
      <c r="A3041" s="11"/>
      <c r="B3041" s="9"/>
      <c r="C3041" s="12" t="str">
        <f>IF(B3041="","",IFERROR(INDEX('Cashier Roster'!$C$5:$C$64,MATCH(B3041,'Cashier Roster'!$B$5:$B$64,0)),"Not on roster"))</f>
        <v/>
      </c>
      <c r="D3041" s="12" t="str">
        <f>IF(B3041="","",IFERROR(INDEX('Cashier Roster'!$D$5:$D$64,MATCH(B3041,'Cashier Roster'!$B$5:$B$64,0)),""))</f>
        <v/>
      </c>
      <c r="E3041" s="13"/>
      <c r="F3041" s="14"/>
      <c r="G3041" s="8" t="str">
        <f>IF(OR(B3041="",E3041=""),"",IF(E3041="No","Missed",IF(F3041="","",IF(F3041&lt;=Settings!$B$7,"On time","Late"))))</f>
        <v/>
      </c>
      <c r="H3041" s="15"/>
      <c r="I3041" s="16"/>
      <c r="J3041" s="16"/>
      <c r="K3041" s="17" t="str">
        <f>IF(J3041="","",ROUND(J3041*Settings!$B$8,2))</f>
        <v/>
      </c>
      <c r="L3041" s="16"/>
      <c r="M3041" s="8" t="str">
        <f t="shared" si="47"/>
        <v/>
      </c>
      <c r="N3041" s="9"/>
    </row>
    <row r="3042" spans="1:14" ht="15.75">
      <c r="A3042" s="11"/>
      <c r="B3042" s="9"/>
      <c r="C3042" s="12" t="str">
        <f>IF(B3042="","",IFERROR(INDEX('Cashier Roster'!$C$5:$C$64,MATCH(B3042,'Cashier Roster'!$B$5:$B$64,0)),"Not on roster"))</f>
        <v/>
      </c>
      <c r="D3042" s="12" t="str">
        <f>IF(B3042="","",IFERROR(INDEX('Cashier Roster'!$D$5:$D$64,MATCH(B3042,'Cashier Roster'!$B$5:$B$64,0)),""))</f>
        <v/>
      </c>
      <c r="E3042" s="13"/>
      <c r="F3042" s="14"/>
      <c r="G3042" s="8" t="str">
        <f>IF(OR(B3042="",E3042=""),"",IF(E3042="No","Missed",IF(F3042="","",IF(F3042&lt;=Settings!$B$7,"On time","Late"))))</f>
        <v/>
      </c>
      <c r="H3042" s="15"/>
      <c r="I3042" s="16"/>
      <c r="J3042" s="16"/>
      <c r="K3042" s="17" t="str">
        <f>IF(J3042="","",ROUND(J3042*Settings!$B$8,2))</f>
        <v/>
      </c>
      <c r="L3042" s="16"/>
      <c r="M3042" s="8" t="str">
        <f t="shared" si="47"/>
        <v/>
      </c>
      <c r="N3042" s="9"/>
    </row>
    <row r="3043" spans="1:14" ht="15.75">
      <c r="A3043" s="11"/>
      <c r="B3043" s="9"/>
      <c r="C3043" s="12" t="str">
        <f>IF(B3043="","",IFERROR(INDEX('Cashier Roster'!$C$5:$C$64,MATCH(B3043,'Cashier Roster'!$B$5:$B$64,0)),"Not on roster"))</f>
        <v/>
      </c>
      <c r="D3043" s="12" t="str">
        <f>IF(B3043="","",IFERROR(INDEX('Cashier Roster'!$D$5:$D$64,MATCH(B3043,'Cashier Roster'!$B$5:$B$64,0)),""))</f>
        <v/>
      </c>
      <c r="E3043" s="13"/>
      <c r="F3043" s="14"/>
      <c r="G3043" s="8" t="str">
        <f>IF(OR(B3043="",E3043=""),"",IF(E3043="No","Missed",IF(F3043="","",IF(F3043&lt;=Settings!$B$7,"On time","Late"))))</f>
        <v/>
      </c>
      <c r="H3043" s="15"/>
      <c r="I3043" s="16"/>
      <c r="J3043" s="16"/>
      <c r="K3043" s="17" t="str">
        <f>IF(J3043="","",ROUND(J3043*Settings!$B$8,2))</f>
        <v/>
      </c>
      <c r="L3043" s="16"/>
      <c r="M3043" s="8" t="str">
        <f t="shared" si="47"/>
        <v/>
      </c>
      <c r="N3043" s="9"/>
    </row>
    <row r="3044" spans="1:14" ht="15.75">
      <c r="A3044" s="11"/>
      <c r="B3044" s="9"/>
      <c r="C3044" s="12" t="str">
        <f>IF(B3044="","",IFERROR(INDEX('Cashier Roster'!$C$5:$C$64,MATCH(B3044,'Cashier Roster'!$B$5:$B$64,0)),"Not on roster"))</f>
        <v/>
      </c>
      <c r="D3044" s="12" t="str">
        <f>IF(B3044="","",IFERROR(INDEX('Cashier Roster'!$D$5:$D$64,MATCH(B3044,'Cashier Roster'!$B$5:$B$64,0)),""))</f>
        <v/>
      </c>
      <c r="E3044" s="13"/>
      <c r="F3044" s="14"/>
      <c r="G3044" s="8" t="str">
        <f>IF(OR(B3044="",E3044=""),"",IF(E3044="No","Missed",IF(F3044="","",IF(F3044&lt;=Settings!$B$7,"On time","Late"))))</f>
        <v/>
      </c>
      <c r="H3044" s="15"/>
      <c r="I3044" s="16"/>
      <c r="J3044" s="16"/>
      <c r="K3044" s="17" t="str">
        <f>IF(J3044="","",ROUND(J3044*Settings!$B$8,2))</f>
        <v/>
      </c>
      <c r="L3044" s="16"/>
      <c r="M3044" s="8" t="str">
        <f t="shared" si="47"/>
        <v/>
      </c>
      <c r="N3044" s="9"/>
    </row>
    <row r="3045" spans="1:14" ht="15.75">
      <c r="A3045" s="11"/>
      <c r="B3045" s="9"/>
      <c r="C3045" s="12" t="str">
        <f>IF(B3045="","",IFERROR(INDEX('Cashier Roster'!$C$5:$C$64,MATCH(B3045,'Cashier Roster'!$B$5:$B$64,0)),"Not on roster"))</f>
        <v/>
      </c>
      <c r="D3045" s="12" t="str">
        <f>IF(B3045="","",IFERROR(INDEX('Cashier Roster'!$D$5:$D$64,MATCH(B3045,'Cashier Roster'!$B$5:$B$64,0)),""))</f>
        <v/>
      </c>
      <c r="E3045" s="13"/>
      <c r="F3045" s="14"/>
      <c r="G3045" s="8" t="str">
        <f>IF(OR(B3045="",E3045=""),"",IF(E3045="No","Missed",IF(F3045="","",IF(F3045&lt;=Settings!$B$7,"On time","Late"))))</f>
        <v/>
      </c>
      <c r="H3045" s="15"/>
      <c r="I3045" s="16"/>
      <c r="J3045" s="16"/>
      <c r="K3045" s="17" t="str">
        <f>IF(J3045="","",ROUND(J3045*Settings!$B$8,2))</f>
        <v/>
      </c>
      <c r="L3045" s="16"/>
      <c r="M3045" s="8" t="str">
        <f t="shared" si="47"/>
        <v/>
      </c>
      <c r="N3045" s="9"/>
    </row>
    <row r="3046" spans="1:14" ht="15.75">
      <c r="A3046" s="11"/>
      <c r="B3046" s="9"/>
      <c r="C3046" s="12" t="str">
        <f>IF(B3046="","",IFERROR(INDEX('Cashier Roster'!$C$5:$C$64,MATCH(B3046,'Cashier Roster'!$B$5:$B$64,0)),"Not on roster"))</f>
        <v/>
      </c>
      <c r="D3046" s="12" t="str">
        <f>IF(B3046="","",IFERROR(INDEX('Cashier Roster'!$D$5:$D$64,MATCH(B3046,'Cashier Roster'!$B$5:$B$64,0)),""))</f>
        <v/>
      </c>
      <c r="E3046" s="13"/>
      <c r="F3046" s="14"/>
      <c r="G3046" s="8" t="str">
        <f>IF(OR(B3046="",E3046=""),"",IF(E3046="No","Missed",IF(F3046="","",IF(F3046&lt;=Settings!$B$7,"On time","Late"))))</f>
        <v/>
      </c>
      <c r="H3046" s="15"/>
      <c r="I3046" s="16"/>
      <c r="J3046" s="16"/>
      <c r="K3046" s="17" t="str">
        <f>IF(J3046="","",ROUND(J3046*Settings!$B$8,2))</f>
        <v/>
      </c>
      <c r="L3046" s="16"/>
      <c r="M3046" s="8" t="str">
        <f t="shared" si="47"/>
        <v/>
      </c>
      <c r="N3046" s="9"/>
    </row>
    <row r="3047" spans="1:14" ht="15.75">
      <c r="A3047" s="11"/>
      <c r="B3047" s="9"/>
      <c r="C3047" s="12" t="str">
        <f>IF(B3047="","",IFERROR(INDEX('Cashier Roster'!$C$5:$C$64,MATCH(B3047,'Cashier Roster'!$B$5:$B$64,0)),"Not on roster"))</f>
        <v/>
      </c>
      <c r="D3047" s="12" t="str">
        <f>IF(B3047="","",IFERROR(INDEX('Cashier Roster'!$D$5:$D$64,MATCH(B3047,'Cashier Roster'!$B$5:$B$64,0)),""))</f>
        <v/>
      </c>
      <c r="E3047" s="13"/>
      <c r="F3047" s="14"/>
      <c r="G3047" s="8" t="str">
        <f>IF(OR(B3047="",E3047=""),"",IF(E3047="No","Missed",IF(F3047="","",IF(F3047&lt;=Settings!$B$7,"On time","Late"))))</f>
        <v/>
      </c>
      <c r="H3047" s="15"/>
      <c r="I3047" s="16"/>
      <c r="J3047" s="16"/>
      <c r="K3047" s="17" t="str">
        <f>IF(J3047="","",ROUND(J3047*Settings!$B$8,2))</f>
        <v/>
      </c>
      <c r="L3047" s="16"/>
      <c r="M3047" s="8" t="str">
        <f t="shared" si="47"/>
        <v/>
      </c>
      <c r="N3047" s="9"/>
    </row>
    <row r="3048" spans="1:14" ht="15.75">
      <c r="A3048" s="11"/>
      <c r="B3048" s="9"/>
      <c r="C3048" s="12" t="str">
        <f>IF(B3048="","",IFERROR(INDEX('Cashier Roster'!$C$5:$C$64,MATCH(B3048,'Cashier Roster'!$B$5:$B$64,0)),"Not on roster"))</f>
        <v/>
      </c>
      <c r="D3048" s="12" t="str">
        <f>IF(B3048="","",IFERROR(INDEX('Cashier Roster'!$D$5:$D$64,MATCH(B3048,'Cashier Roster'!$B$5:$B$64,0)),""))</f>
        <v/>
      </c>
      <c r="E3048" s="13"/>
      <c r="F3048" s="14"/>
      <c r="G3048" s="8" t="str">
        <f>IF(OR(B3048="",E3048=""),"",IF(E3048="No","Missed",IF(F3048="","",IF(F3048&lt;=Settings!$B$7,"On time","Late"))))</f>
        <v/>
      </c>
      <c r="H3048" s="15"/>
      <c r="I3048" s="16"/>
      <c r="J3048" s="16"/>
      <c r="K3048" s="17" t="str">
        <f>IF(J3048="","",ROUND(J3048*Settings!$B$8,2))</f>
        <v/>
      </c>
      <c r="L3048" s="16"/>
      <c r="M3048" s="8" t="str">
        <f t="shared" si="47"/>
        <v/>
      </c>
      <c r="N3048" s="9"/>
    </row>
    <row r="3049" spans="1:14" ht="15.75">
      <c r="A3049" s="11"/>
      <c r="B3049" s="9"/>
      <c r="C3049" s="12" t="str">
        <f>IF(B3049="","",IFERROR(INDEX('Cashier Roster'!$C$5:$C$64,MATCH(B3049,'Cashier Roster'!$B$5:$B$64,0)),"Not on roster"))</f>
        <v/>
      </c>
      <c r="D3049" s="12" t="str">
        <f>IF(B3049="","",IFERROR(INDEX('Cashier Roster'!$D$5:$D$64,MATCH(B3049,'Cashier Roster'!$B$5:$B$64,0)),""))</f>
        <v/>
      </c>
      <c r="E3049" s="13"/>
      <c r="F3049" s="14"/>
      <c r="G3049" s="8" t="str">
        <f>IF(OR(B3049="",E3049=""),"",IF(E3049="No","Missed",IF(F3049="","",IF(F3049&lt;=Settings!$B$7,"On time","Late"))))</f>
        <v/>
      </c>
      <c r="H3049" s="15"/>
      <c r="I3049" s="16"/>
      <c r="J3049" s="16"/>
      <c r="K3049" s="17" t="str">
        <f>IF(J3049="","",ROUND(J3049*Settings!$B$8,2))</f>
        <v/>
      </c>
      <c r="L3049" s="16"/>
      <c r="M3049" s="8" t="str">
        <f t="shared" si="47"/>
        <v/>
      </c>
      <c r="N3049" s="9"/>
    </row>
    <row r="3050" spans="1:14" ht="15.75">
      <c r="A3050" s="11"/>
      <c r="B3050" s="9"/>
      <c r="C3050" s="12" t="str">
        <f>IF(B3050="","",IFERROR(INDEX('Cashier Roster'!$C$5:$C$64,MATCH(B3050,'Cashier Roster'!$B$5:$B$64,0)),"Not on roster"))</f>
        <v/>
      </c>
      <c r="D3050" s="12" t="str">
        <f>IF(B3050="","",IFERROR(INDEX('Cashier Roster'!$D$5:$D$64,MATCH(B3050,'Cashier Roster'!$B$5:$B$64,0)),""))</f>
        <v/>
      </c>
      <c r="E3050" s="13"/>
      <c r="F3050" s="14"/>
      <c r="G3050" s="8" t="str">
        <f>IF(OR(B3050="",E3050=""),"",IF(E3050="No","Missed",IF(F3050="","",IF(F3050&lt;=Settings!$B$7,"On time","Late"))))</f>
        <v/>
      </c>
      <c r="H3050" s="15"/>
      <c r="I3050" s="16"/>
      <c r="J3050" s="16"/>
      <c r="K3050" s="17" t="str">
        <f>IF(J3050="","",ROUND(J3050*Settings!$B$8,2))</f>
        <v/>
      </c>
      <c r="L3050" s="16"/>
      <c r="M3050" s="8" t="str">
        <f t="shared" si="47"/>
        <v/>
      </c>
      <c r="N3050" s="9"/>
    </row>
    <row r="3051" spans="1:14" ht="15.75">
      <c r="A3051" s="11"/>
      <c r="B3051" s="9"/>
      <c r="C3051" s="12" t="str">
        <f>IF(B3051="","",IFERROR(INDEX('Cashier Roster'!$C$5:$C$64,MATCH(B3051,'Cashier Roster'!$B$5:$B$64,0)),"Not on roster"))</f>
        <v/>
      </c>
      <c r="D3051" s="12" t="str">
        <f>IF(B3051="","",IFERROR(INDEX('Cashier Roster'!$D$5:$D$64,MATCH(B3051,'Cashier Roster'!$B$5:$B$64,0)),""))</f>
        <v/>
      </c>
      <c r="E3051" s="13"/>
      <c r="F3051" s="14"/>
      <c r="G3051" s="8" t="str">
        <f>IF(OR(B3051="",E3051=""),"",IF(E3051="No","Missed",IF(F3051="","",IF(F3051&lt;=Settings!$B$7,"On time","Late"))))</f>
        <v/>
      </c>
      <c r="H3051" s="15"/>
      <c r="I3051" s="16"/>
      <c r="J3051" s="16"/>
      <c r="K3051" s="17" t="str">
        <f>IF(J3051="","",ROUND(J3051*Settings!$B$8,2))</f>
        <v/>
      </c>
      <c r="L3051" s="16"/>
      <c r="M3051" s="8" t="str">
        <f t="shared" si="47"/>
        <v/>
      </c>
      <c r="N3051" s="9"/>
    </row>
    <row r="3052" spans="1:14" ht="15.75">
      <c r="A3052" s="11"/>
      <c r="B3052" s="9"/>
      <c r="C3052" s="12" t="str">
        <f>IF(B3052="","",IFERROR(INDEX('Cashier Roster'!$C$5:$C$64,MATCH(B3052,'Cashier Roster'!$B$5:$B$64,0)),"Not on roster"))</f>
        <v/>
      </c>
      <c r="D3052" s="12" t="str">
        <f>IF(B3052="","",IFERROR(INDEX('Cashier Roster'!$D$5:$D$64,MATCH(B3052,'Cashier Roster'!$B$5:$B$64,0)),""))</f>
        <v/>
      </c>
      <c r="E3052" s="13"/>
      <c r="F3052" s="14"/>
      <c r="G3052" s="8" t="str">
        <f>IF(OR(B3052="",E3052=""),"",IF(E3052="No","Missed",IF(F3052="","",IF(F3052&lt;=Settings!$B$7,"On time","Late"))))</f>
        <v/>
      </c>
      <c r="H3052" s="15"/>
      <c r="I3052" s="16"/>
      <c r="J3052" s="16"/>
      <c r="K3052" s="17" t="str">
        <f>IF(J3052="","",ROUND(J3052*Settings!$B$8,2))</f>
        <v/>
      </c>
      <c r="L3052" s="16"/>
      <c r="M3052" s="8" t="str">
        <f t="shared" si="47"/>
        <v/>
      </c>
      <c r="N3052" s="9"/>
    </row>
    <row r="3053" spans="1:14" ht="15.75">
      <c r="A3053" s="11"/>
      <c r="B3053" s="9"/>
      <c r="C3053" s="12" t="str">
        <f>IF(B3053="","",IFERROR(INDEX('Cashier Roster'!$C$5:$C$64,MATCH(B3053,'Cashier Roster'!$B$5:$B$64,0)),"Not on roster"))</f>
        <v/>
      </c>
      <c r="D3053" s="12" t="str">
        <f>IF(B3053="","",IFERROR(INDEX('Cashier Roster'!$D$5:$D$64,MATCH(B3053,'Cashier Roster'!$B$5:$B$64,0)),""))</f>
        <v/>
      </c>
      <c r="E3053" s="13"/>
      <c r="F3053" s="14"/>
      <c r="G3053" s="8" t="str">
        <f>IF(OR(B3053="",E3053=""),"",IF(E3053="No","Missed",IF(F3053="","",IF(F3053&lt;=Settings!$B$7,"On time","Late"))))</f>
        <v/>
      </c>
      <c r="H3053" s="15"/>
      <c r="I3053" s="16"/>
      <c r="J3053" s="16"/>
      <c r="K3053" s="17" t="str">
        <f>IF(J3053="","",ROUND(J3053*Settings!$B$8,2))</f>
        <v/>
      </c>
      <c r="L3053" s="16"/>
      <c r="M3053" s="8" t="str">
        <f t="shared" si="47"/>
        <v/>
      </c>
      <c r="N3053" s="9"/>
    </row>
    <row r="3054" spans="1:14" ht="15.75">
      <c r="A3054" s="11"/>
      <c r="B3054" s="9"/>
      <c r="C3054" s="12" t="str">
        <f>IF(B3054="","",IFERROR(INDEX('Cashier Roster'!$C$5:$C$64,MATCH(B3054,'Cashier Roster'!$B$5:$B$64,0)),"Not on roster"))</f>
        <v/>
      </c>
      <c r="D3054" s="12" t="str">
        <f>IF(B3054="","",IFERROR(INDEX('Cashier Roster'!$D$5:$D$64,MATCH(B3054,'Cashier Roster'!$B$5:$B$64,0)),""))</f>
        <v/>
      </c>
      <c r="E3054" s="13"/>
      <c r="F3054" s="14"/>
      <c r="G3054" s="8" t="str">
        <f>IF(OR(B3054="",E3054=""),"",IF(E3054="No","Missed",IF(F3054="","",IF(F3054&lt;=Settings!$B$7,"On time","Late"))))</f>
        <v/>
      </c>
      <c r="H3054" s="15"/>
      <c r="I3054" s="16"/>
      <c r="J3054" s="16"/>
      <c r="K3054" s="17" t="str">
        <f>IF(J3054="","",ROUND(J3054*Settings!$B$8,2))</f>
        <v/>
      </c>
      <c r="L3054" s="16"/>
      <c r="M3054" s="8" t="str">
        <f t="shared" si="47"/>
        <v/>
      </c>
      <c r="N3054" s="9"/>
    </row>
    <row r="3055" spans="1:14" ht="15.75">
      <c r="A3055" s="11"/>
      <c r="B3055" s="9"/>
      <c r="C3055" s="12" t="str">
        <f>IF(B3055="","",IFERROR(INDEX('Cashier Roster'!$C$5:$C$64,MATCH(B3055,'Cashier Roster'!$B$5:$B$64,0)),"Not on roster"))</f>
        <v/>
      </c>
      <c r="D3055" s="12" t="str">
        <f>IF(B3055="","",IFERROR(INDEX('Cashier Roster'!$D$5:$D$64,MATCH(B3055,'Cashier Roster'!$B$5:$B$64,0)),""))</f>
        <v/>
      </c>
      <c r="E3055" s="13"/>
      <c r="F3055" s="14"/>
      <c r="G3055" s="8" t="str">
        <f>IF(OR(B3055="",E3055=""),"",IF(E3055="No","Missed",IF(F3055="","",IF(F3055&lt;=Settings!$B$7,"On time","Late"))))</f>
        <v/>
      </c>
      <c r="H3055" s="15"/>
      <c r="I3055" s="16"/>
      <c r="J3055" s="16"/>
      <c r="K3055" s="17" t="str">
        <f>IF(J3055="","",ROUND(J3055*Settings!$B$8,2))</f>
        <v/>
      </c>
      <c r="L3055" s="16"/>
      <c r="M3055" s="8" t="str">
        <f t="shared" si="47"/>
        <v/>
      </c>
      <c r="N3055" s="9"/>
    </row>
    <row r="3056" spans="1:14" ht="15.75">
      <c r="A3056" s="11"/>
      <c r="B3056" s="9"/>
      <c r="C3056" s="12" t="str">
        <f>IF(B3056="","",IFERROR(INDEX('Cashier Roster'!$C$5:$C$64,MATCH(B3056,'Cashier Roster'!$B$5:$B$64,0)),"Not on roster"))</f>
        <v/>
      </c>
      <c r="D3056" s="12" t="str">
        <f>IF(B3056="","",IFERROR(INDEX('Cashier Roster'!$D$5:$D$64,MATCH(B3056,'Cashier Roster'!$B$5:$B$64,0)),""))</f>
        <v/>
      </c>
      <c r="E3056" s="13"/>
      <c r="F3056" s="14"/>
      <c r="G3056" s="8" t="str">
        <f>IF(OR(B3056="",E3056=""),"",IF(E3056="No","Missed",IF(F3056="","",IF(F3056&lt;=Settings!$B$7,"On time","Late"))))</f>
        <v/>
      </c>
      <c r="H3056" s="15"/>
      <c r="I3056" s="16"/>
      <c r="J3056" s="16"/>
      <c r="K3056" s="17" t="str">
        <f>IF(J3056="","",ROUND(J3056*Settings!$B$8,2))</f>
        <v/>
      </c>
      <c r="L3056" s="16"/>
      <c r="M3056" s="8" t="str">
        <f t="shared" si="47"/>
        <v/>
      </c>
      <c r="N3056" s="9"/>
    </row>
    <row r="3057" spans="1:14" ht="15.75">
      <c r="A3057" s="11"/>
      <c r="B3057" s="9"/>
      <c r="C3057" s="12" t="str">
        <f>IF(B3057="","",IFERROR(INDEX('Cashier Roster'!$C$5:$C$64,MATCH(B3057,'Cashier Roster'!$B$5:$B$64,0)),"Not on roster"))</f>
        <v/>
      </c>
      <c r="D3057" s="12" t="str">
        <f>IF(B3057="","",IFERROR(INDEX('Cashier Roster'!$D$5:$D$64,MATCH(B3057,'Cashier Roster'!$B$5:$B$64,0)),""))</f>
        <v/>
      </c>
      <c r="E3057" s="13"/>
      <c r="F3057" s="14"/>
      <c r="G3057" s="8" t="str">
        <f>IF(OR(B3057="",E3057=""),"",IF(E3057="No","Missed",IF(F3057="","",IF(F3057&lt;=Settings!$B$7,"On time","Late"))))</f>
        <v/>
      </c>
      <c r="H3057" s="15"/>
      <c r="I3057" s="16"/>
      <c r="J3057" s="16"/>
      <c r="K3057" s="17" t="str">
        <f>IF(J3057="","",ROUND(J3057*Settings!$B$8,2))</f>
        <v/>
      </c>
      <c r="L3057" s="16"/>
      <c r="M3057" s="8" t="str">
        <f t="shared" si="47"/>
        <v/>
      </c>
      <c r="N3057" s="9"/>
    </row>
    <row r="3058" spans="1:14" ht="15.75">
      <c r="A3058" s="11"/>
      <c r="B3058" s="9"/>
      <c r="C3058" s="12" t="str">
        <f>IF(B3058="","",IFERROR(INDEX('Cashier Roster'!$C$5:$C$64,MATCH(B3058,'Cashier Roster'!$B$5:$B$64,0)),"Not on roster"))</f>
        <v/>
      </c>
      <c r="D3058" s="12" t="str">
        <f>IF(B3058="","",IFERROR(INDEX('Cashier Roster'!$D$5:$D$64,MATCH(B3058,'Cashier Roster'!$B$5:$B$64,0)),""))</f>
        <v/>
      </c>
      <c r="E3058" s="13"/>
      <c r="F3058" s="14"/>
      <c r="G3058" s="8" t="str">
        <f>IF(OR(B3058="",E3058=""),"",IF(E3058="No","Missed",IF(F3058="","",IF(F3058&lt;=Settings!$B$7,"On time","Late"))))</f>
        <v/>
      </c>
      <c r="H3058" s="15"/>
      <c r="I3058" s="16"/>
      <c r="J3058" s="16"/>
      <c r="K3058" s="17" t="str">
        <f>IF(J3058="","",ROUND(J3058*Settings!$B$8,2))</f>
        <v/>
      </c>
      <c r="L3058" s="16"/>
      <c r="M3058" s="8" t="str">
        <f t="shared" si="47"/>
        <v/>
      </c>
      <c r="N3058" s="9"/>
    </row>
    <row r="3059" spans="1:14" ht="15.75">
      <c r="A3059" s="11"/>
      <c r="B3059" s="9"/>
      <c r="C3059" s="12" t="str">
        <f>IF(B3059="","",IFERROR(INDEX('Cashier Roster'!$C$5:$C$64,MATCH(B3059,'Cashier Roster'!$B$5:$B$64,0)),"Not on roster"))</f>
        <v/>
      </c>
      <c r="D3059" s="12" t="str">
        <f>IF(B3059="","",IFERROR(INDEX('Cashier Roster'!$D$5:$D$64,MATCH(B3059,'Cashier Roster'!$B$5:$B$64,0)),""))</f>
        <v/>
      </c>
      <c r="E3059" s="13"/>
      <c r="F3059" s="14"/>
      <c r="G3059" s="8" t="str">
        <f>IF(OR(B3059="",E3059=""),"",IF(E3059="No","Missed",IF(F3059="","",IF(F3059&lt;=Settings!$B$7,"On time","Late"))))</f>
        <v/>
      </c>
      <c r="H3059" s="15"/>
      <c r="I3059" s="16"/>
      <c r="J3059" s="16"/>
      <c r="K3059" s="17" t="str">
        <f>IF(J3059="","",ROUND(J3059*Settings!$B$8,2))</f>
        <v/>
      </c>
      <c r="L3059" s="16"/>
      <c r="M3059" s="8" t="str">
        <f t="shared" si="47"/>
        <v/>
      </c>
      <c r="N3059" s="9"/>
    </row>
    <row r="3060" spans="1:14" ht="15.75">
      <c r="A3060" s="11"/>
      <c r="B3060" s="9"/>
      <c r="C3060" s="12" t="str">
        <f>IF(B3060="","",IFERROR(INDEX('Cashier Roster'!$C$5:$C$64,MATCH(B3060,'Cashier Roster'!$B$5:$B$64,0)),"Not on roster"))</f>
        <v/>
      </c>
      <c r="D3060" s="12" t="str">
        <f>IF(B3060="","",IFERROR(INDEX('Cashier Roster'!$D$5:$D$64,MATCH(B3060,'Cashier Roster'!$B$5:$B$64,0)),""))</f>
        <v/>
      </c>
      <c r="E3060" s="13"/>
      <c r="F3060" s="14"/>
      <c r="G3060" s="8" t="str">
        <f>IF(OR(B3060="",E3060=""),"",IF(E3060="No","Missed",IF(F3060="","",IF(F3060&lt;=Settings!$B$7,"On time","Late"))))</f>
        <v/>
      </c>
      <c r="H3060" s="15"/>
      <c r="I3060" s="16"/>
      <c r="J3060" s="16"/>
      <c r="K3060" s="17" t="str">
        <f>IF(J3060="","",ROUND(J3060*Settings!$B$8,2))</f>
        <v/>
      </c>
      <c r="L3060" s="16"/>
      <c r="M3060" s="8" t="str">
        <f t="shared" si="47"/>
        <v/>
      </c>
      <c r="N3060" s="9"/>
    </row>
    <row r="3061" spans="1:14" ht="15.75">
      <c r="A3061" s="11"/>
      <c r="B3061" s="9"/>
      <c r="C3061" s="12" t="str">
        <f>IF(B3061="","",IFERROR(INDEX('Cashier Roster'!$C$5:$C$64,MATCH(B3061,'Cashier Roster'!$B$5:$B$64,0)),"Not on roster"))</f>
        <v/>
      </c>
      <c r="D3061" s="12" t="str">
        <f>IF(B3061="","",IFERROR(INDEX('Cashier Roster'!$D$5:$D$64,MATCH(B3061,'Cashier Roster'!$B$5:$B$64,0)),""))</f>
        <v/>
      </c>
      <c r="E3061" s="13"/>
      <c r="F3061" s="14"/>
      <c r="G3061" s="8" t="str">
        <f>IF(OR(B3061="",E3061=""),"",IF(E3061="No","Missed",IF(F3061="","",IF(F3061&lt;=Settings!$B$7,"On time","Late"))))</f>
        <v/>
      </c>
      <c r="H3061" s="15"/>
      <c r="I3061" s="16"/>
      <c r="J3061" s="16"/>
      <c r="K3061" s="17" t="str">
        <f>IF(J3061="","",ROUND(J3061*Settings!$B$8,2))</f>
        <v/>
      </c>
      <c r="L3061" s="16"/>
      <c r="M3061" s="8" t="str">
        <f t="shared" si="47"/>
        <v/>
      </c>
      <c r="N3061" s="9"/>
    </row>
    <row r="3062" spans="1:14" ht="15.75">
      <c r="A3062" s="11"/>
      <c r="B3062" s="9"/>
      <c r="C3062" s="12" t="str">
        <f>IF(B3062="","",IFERROR(INDEX('Cashier Roster'!$C$5:$C$64,MATCH(B3062,'Cashier Roster'!$B$5:$B$64,0)),"Not on roster"))</f>
        <v/>
      </c>
      <c r="D3062" s="12" t="str">
        <f>IF(B3062="","",IFERROR(INDEX('Cashier Roster'!$D$5:$D$64,MATCH(B3062,'Cashier Roster'!$B$5:$B$64,0)),""))</f>
        <v/>
      </c>
      <c r="E3062" s="13"/>
      <c r="F3062" s="14"/>
      <c r="G3062" s="8" t="str">
        <f>IF(OR(B3062="",E3062=""),"",IF(E3062="No","Missed",IF(F3062="","",IF(F3062&lt;=Settings!$B$7,"On time","Late"))))</f>
        <v/>
      </c>
      <c r="H3062" s="15"/>
      <c r="I3062" s="16"/>
      <c r="J3062" s="16"/>
      <c r="K3062" s="17" t="str">
        <f>IF(J3062="","",ROUND(J3062*Settings!$B$8,2))</f>
        <v/>
      </c>
      <c r="L3062" s="16"/>
      <c r="M3062" s="8" t="str">
        <f t="shared" si="47"/>
        <v/>
      </c>
      <c r="N3062" s="9"/>
    </row>
    <row r="3063" spans="1:14" ht="15.75">
      <c r="A3063" s="11"/>
      <c r="B3063" s="9"/>
      <c r="C3063" s="12" t="str">
        <f>IF(B3063="","",IFERROR(INDEX('Cashier Roster'!$C$5:$C$64,MATCH(B3063,'Cashier Roster'!$B$5:$B$64,0)),"Not on roster"))</f>
        <v/>
      </c>
      <c r="D3063" s="12" t="str">
        <f>IF(B3063="","",IFERROR(INDEX('Cashier Roster'!$D$5:$D$64,MATCH(B3063,'Cashier Roster'!$B$5:$B$64,0)),""))</f>
        <v/>
      </c>
      <c r="E3063" s="13"/>
      <c r="F3063" s="14"/>
      <c r="G3063" s="8" t="str">
        <f>IF(OR(B3063="",E3063=""),"",IF(E3063="No","Missed",IF(F3063="","",IF(F3063&lt;=Settings!$B$7,"On time","Late"))))</f>
        <v/>
      </c>
      <c r="H3063" s="15"/>
      <c r="I3063" s="16"/>
      <c r="J3063" s="16"/>
      <c r="K3063" s="17" t="str">
        <f>IF(J3063="","",ROUND(J3063*Settings!$B$8,2))</f>
        <v/>
      </c>
      <c r="L3063" s="16"/>
      <c r="M3063" s="8" t="str">
        <f t="shared" si="47"/>
        <v/>
      </c>
      <c r="N3063" s="9"/>
    </row>
    <row r="3064" spans="1:14" ht="15.75">
      <c r="A3064" s="11"/>
      <c r="B3064" s="9"/>
      <c r="C3064" s="12" t="str">
        <f>IF(B3064="","",IFERROR(INDEX('Cashier Roster'!$C$5:$C$64,MATCH(B3064,'Cashier Roster'!$B$5:$B$64,0)),"Not on roster"))</f>
        <v/>
      </c>
      <c r="D3064" s="12" t="str">
        <f>IF(B3064="","",IFERROR(INDEX('Cashier Roster'!$D$5:$D$64,MATCH(B3064,'Cashier Roster'!$B$5:$B$64,0)),""))</f>
        <v/>
      </c>
      <c r="E3064" s="13"/>
      <c r="F3064" s="14"/>
      <c r="G3064" s="8" t="str">
        <f>IF(OR(B3064="",E3064=""),"",IF(E3064="No","Missed",IF(F3064="","",IF(F3064&lt;=Settings!$B$7,"On time","Late"))))</f>
        <v/>
      </c>
      <c r="H3064" s="15"/>
      <c r="I3064" s="16"/>
      <c r="J3064" s="16"/>
      <c r="K3064" s="17" t="str">
        <f>IF(J3064="","",ROUND(J3064*Settings!$B$8,2))</f>
        <v/>
      </c>
      <c r="L3064" s="16"/>
      <c r="M3064" s="8" t="str">
        <f t="shared" si="47"/>
        <v/>
      </c>
      <c r="N3064" s="9"/>
    </row>
    <row r="3065" spans="1:14" ht="15.75">
      <c r="A3065" s="11"/>
      <c r="B3065" s="9"/>
      <c r="C3065" s="12" t="str">
        <f>IF(B3065="","",IFERROR(INDEX('Cashier Roster'!$C$5:$C$64,MATCH(B3065,'Cashier Roster'!$B$5:$B$64,0)),"Not on roster"))</f>
        <v/>
      </c>
      <c r="D3065" s="12" t="str">
        <f>IF(B3065="","",IFERROR(INDEX('Cashier Roster'!$D$5:$D$64,MATCH(B3065,'Cashier Roster'!$B$5:$B$64,0)),""))</f>
        <v/>
      </c>
      <c r="E3065" s="13"/>
      <c r="F3065" s="14"/>
      <c r="G3065" s="8" t="str">
        <f>IF(OR(B3065="",E3065=""),"",IF(E3065="No","Missed",IF(F3065="","",IF(F3065&lt;=Settings!$B$7,"On time","Late"))))</f>
        <v/>
      </c>
      <c r="H3065" s="15"/>
      <c r="I3065" s="16"/>
      <c r="J3065" s="16"/>
      <c r="K3065" s="17" t="str">
        <f>IF(J3065="","",ROUND(J3065*Settings!$B$8,2))</f>
        <v/>
      </c>
      <c r="L3065" s="16"/>
      <c r="M3065" s="8" t="str">
        <f t="shared" si="47"/>
        <v/>
      </c>
      <c r="N3065" s="9"/>
    </row>
    <row r="3066" spans="1:14" ht="15.75">
      <c r="A3066" s="11"/>
      <c r="B3066" s="9"/>
      <c r="C3066" s="12" t="str">
        <f>IF(B3066="","",IFERROR(INDEX('Cashier Roster'!$C$5:$C$64,MATCH(B3066,'Cashier Roster'!$B$5:$B$64,0)),"Not on roster"))</f>
        <v/>
      </c>
      <c r="D3066" s="12" t="str">
        <f>IF(B3066="","",IFERROR(INDEX('Cashier Roster'!$D$5:$D$64,MATCH(B3066,'Cashier Roster'!$B$5:$B$64,0)),""))</f>
        <v/>
      </c>
      <c r="E3066" s="13"/>
      <c r="F3066" s="14"/>
      <c r="G3066" s="8" t="str">
        <f>IF(OR(B3066="",E3066=""),"",IF(E3066="No","Missed",IF(F3066="","",IF(F3066&lt;=Settings!$B$7,"On time","Late"))))</f>
        <v/>
      </c>
      <c r="H3066" s="15"/>
      <c r="I3066" s="16"/>
      <c r="J3066" s="16"/>
      <c r="K3066" s="17" t="str">
        <f>IF(J3066="","",ROUND(J3066*Settings!$B$8,2))</f>
        <v/>
      </c>
      <c r="L3066" s="16"/>
      <c r="M3066" s="8" t="str">
        <f t="shared" si="47"/>
        <v/>
      </c>
      <c r="N3066" s="9"/>
    </row>
    <row r="3067" spans="1:14" ht="15.75">
      <c r="A3067" s="11"/>
      <c r="B3067" s="9"/>
      <c r="C3067" s="12" t="str">
        <f>IF(B3067="","",IFERROR(INDEX('Cashier Roster'!$C$5:$C$64,MATCH(B3067,'Cashier Roster'!$B$5:$B$64,0)),"Not on roster"))</f>
        <v/>
      </c>
      <c r="D3067" s="12" t="str">
        <f>IF(B3067="","",IFERROR(INDEX('Cashier Roster'!$D$5:$D$64,MATCH(B3067,'Cashier Roster'!$B$5:$B$64,0)),""))</f>
        <v/>
      </c>
      <c r="E3067" s="13"/>
      <c r="F3067" s="14"/>
      <c r="G3067" s="8" t="str">
        <f>IF(OR(B3067="",E3067=""),"",IF(E3067="No","Missed",IF(F3067="","",IF(F3067&lt;=Settings!$B$7,"On time","Late"))))</f>
        <v/>
      </c>
      <c r="H3067" s="15"/>
      <c r="I3067" s="16"/>
      <c r="J3067" s="16"/>
      <c r="K3067" s="17" t="str">
        <f>IF(J3067="","",ROUND(J3067*Settings!$B$8,2))</f>
        <v/>
      </c>
      <c r="L3067" s="16"/>
      <c r="M3067" s="8" t="str">
        <f t="shared" si="47"/>
        <v/>
      </c>
      <c r="N3067" s="9"/>
    </row>
    <row r="3068" spans="1:14" ht="15.75">
      <c r="A3068" s="11"/>
      <c r="B3068" s="9"/>
      <c r="C3068" s="12" t="str">
        <f>IF(B3068="","",IFERROR(INDEX('Cashier Roster'!$C$5:$C$64,MATCH(B3068,'Cashier Roster'!$B$5:$B$64,0)),"Not on roster"))</f>
        <v/>
      </c>
      <c r="D3068" s="12" t="str">
        <f>IF(B3068="","",IFERROR(INDEX('Cashier Roster'!$D$5:$D$64,MATCH(B3068,'Cashier Roster'!$B$5:$B$64,0)),""))</f>
        <v/>
      </c>
      <c r="E3068" s="13"/>
      <c r="F3068" s="14"/>
      <c r="G3068" s="8" t="str">
        <f>IF(OR(B3068="",E3068=""),"",IF(E3068="No","Missed",IF(F3068="","",IF(F3068&lt;=Settings!$B$7,"On time","Late"))))</f>
        <v/>
      </c>
      <c r="H3068" s="15"/>
      <c r="I3068" s="16"/>
      <c r="J3068" s="16"/>
      <c r="K3068" s="17" t="str">
        <f>IF(J3068="","",ROUND(J3068*Settings!$B$8,2))</f>
        <v/>
      </c>
      <c r="L3068" s="16"/>
      <c r="M3068" s="8" t="str">
        <f t="shared" si="47"/>
        <v/>
      </c>
      <c r="N3068" s="9"/>
    </row>
    <row r="3069" spans="1:14" ht="15.75">
      <c r="A3069" s="11"/>
      <c r="B3069" s="9"/>
      <c r="C3069" s="12" t="str">
        <f>IF(B3069="","",IFERROR(INDEX('Cashier Roster'!$C$5:$C$64,MATCH(B3069,'Cashier Roster'!$B$5:$B$64,0)),"Not on roster"))</f>
        <v/>
      </c>
      <c r="D3069" s="12" t="str">
        <f>IF(B3069="","",IFERROR(INDEX('Cashier Roster'!$D$5:$D$64,MATCH(B3069,'Cashier Roster'!$B$5:$B$64,0)),""))</f>
        <v/>
      </c>
      <c r="E3069" s="13"/>
      <c r="F3069" s="14"/>
      <c r="G3069" s="8" t="str">
        <f>IF(OR(B3069="",E3069=""),"",IF(E3069="No","Missed",IF(F3069="","",IF(F3069&lt;=Settings!$B$7,"On time","Late"))))</f>
        <v/>
      </c>
      <c r="H3069" s="15"/>
      <c r="I3069" s="16"/>
      <c r="J3069" s="16"/>
      <c r="K3069" s="17" t="str">
        <f>IF(J3069="","",ROUND(J3069*Settings!$B$8,2))</f>
        <v/>
      </c>
      <c r="L3069" s="16"/>
      <c r="M3069" s="8" t="str">
        <f t="shared" si="47"/>
        <v/>
      </c>
      <c r="N3069" s="9"/>
    </row>
    <row r="3070" spans="1:14" ht="15.75">
      <c r="A3070" s="11"/>
      <c r="B3070" s="9"/>
      <c r="C3070" s="12" t="str">
        <f>IF(B3070="","",IFERROR(INDEX('Cashier Roster'!$C$5:$C$64,MATCH(B3070,'Cashier Roster'!$B$5:$B$64,0)),"Not on roster"))</f>
        <v/>
      </c>
      <c r="D3070" s="12" t="str">
        <f>IF(B3070="","",IFERROR(INDEX('Cashier Roster'!$D$5:$D$64,MATCH(B3070,'Cashier Roster'!$B$5:$B$64,0)),""))</f>
        <v/>
      </c>
      <c r="E3070" s="13"/>
      <c r="F3070" s="14"/>
      <c r="G3070" s="8" t="str">
        <f>IF(OR(B3070="",E3070=""),"",IF(E3070="No","Missed",IF(F3070="","",IF(F3070&lt;=Settings!$B$7,"On time","Late"))))</f>
        <v/>
      </c>
      <c r="H3070" s="15"/>
      <c r="I3070" s="16"/>
      <c r="J3070" s="16"/>
      <c r="K3070" s="17" t="str">
        <f>IF(J3070="","",ROUND(J3070*Settings!$B$8,2))</f>
        <v/>
      </c>
      <c r="L3070" s="16"/>
      <c r="M3070" s="8" t="str">
        <f t="shared" si="47"/>
        <v/>
      </c>
      <c r="N3070" s="9"/>
    </row>
    <row r="3071" spans="1:14" ht="15.75">
      <c r="A3071" s="11"/>
      <c r="B3071" s="9"/>
      <c r="C3071" s="12" t="str">
        <f>IF(B3071="","",IFERROR(INDEX('Cashier Roster'!$C$5:$C$64,MATCH(B3071,'Cashier Roster'!$B$5:$B$64,0)),"Not on roster"))</f>
        <v/>
      </c>
      <c r="D3071" s="12" t="str">
        <f>IF(B3071="","",IFERROR(INDEX('Cashier Roster'!$D$5:$D$64,MATCH(B3071,'Cashier Roster'!$B$5:$B$64,0)),""))</f>
        <v/>
      </c>
      <c r="E3071" s="13"/>
      <c r="F3071" s="14"/>
      <c r="G3071" s="8" t="str">
        <f>IF(OR(B3071="",E3071=""),"",IF(E3071="No","Missed",IF(F3071="","",IF(F3071&lt;=Settings!$B$7,"On time","Late"))))</f>
        <v/>
      </c>
      <c r="H3071" s="15"/>
      <c r="I3071" s="16"/>
      <c r="J3071" s="16"/>
      <c r="K3071" s="17" t="str">
        <f>IF(J3071="","",ROUND(J3071*Settings!$B$8,2))</f>
        <v/>
      </c>
      <c r="L3071" s="16"/>
      <c r="M3071" s="8" t="str">
        <f t="shared" si="47"/>
        <v/>
      </c>
      <c r="N3071" s="9"/>
    </row>
    <row r="3072" spans="1:14" ht="15.75">
      <c r="A3072" s="11"/>
      <c r="B3072" s="9"/>
      <c r="C3072" s="12" t="str">
        <f>IF(B3072="","",IFERROR(INDEX('Cashier Roster'!$C$5:$C$64,MATCH(B3072,'Cashier Roster'!$B$5:$B$64,0)),"Not on roster"))</f>
        <v/>
      </c>
      <c r="D3072" s="12" t="str">
        <f>IF(B3072="","",IFERROR(INDEX('Cashier Roster'!$D$5:$D$64,MATCH(B3072,'Cashier Roster'!$B$5:$B$64,0)),""))</f>
        <v/>
      </c>
      <c r="E3072" s="13"/>
      <c r="F3072" s="14"/>
      <c r="G3072" s="8" t="str">
        <f>IF(OR(B3072="",E3072=""),"",IF(E3072="No","Missed",IF(F3072="","",IF(F3072&lt;=Settings!$B$7,"On time","Late"))))</f>
        <v/>
      </c>
      <c r="H3072" s="15"/>
      <c r="I3072" s="16"/>
      <c r="J3072" s="16"/>
      <c r="K3072" s="17" t="str">
        <f>IF(J3072="","",ROUND(J3072*Settings!$B$8,2))</f>
        <v/>
      </c>
      <c r="L3072" s="16"/>
      <c r="M3072" s="8" t="str">
        <f t="shared" si="47"/>
        <v/>
      </c>
      <c r="N3072" s="9"/>
    </row>
    <row r="3073" spans="1:14" ht="15.75">
      <c r="A3073" s="11"/>
      <c r="B3073" s="9"/>
      <c r="C3073" s="12" t="str">
        <f>IF(B3073="","",IFERROR(INDEX('Cashier Roster'!$C$5:$C$64,MATCH(B3073,'Cashier Roster'!$B$5:$B$64,0)),"Not on roster"))</f>
        <v/>
      </c>
      <c r="D3073" s="12" t="str">
        <f>IF(B3073="","",IFERROR(INDEX('Cashier Roster'!$D$5:$D$64,MATCH(B3073,'Cashier Roster'!$B$5:$B$64,0)),""))</f>
        <v/>
      </c>
      <c r="E3073" s="13"/>
      <c r="F3073" s="14"/>
      <c r="G3073" s="8" t="str">
        <f>IF(OR(B3073="",E3073=""),"",IF(E3073="No","Missed",IF(F3073="","",IF(F3073&lt;=Settings!$B$7,"On time","Late"))))</f>
        <v/>
      </c>
      <c r="H3073" s="15"/>
      <c r="I3073" s="16"/>
      <c r="J3073" s="16"/>
      <c r="K3073" s="17" t="str">
        <f>IF(J3073="","",ROUND(J3073*Settings!$B$8,2))</f>
        <v/>
      </c>
      <c r="L3073" s="16"/>
      <c r="M3073" s="8" t="str">
        <f t="shared" si="47"/>
        <v/>
      </c>
      <c r="N3073" s="9"/>
    </row>
    <row r="3074" spans="1:14" ht="15.75">
      <c r="A3074" s="11"/>
      <c r="B3074" s="9"/>
      <c r="C3074" s="12" t="str">
        <f>IF(B3074="","",IFERROR(INDEX('Cashier Roster'!$C$5:$C$64,MATCH(B3074,'Cashier Roster'!$B$5:$B$64,0)),"Not on roster"))</f>
        <v/>
      </c>
      <c r="D3074" s="12" t="str">
        <f>IF(B3074="","",IFERROR(INDEX('Cashier Roster'!$D$5:$D$64,MATCH(B3074,'Cashier Roster'!$B$5:$B$64,0)),""))</f>
        <v/>
      </c>
      <c r="E3074" s="13"/>
      <c r="F3074" s="14"/>
      <c r="G3074" s="8" t="str">
        <f>IF(OR(B3074="",E3074=""),"",IF(E3074="No","Missed",IF(F3074="","",IF(F3074&lt;=Settings!$B$7,"On time","Late"))))</f>
        <v/>
      </c>
      <c r="H3074" s="15"/>
      <c r="I3074" s="16"/>
      <c r="J3074" s="16"/>
      <c r="K3074" s="17" t="str">
        <f>IF(J3074="","",ROUND(J3074*Settings!$B$8,2))</f>
        <v/>
      </c>
      <c r="L3074" s="16"/>
      <c r="M3074" s="8" t="str">
        <f t="shared" si="47"/>
        <v/>
      </c>
      <c r="N3074" s="9"/>
    </row>
    <row r="3075" spans="1:14" ht="15.75">
      <c r="A3075" s="11"/>
      <c r="B3075" s="9"/>
      <c r="C3075" s="12" t="str">
        <f>IF(B3075="","",IFERROR(INDEX('Cashier Roster'!$C$5:$C$64,MATCH(B3075,'Cashier Roster'!$B$5:$B$64,0)),"Not on roster"))</f>
        <v/>
      </c>
      <c r="D3075" s="12" t="str">
        <f>IF(B3075="","",IFERROR(INDEX('Cashier Roster'!$D$5:$D$64,MATCH(B3075,'Cashier Roster'!$B$5:$B$64,0)),""))</f>
        <v/>
      </c>
      <c r="E3075" s="13"/>
      <c r="F3075" s="14"/>
      <c r="G3075" s="8" t="str">
        <f>IF(OR(B3075="",E3075=""),"",IF(E3075="No","Missed",IF(F3075="","",IF(F3075&lt;=Settings!$B$7,"On time","Late"))))</f>
        <v/>
      </c>
      <c r="H3075" s="15"/>
      <c r="I3075" s="16"/>
      <c r="J3075" s="16"/>
      <c r="K3075" s="17" t="str">
        <f>IF(J3075="","",ROUND(J3075*Settings!$B$8,2))</f>
        <v/>
      </c>
      <c r="L3075" s="16"/>
      <c r="M3075" s="8" t="str">
        <f t="shared" si="47"/>
        <v/>
      </c>
      <c r="N3075" s="9"/>
    </row>
    <row r="3076" spans="1:14" ht="15.75">
      <c r="A3076" s="11"/>
      <c r="B3076" s="9"/>
      <c r="C3076" s="12" t="str">
        <f>IF(B3076="","",IFERROR(INDEX('Cashier Roster'!$C$5:$C$64,MATCH(B3076,'Cashier Roster'!$B$5:$B$64,0)),"Not on roster"))</f>
        <v/>
      </c>
      <c r="D3076" s="12" t="str">
        <f>IF(B3076="","",IFERROR(INDEX('Cashier Roster'!$D$5:$D$64,MATCH(B3076,'Cashier Roster'!$B$5:$B$64,0)),""))</f>
        <v/>
      </c>
      <c r="E3076" s="13"/>
      <c r="F3076" s="14"/>
      <c r="G3076" s="8" t="str">
        <f>IF(OR(B3076="",E3076=""),"",IF(E3076="No","Missed",IF(F3076="","",IF(F3076&lt;=Settings!$B$7,"On time","Late"))))</f>
        <v/>
      </c>
      <c r="H3076" s="15"/>
      <c r="I3076" s="16"/>
      <c r="J3076" s="16"/>
      <c r="K3076" s="17" t="str">
        <f>IF(J3076="","",ROUND(J3076*Settings!$B$8,2))</f>
        <v/>
      </c>
      <c r="L3076" s="16"/>
      <c r="M3076" s="8" t="str">
        <f t="shared" si="47"/>
        <v/>
      </c>
      <c r="N3076" s="9"/>
    </row>
    <row r="3077" spans="1:14" ht="15.75">
      <c r="A3077" s="11"/>
      <c r="B3077" s="9"/>
      <c r="C3077" s="12" t="str">
        <f>IF(B3077="","",IFERROR(INDEX('Cashier Roster'!$C$5:$C$64,MATCH(B3077,'Cashier Roster'!$B$5:$B$64,0)),"Not on roster"))</f>
        <v/>
      </c>
      <c r="D3077" s="12" t="str">
        <f>IF(B3077="","",IFERROR(INDEX('Cashier Roster'!$D$5:$D$64,MATCH(B3077,'Cashier Roster'!$B$5:$B$64,0)),""))</f>
        <v/>
      </c>
      <c r="E3077" s="13"/>
      <c r="F3077" s="14"/>
      <c r="G3077" s="8" t="str">
        <f>IF(OR(B3077="",E3077=""),"",IF(E3077="No","Missed",IF(F3077="","",IF(F3077&lt;=Settings!$B$7,"On time","Late"))))</f>
        <v/>
      </c>
      <c r="H3077" s="15"/>
      <c r="I3077" s="16"/>
      <c r="J3077" s="16"/>
      <c r="K3077" s="17" t="str">
        <f>IF(J3077="","",ROUND(J3077*Settings!$B$8,2))</f>
        <v/>
      </c>
      <c r="L3077" s="16"/>
      <c r="M3077" s="8" t="str">
        <f t="shared" ref="M3077:M3140" si="48">IF(L3077="","",IF(L3077&lt;=0,"Yes","No"))</f>
        <v/>
      </c>
      <c r="N3077" s="9"/>
    </row>
    <row r="3078" spans="1:14" ht="15.75">
      <c r="A3078" s="11"/>
      <c r="B3078" s="9"/>
      <c r="C3078" s="12" t="str">
        <f>IF(B3078="","",IFERROR(INDEX('Cashier Roster'!$C$5:$C$64,MATCH(B3078,'Cashier Roster'!$B$5:$B$64,0)),"Not on roster"))</f>
        <v/>
      </c>
      <c r="D3078" s="12" t="str">
        <f>IF(B3078="","",IFERROR(INDEX('Cashier Roster'!$D$5:$D$64,MATCH(B3078,'Cashier Roster'!$B$5:$B$64,0)),""))</f>
        <v/>
      </c>
      <c r="E3078" s="13"/>
      <c r="F3078" s="14"/>
      <c r="G3078" s="8" t="str">
        <f>IF(OR(B3078="",E3078=""),"",IF(E3078="No","Missed",IF(F3078="","",IF(F3078&lt;=Settings!$B$7,"On time","Late"))))</f>
        <v/>
      </c>
      <c r="H3078" s="15"/>
      <c r="I3078" s="16"/>
      <c r="J3078" s="16"/>
      <c r="K3078" s="17" t="str">
        <f>IF(J3078="","",ROUND(J3078*Settings!$B$8,2))</f>
        <v/>
      </c>
      <c r="L3078" s="16"/>
      <c r="M3078" s="8" t="str">
        <f t="shared" si="48"/>
        <v/>
      </c>
      <c r="N3078" s="9"/>
    </row>
    <row r="3079" spans="1:14" ht="15.75">
      <c r="A3079" s="11"/>
      <c r="B3079" s="9"/>
      <c r="C3079" s="12" t="str">
        <f>IF(B3079="","",IFERROR(INDEX('Cashier Roster'!$C$5:$C$64,MATCH(B3079,'Cashier Roster'!$B$5:$B$64,0)),"Not on roster"))</f>
        <v/>
      </c>
      <c r="D3079" s="12" t="str">
        <f>IF(B3079="","",IFERROR(INDEX('Cashier Roster'!$D$5:$D$64,MATCH(B3079,'Cashier Roster'!$B$5:$B$64,0)),""))</f>
        <v/>
      </c>
      <c r="E3079" s="13"/>
      <c r="F3079" s="14"/>
      <c r="G3079" s="8" t="str">
        <f>IF(OR(B3079="",E3079=""),"",IF(E3079="No","Missed",IF(F3079="","",IF(F3079&lt;=Settings!$B$7,"On time","Late"))))</f>
        <v/>
      </c>
      <c r="H3079" s="15"/>
      <c r="I3079" s="16"/>
      <c r="J3079" s="16"/>
      <c r="K3079" s="17" t="str">
        <f>IF(J3079="","",ROUND(J3079*Settings!$B$8,2))</f>
        <v/>
      </c>
      <c r="L3079" s="16"/>
      <c r="M3079" s="8" t="str">
        <f t="shared" si="48"/>
        <v/>
      </c>
      <c r="N3079" s="9"/>
    </row>
    <row r="3080" spans="1:14" ht="15.75">
      <c r="A3080" s="11"/>
      <c r="B3080" s="9"/>
      <c r="C3080" s="12" t="str">
        <f>IF(B3080="","",IFERROR(INDEX('Cashier Roster'!$C$5:$C$64,MATCH(B3080,'Cashier Roster'!$B$5:$B$64,0)),"Not on roster"))</f>
        <v/>
      </c>
      <c r="D3080" s="12" t="str">
        <f>IF(B3080="","",IFERROR(INDEX('Cashier Roster'!$D$5:$D$64,MATCH(B3080,'Cashier Roster'!$B$5:$B$64,0)),""))</f>
        <v/>
      </c>
      <c r="E3080" s="13"/>
      <c r="F3080" s="14"/>
      <c r="G3080" s="8" t="str">
        <f>IF(OR(B3080="",E3080=""),"",IF(E3080="No","Missed",IF(F3080="","",IF(F3080&lt;=Settings!$B$7,"On time","Late"))))</f>
        <v/>
      </c>
      <c r="H3080" s="15"/>
      <c r="I3080" s="16"/>
      <c r="J3080" s="16"/>
      <c r="K3080" s="17" t="str">
        <f>IF(J3080="","",ROUND(J3080*Settings!$B$8,2))</f>
        <v/>
      </c>
      <c r="L3080" s="16"/>
      <c r="M3080" s="8" t="str">
        <f t="shared" si="48"/>
        <v/>
      </c>
      <c r="N3080" s="9"/>
    </row>
    <row r="3081" spans="1:14" ht="15.75">
      <c r="A3081" s="11"/>
      <c r="B3081" s="9"/>
      <c r="C3081" s="12" t="str">
        <f>IF(B3081="","",IFERROR(INDEX('Cashier Roster'!$C$5:$C$64,MATCH(B3081,'Cashier Roster'!$B$5:$B$64,0)),"Not on roster"))</f>
        <v/>
      </c>
      <c r="D3081" s="12" t="str">
        <f>IF(B3081="","",IFERROR(INDEX('Cashier Roster'!$D$5:$D$64,MATCH(B3081,'Cashier Roster'!$B$5:$B$64,0)),""))</f>
        <v/>
      </c>
      <c r="E3081" s="13"/>
      <c r="F3081" s="14"/>
      <c r="G3081" s="8" t="str">
        <f>IF(OR(B3081="",E3081=""),"",IF(E3081="No","Missed",IF(F3081="","",IF(F3081&lt;=Settings!$B$7,"On time","Late"))))</f>
        <v/>
      </c>
      <c r="H3081" s="15"/>
      <c r="I3081" s="16"/>
      <c r="J3081" s="16"/>
      <c r="K3081" s="17" t="str">
        <f>IF(J3081="","",ROUND(J3081*Settings!$B$8,2))</f>
        <v/>
      </c>
      <c r="L3081" s="16"/>
      <c r="M3081" s="8" t="str">
        <f t="shared" si="48"/>
        <v/>
      </c>
      <c r="N3081" s="9"/>
    </row>
    <row r="3082" spans="1:14" ht="15.75">
      <c r="A3082" s="11"/>
      <c r="B3082" s="9"/>
      <c r="C3082" s="12" t="str">
        <f>IF(B3082="","",IFERROR(INDEX('Cashier Roster'!$C$5:$C$64,MATCH(B3082,'Cashier Roster'!$B$5:$B$64,0)),"Not on roster"))</f>
        <v/>
      </c>
      <c r="D3082" s="12" t="str">
        <f>IF(B3082="","",IFERROR(INDEX('Cashier Roster'!$D$5:$D$64,MATCH(B3082,'Cashier Roster'!$B$5:$B$64,0)),""))</f>
        <v/>
      </c>
      <c r="E3082" s="13"/>
      <c r="F3082" s="14"/>
      <c r="G3082" s="8" t="str">
        <f>IF(OR(B3082="",E3082=""),"",IF(E3082="No","Missed",IF(F3082="","",IF(F3082&lt;=Settings!$B$7,"On time","Late"))))</f>
        <v/>
      </c>
      <c r="H3082" s="15"/>
      <c r="I3082" s="16"/>
      <c r="J3082" s="16"/>
      <c r="K3082" s="17" t="str">
        <f>IF(J3082="","",ROUND(J3082*Settings!$B$8,2))</f>
        <v/>
      </c>
      <c r="L3082" s="16"/>
      <c r="M3082" s="8" t="str">
        <f t="shared" si="48"/>
        <v/>
      </c>
      <c r="N3082" s="9"/>
    </row>
    <row r="3083" spans="1:14" ht="15.75">
      <c r="A3083" s="11"/>
      <c r="B3083" s="9"/>
      <c r="C3083" s="12" t="str">
        <f>IF(B3083="","",IFERROR(INDEX('Cashier Roster'!$C$5:$C$64,MATCH(B3083,'Cashier Roster'!$B$5:$B$64,0)),"Not on roster"))</f>
        <v/>
      </c>
      <c r="D3083" s="12" t="str">
        <f>IF(B3083="","",IFERROR(INDEX('Cashier Roster'!$D$5:$D$64,MATCH(B3083,'Cashier Roster'!$B$5:$B$64,0)),""))</f>
        <v/>
      </c>
      <c r="E3083" s="13"/>
      <c r="F3083" s="14"/>
      <c r="G3083" s="8" t="str">
        <f>IF(OR(B3083="",E3083=""),"",IF(E3083="No","Missed",IF(F3083="","",IF(F3083&lt;=Settings!$B$7,"On time","Late"))))</f>
        <v/>
      </c>
      <c r="H3083" s="15"/>
      <c r="I3083" s="16"/>
      <c r="J3083" s="16"/>
      <c r="K3083" s="17" t="str">
        <f>IF(J3083="","",ROUND(J3083*Settings!$B$8,2))</f>
        <v/>
      </c>
      <c r="L3083" s="16"/>
      <c r="M3083" s="8" t="str">
        <f t="shared" si="48"/>
        <v/>
      </c>
      <c r="N3083" s="9"/>
    </row>
    <row r="3084" spans="1:14" ht="15.75">
      <c r="A3084" s="11"/>
      <c r="B3084" s="9"/>
      <c r="C3084" s="12" t="str">
        <f>IF(B3084="","",IFERROR(INDEX('Cashier Roster'!$C$5:$C$64,MATCH(B3084,'Cashier Roster'!$B$5:$B$64,0)),"Not on roster"))</f>
        <v/>
      </c>
      <c r="D3084" s="12" t="str">
        <f>IF(B3084="","",IFERROR(INDEX('Cashier Roster'!$D$5:$D$64,MATCH(B3084,'Cashier Roster'!$B$5:$B$64,0)),""))</f>
        <v/>
      </c>
      <c r="E3084" s="13"/>
      <c r="F3084" s="14"/>
      <c r="G3084" s="8" t="str">
        <f>IF(OR(B3084="",E3084=""),"",IF(E3084="No","Missed",IF(F3084="","",IF(F3084&lt;=Settings!$B$7,"On time","Late"))))</f>
        <v/>
      </c>
      <c r="H3084" s="15"/>
      <c r="I3084" s="16"/>
      <c r="J3084" s="16"/>
      <c r="K3084" s="17" t="str">
        <f>IF(J3084="","",ROUND(J3084*Settings!$B$8,2))</f>
        <v/>
      </c>
      <c r="L3084" s="16"/>
      <c r="M3084" s="8" t="str">
        <f t="shared" si="48"/>
        <v/>
      </c>
      <c r="N3084" s="9"/>
    </row>
    <row r="3085" spans="1:14" ht="15.75">
      <c r="A3085" s="11"/>
      <c r="B3085" s="9"/>
      <c r="C3085" s="12" t="str">
        <f>IF(B3085="","",IFERROR(INDEX('Cashier Roster'!$C$5:$C$64,MATCH(B3085,'Cashier Roster'!$B$5:$B$64,0)),"Not on roster"))</f>
        <v/>
      </c>
      <c r="D3085" s="12" t="str">
        <f>IF(B3085="","",IFERROR(INDEX('Cashier Roster'!$D$5:$D$64,MATCH(B3085,'Cashier Roster'!$B$5:$B$64,0)),""))</f>
        <v/>
      </c>
      <c r="E3085" s="13"/>
      <c r="F3085" s="14"/>
      <c r="G3085" s="8" t="str">
        <f>IF(OR(B3085="",E3085=""),"",IF(E3085="No","Missed",IF(F3085="","",IF(F3085&lt;=Settings!$B$7,"On time","Late"))))</f>
        <v/>
      </c>
      <c r="H3085" s="15"/>
      <c r="I3085" s="16"/>
      <c r="J3085" s="16"/>
      <c r="K3085" s="17" t="str">
        <f>IF(J3085="","",ROUND(J3085*Settings!$B$8,2))</f>
        <v/>
      </c>
      <c r="L3085" s="16"/>
      <c r="M3085" s="8" t="str">
        <f t="shared" si="48"/>
        <v/>
      </c>
      <c r="N3085" s="9"/>
    </row>
    <row r="3086" spans="1:14" ht="15.75">
      <c r="A3086" s="11"/>
      <c r="B3086" s="9"/>
      <c r="C3086" s="12" t="str">
        <f>IF(B3086="","",IFERROR(INDEX('Cashier Roster'!$C$5:$C$64,MATCH(B3086,'Cashier Roster'!$B$5:$B$64,0)),"Not on roster"))</f>
        <v/>
      </c>
      <c r="D3086" s="12" t="str">
        <f>IF(B3086="","",IFERROR(INDEX('Cashier Roster'!$D$5:$D$64,MATCH(B3086,'Cashier Roster'!$B$5:$B$64,0)),""))</f>
        <v/>
      </c>
      <c r="E3086" s="13"/>
      <c r="F3086" s="14"/>
      <c r="G3086" s="8" t="str">
        <f>IF(OR(B3086="",E3086=""),"",IF(E3086="No","Missed",IF(F3086="","",IF(F3086&lt;=Settings!$B$7,"On time","Late"))))</f>
        <v/>
      </c>
      <c r="H3086" s="15"/>
      <c r="I3086" s="16"/>
      <c r="J3086" s="16"/>
      <c r="K3086" s="17" t="str">
        <f>IF(J3086="","",ROUND(J3086*Settings!$B$8,2))</f>
        <v/>
      </c>
      <c r="L3086" s="16"/>
      <c r="M3086" s="8" t="str">
        <f t="shared" si="48"/>
        <v/>
      </c>
      <c r="N3086" s="9"/>
    </row>
    <row r="3087" spans="1:14" ht="15.75">
      <c r="A3087" s="11"/>
      <c r="B3087" s="9"/>
      <c r="C3087" s="12" t="str">
        <f>IF(B3087="","",IFERROR(INDEX('Cashier Roster'!$C$5:$C$64,MATCH(B3087,'Cashier Roster'!$B$5:$B$64,0)),"Not on roster"))</f>
        <v/>
      </c>
      <c r="D3087" s="12" t="str">
        <f>IF(B3087="","",IFERROR(INDEX('Cashier Roster'!$D$5:$D$64,MATCH(B3087,'Cashier Roster'!$B$5:$B$64,0)),""))</f>
        <v/>
      </c>
      <c r="E3087" s="13"/>
      <c r="F3087" s="14"/>
      <c r="G3087" s="8" t="str">
        <f>IF(OR(B3087="",E3087=""),"",IF(E3087="No","Missed",IF(F3087="","",IF(F3087&lt;=Settings!$B$7,"On time","Late"))))</f>
        <v/>
      </c>
      <c r="H3087" s="15"/>
      <c r="I3087" s="16"/>
      <c r="J3087" s="16"/>
      <c r="K3087" s="17" t="str">
        <f>IF(J3087="","",ROUND(J3087*Settings!$B$8,2))</f>
        <v/>
      </c>
      <c r="L3087" s="16"/>
      <c r="M3087" s="8" t="str">
        <f t="shared" si="48"/>
        <v/>
      </c>
      <c r="N3087" s="9"/>
    </row>
    <row r="3088" spans="1:14" ht="15.75">
      <c r="A3088" s="11"/>
      <c r="B3088" s="9"/>
      <c r="C3088" s="12" t="str">
        <f>IF(B3088="","",IFERROR(INDEX('Cashier Roster'!$C$5:$C$64,MATCH(B3088,'Cashier Roster'!$B$5:$B$64,0)),"Not on roster"))</f>
        <v/>
      </c>
      <c r="D3088" s="12" t="str">
        <f>IF(B3088="","",IFERROR(INDEX('Cashier Roster'!$D$5:$D$64,MATCH(B3088,'Cashier Roster'!$B$5:$B$64,0)),""))</f>
        <v/>
      </c>
      <c r="E3088" s="13"/>
      <c r="F3088" s="14"/>
      <c r="G3088" s="8" t="str">
        <f>IF(OR(B3088="",E3088=""),"",IF(E3088="No","Missed",IF(F3088="","",IF(F3088&lt;=Settings!$B$7,"On time","Late"))))</f>
        <v/>
      </c>
      <c r="H3088" s="15"/>
      <c r="I3088" s="16"/>
      <c r="J3088" s="16"/>
      <c r="K3088" s="17" t="str">
        <f>IF(J3088="","",ROUND(J3088*Settings!$B$8,2))</f>
        <v/>
      </c>
      <c r="L3088" s="16"/>
      <c r="M3088" s="8" t="str">
        <f t="shared" si="48"/>
        <v/>
      </c>
      <c r="N3088" s="9"/>
    </row>
    <row r="3089" spans="1:14" ht="15.75">
      <c r="A3089" s="11"/>
      <c r="B3089" s="9"/>
      <c r="C3089" s="12" t="str">
        <f>IF(B3089="","",IFERROR(INDEX('Cashier Roster'!$C$5:$C$64,MATCH(B3089,'Cashier Roster'!$B$5:$B$64,0)),"Not on roster"))</f>
        <v/>
      </c>
      <c r="D3089" s="12" t="str">
        <f>IF(B3089="","",IFERROR(INDEX('Cashier Roster'!$D$5:$D$64,MATCH(B3089,'Cashier Roster'!$B$5:$B$64,0)),""))</f>
        <v/>
      </c>
      <c r="E3089" s="13"/>
      <c r="F3089" s="14"/>
      <c r="G3089" s="8" t="str">
        <f>IF(OR(B3089="",E3089=""),"",IF(E3089="No","Missed",IF(F3089="","",IF(F3089&lt;=Settings!$B$7,"On time","Late"))))</f>
        <v/>
      </c>
      <c r="H3089" s="15"/>
      <c r="I3089" s="16"/>
      <c r="J3089" s="16"/>
      <c r="K3089" s="17" t="str">
        <f>IF(J3089="","",ROUND(J3089*Settings!$B$8,2))</f>
        <v/>
      </c>
      <c r="L3089" s="16"/>
      <c r="M3089" s="8" t="str">
        <f t="shared" si="48"/>
        <v/>
      </c>
      <c r="N3089" s="9"/>
    </row>
    <row r="3090" spans="1:14" ht="15.75">
      <c r="A3090" s="11"/>
      <c r="B3090" s="9"/>
      <c r="C3090" s="12" t="str">
        <f>IF(B3090="","",IFERROR(INDEX('Cashier Roster'!$C$5:$C$64,MATCH(B3090,'Cashier Roster'!$B$5:$B$64,0)),"Not on roster"))</f>
        <v/>
      </c>
      <c r="D3090" s="12" t="str">
        <f>IF(B3090="","",IFERROR(INDEX('Cashier Roster'!$D$5:$D$64,MATCH(B3090,'Cashier Roster'!$B$5:$B$64,0)),""))</f>
        <v/>
      </c>
      <c r="E3090" s="13"/>
      <c r="F3090" s="14"/>
      <c r="G3090" s="8" t="str">
        <f>IF(OR(B3090="",E3090=""),"",IF(E3090="No","Missed",IF(F3090="","",IF(F3090&lt;=Settings!$B$7,"On time","Late"))))</f>
        <v/>
      </c>
      <c r="H3090" s="15"/>
      <c r="I3090" s="16"/>
      <c r="J3090" s="16"/>
      <c r="K3090" s="17" t="str">
        <f>IF(J3090="","",ROUND(J3090*Settings!$B$8,2))</f>
        <v/>
      </c>
      <c r="L3090" s="16"/>
      <c r="M3090" s="8" t="str">
        <f t="shared" si="48"/>
        <v/>
      </c>
      <c r="N3090" s="9"/>
    </row>
    <row r="3091" spans="1:14" ht="15.75">
      <c r="A3091" s="11"/>
      <c r="B3091" s="9"/>
      <c r="C3091" s="12" t="str">
        <f>IF(B3091="","",IFERROR(INDEX('Cashier Roster'!$C$5:$C$64,MATCH(B3091,'Cashier Roster'!$B$5:$B$64,0)),"Not on roster"))</f>
        <v/>
      </c>
      <c r="D3091" s="12" t="str">
        <f>IF(B3091="","",IFERROR(INDEX('Cashier Roster'!$D$5:$D$64,MATCH(B3091,'Cashier Roster'!$B$5:$B$64,0)),""))</f>
        <v/>
      </c>
      <c r="E3091" s="13"/>
      <c r="F3091" s="14"/>
      <c r="G3091" s="8" t="str">
        <f>IF(OR(B3091="",E3091=""),"",IF(E3091="No","Missed",IF(F3091="","",IF(F3091&lt;=Settings!$B$7,"On time","Late"))))</f>
        <v/>
      </c>
      <c r="H3091" s="15"/>
      <c r="I3091" s="16"/>
      <c r="J3091" s="16"/>
      <c r="K3091" s="17" t="str">
        <f>IF(J3091="","",ROUND(J3091*Settings!$B$8,2))</f>
        <v/>
      </c>
      <c r="L3091" s="16"/>
      <c r="M3091" s="8" t="str">
        <f t="shared" si="48"/>
        <v/>
      </c>
      <c r="N3091" s="9"/>
    </row>
    <row r="3092" spans="1:14" ht="15.75">
      <c r="A3092" s="11"/>
      <c r="B3092" s="9"/>
      <c r="C3092" s="12" t="str">
        <f>IF(B3092="","",IFERROR(INDEX('Cashier Roster'!$C$5:$C$64,MATCH(B3092,'Cashier Roster'!$B$5:$B$64,0)),"Not on roster"))</f>
        <v/>
      </c>
      <c r="D3092" s="12" t="str">
        <f>IF(B3092="","",IFERROR(INDEX('Cashier Roster'!$D$5:$D$64,MATCH(B3092,'Cashier Roster'!$B$5:$B$64,0)),""))</f>
        <v/>
      </c>
      <c r="E3092" s="13"/>
      <c r="F3092" s="14"/>
      <c r="G3092" s="8" t="str">
        <f>IF(OR(B3092="",E3092=""),"",IF(E3092="No","Missed",IF(F3092="","",IF(F3092&lt;=Settings!$B$7,"On time","Late"))))</f>
        <v/>
      </c>
      <c r="H3092" s="15"/>
      <c r="I3092" s="16"/>
      <c r="J3092" s="16"/>
      <c r="K3092" s="17" t="str">
        <f>IF(J3092="","",ROUND(J3092*Settings!$B$8,2))</f>
        <v/>
      </c>
      <c r="L3092" s="16"/>
      <c r="M3092" s="8" t="str">
        <f t="shared" si="48"/>
        <v/>
      </c>
      <c r="N3092" s="9"/>
    </row>
    <row r="3093" spans="1:14" ht="15.75">
      <c r="A3093" s="11"/>
      <c r="B3093" s="9"/>
      <c r="C3093" s="12" t="str">
        <f>IF(B3093="","",IFERROR(INDEX('Cashier Roster'!$C$5:$C$64,MATCH(B3093,'Cashier Roster'!$B$5:$B$64,0)),"Not on roster"))</f>
        <v/>
      </c>
      <c r="D3093" s="12" t="str">
        <f>IF(B3093="","",IFERROR(INDEX('Cashier Roster'!$D$5:$D$64,MATCH(B3093,'Cashier Roster'!$B$5:$B$64,0)),""))</f>
        <v/>
      </c>
      <c r="E3093" s="13"/>
      <c r="F3093" s="14"/>
      <c r="G3093" s="8" t="str">
        <f>IF(OR(B3093="",E3093=""),"",IF(E3093="No","Missed",IF(F3093="","",IF(F3093&lt;=Settings!$B$7,"On time","Late"))))</f>
        <v/>
      </c>
      <c r="H3093" s="15"/>
      <c r="I3093" s="16"/>
      <c r="J3093" s="16"/>
      <c r="K3093" s="17" t="str">
        <f>IF(J3093="","",ROUND(J3093*Settings!$B$8,2))</f>
        <v/>
      </c>
      <c r="L3093" s="16"/>
      <c r="M3093" s="8" t="str">
        <f t="shared" si="48"/>
        <v/>
      </c>
      <c r="N3093" s="9"/>
    </row>
    <row r="3094" spans="1:14" ht="15.75">
      <c r="A3094" s="11"/>
      <c r="B3094" s="9"/>
      <c r="C3094" s="12" t="str">
        <f>IF(B3094="","",IFERROR(INDEX('Cashier Roster'!$C$5:$C$64,MATCH(B3094,'Cashier Roster'!$B$5:$B$64,0)),"Not on roster"))</f>
        <v/>
      </c>
      <c r="D3094" s="12" t="str">
        <f>IF(B3094="","",IFERROR(INDEX('Cashier Roster'!$D$5:$D$64,MATCH(B3094,'Cashier Roster'!$B$5:$B$64,0)),""))</f>
        <v/>
      </c>
      <c r="E3094" s="13"/>
      <c r="F3094" s="14"/>
      <c r="G3094" s="8" t="str">
        <f>IF(OR(B3094="",E3094=""),"",IF(E3094="No","Missed",IF(F3094="","",IF(F3094&lt;=Settings!$B$7,"On time","Late"))))</f>
        <v/>
      </c>
      <c r="H3094" s="15"/>
      <c r="I3094" s="16"/>
      <c r="J3094" s="16"/>
      <c r="K3094" s="17" t="str">
        <f>IF(J3094="","",ROUND(J3094*Settings!$B$8,2))</f>
        <v/>
      </c>
      <c r="L3094" s="16"/>
      <c r="M3094" s="8" t="str">
        <f t="shared" si="48"/>
        <v/>
      </c>
      <c r="N3094" s="9"/>
    </row>
    <row r="3095" spans="1:14" ht="15.75">
      <c r="A3095" s="11"/>
      <c r="B3095" s="9"/>
      <c r="C3095" s="12" t="str">
        <f>IF(B3095="","",IFERROR(INDEX('Cashier Roster'!$C$5:$C$64,MATCH(B3095,'Cashier Roster'!$B$5:$B$64,0)),"Not on roster"))</f>
        <v/>
      </c>
      <c r="D3095" s="12" t="str">
        <f>IF(B3095="","",IFERROR(INDEX('Cashier Roster'!$D$5:$D$64,MATCH(B3095,'Cashier Roster'!$B$5:$B$64,0)),""))</f>
        <v/>
      </c>
      <c r="E3095" s="13"/>
      <c r="F3095" s="14"/>
      <c r="G3095" s="8" t="str">
        <f>IF(OR(B3095="",E3095=""),"",IF(E3095="No","Missed",IF(F3095="","",IF(F3095&lt;=Settings!$B$7,"On time","Late"))))</f>
        <v/>
      </c>
      <c r="H3095" s="15"/>
      <c r="I3095" s="16"/>
      <c r="J3095" s="16"/>
      <c r="K3095" s="17" t="str">
        <f>IF(J3095="","",ROUND(J3095*Settings!$B$8,2))</f>
        <v/>
      </c>
      <c r="L3095" s="16"/>
      <c r="M3095" s="8" t="str">
        <f t="shared" si="48"/>
        <v/>
      </c>
      <c r="N3095" s="9"/>
    </row>
    <row r="3096" spans="1:14" ht="15.75">
      <c r="A3096" s="11"/>
      <c r="B3096" s="9"/>
      <c r="C3096" s="12" t="str">
        <f>IF(B3096="","",IFERROR(INDEX('Cashier Roster'!$C$5:$C$64,MATCH(B3096,'Cashier Roster'!$B$5:$B$64,0)),"Not on roster"))</f>
        <v/>
      </c>
      <c r="D3096" s="12" t="str">
        <f>IF(B3096="","",IFERROR(INDEX('Cashier Roster'!$D$5:$D$64,MATCH(B3096,'Cashier Roster'!$B$5:$B$64,0)),""))</f>
        <v/>
      </c>
      <c r="E3096" s="13"/>
      <c r="F3096" s="14"/>
      <c r="G3096" s="8" t="str">
        <f>IF(OR(B3096="",E3096=""),"",IF(E3096="No","Missed",IF(F3096="","",IF(F3096&lt;=Settings!$B$7,"On time","Late"))))</f>
        <v/>
      </c>
      <c r="H3096" s="15"/>
      <c r="I3096" s="16"/>
      <c r="J3096" s="16"/>
      <c r="K3096" s="17" t="str">
        <f>IF(J3096="","",ROUND(J3096*Settings!$B$8,2))</f>
        <v/>
      </c>
      <c r="L3096" s="16"/>
      <c r="M3096" s="8" t="str">
        <f t="shared" si="48"/>
        <v/>
      </c>
      <c r="N3096" s="9"/>
    </row>
    <row r="3097" spans="1:14" ht="15.75">
      <c r="A3097" s="11"/>
      <c r="B3097" s="9"/>
      <c r="C3097" s="12" t="str">
        <f>IF(B3097="","",IFERROR(INDEX('Cashier Roster'!$C$5:$C$64,MATCH(B3097,'Cashier Roster'!$B$5:$B$64,0)),"Not on roster"))</f>
        <v/>
      </c>
      <c r="D3097" s="12" t="str">
        <f>IF(B3097="","",IFERROR(INDEX('Cashier Roster'!$D$5:$D$64,MATCH(B3097,'Cashier Roster'!$B$5:$B$64,0)),""))</f>
        <v/>
      </c>
      <c r="E3097" s="13"/>
      <c r="F3097" s="14"/>
      <c r="G3097" s="8" t="str">
        <f>IF(OR(B3097="",E3097=""),"",IF(E3097="No","Missed",IF(F3097="","",IF(F3097&lt;=Settings!$B$7,"On time","Late"))))</f>
        <v/>
      </c>
      <c r="H3097" s="15"/>
      <c r="I3097" s="16"/>
      <c r="J3097" s="16"/>
      <c r="K3097" s="17" t="str">
        <f>IF(J3097="","",ROUND(J3097*Settings!$B$8,2))</f>
        <v/>
      </c>
      <c r="L3097" s="16"/>
      <c r="M3097" s="8" t="str">
        <f t="shared" si="48"/>
        <v/>
      </c>
      <c r="N3097" s="9"/>
    </row>
    <row r="3098" spans="1:14" ht="15.75">
      <c r="A3098" s="11"/>
      <c r="B3098" s="9"/>
      <c r="C3098" s="12" t="str">
        <f>IF(B3098="","",IFERROR(INDEX('Cashier Roster'!$C$5:$C$64,MATCH(B3098,'Cashier Roster'!$B$5:$B$64,0)),"Not on roster"))</f>
        <v/>
      </c>
      <c r="D3098" s="12" t="str">
        <f>IF(B3098="","",IFERROR(INDEX('Cashier Roster'!$D$5:$D$64,MATCH(B3098,'Cashier Roster'!$B$5:$B$64,0)),""))</f>
        <v/>
      </c>
      <c r="E3098" s="13"/>
      <c r="F3098" s="14"/>
      <c r="G3098" s="8" t="str">
        <f>IF(OR(B3098="",E3098=""),"",IF(E3098="No","Missed",IF(F3098="","",IF(F3098&lt;=Settings!$B$7,"On time","Late"))))</f>
        <v/>
      </c>
      <c r="H3098" s="15"/>
      <c r="I3098" s="16"/>
      <c r="J3098" s="16"/>
      <c r="K3098" s="17" t="str">
        <f>IF(J3098="","",ROUND(J3098*Settings!$B$8,2))</f>
        <v/>
      </c>
      <c r="L3098" s="16"/>
      <c r="M3098" s="8" t="str">
        <f t="shared" si="48"/>
        <v/>
      </c>
      <c r="N3098" s="9"/>
    </row>
    <row r="3099" spans="1:14" ht="15.75">
      <c r="A3099" s="11"/>
      <c r="B3099" s="9"/>
      <c r="C3099" s="12" t="str">
        <f>IF(B3099="","",IFERROR(INDEX('Cashier Roster'!$C$5:$C$64,MATCH(B3099,'Cashier Roster'!$B$5:$B$64,0)),"Not on roster"))</f>
        <v/>
      </c>
      <c r="D3099" s="12" t="str">
        <f>IF(B3099="","",IFERROR(INDEX('Cashier Roster'!$D$5:$D$64,MATCH(B3099,'Cashier Roster'!$B$5:$B$64,0)),""))</f>
        <v/>
      </c>
      <c r="E3099" s="13"/>
      <c r="F3099" s="14"/>
      <c r="G3099" s="8" t="str">
        <f>IF(OR(B3099="",E3099=""),"",IF(E3099="No","Missed",IF(F3099="","",IF(F3099&lt;=Settings!$B$7,"On time","Late"))))</f>
        <v/>
      </c>
      <c r="H3099" s="15"/>
      <c r="I3099" s="16"/>
      <c r="J3099" s="16"/>
      <c r="K3099" s="17" t="str">
        <f>IF(J3099="","",ROUND(J3099*Settings!$B$8,2))</f>
        <v/>
      </c>
      <c r="L3099" s="16"/>
      <c r="M3099" s="8" t="str">
        <f t="shared" si="48"/>
        <v/>
      </c>
      <c r="N3099" s="9"/>
    </row>
    <row r="3100" spans="1:14" ht="15.75">
      <c r="A3100" s="11"/>
      <c r="B3100" s="9"/>
      <c r="C3100" s="12" t="str">
        <f>IF(B3100="","",IFERROR(INDEX('Cashier Roster'!$C$5:$C$64,MATCH(B3100,'Cashier Roster'!$B$5:$B$64,0)),"Not on roster"))</f>
        <v/>
      </c>
      <c r="D3100" s="12" t="str">
        <f>IF(B3100="","",IFERROR(INDEX('Cashier Roster'!$D$5:$D$64,MATCH(B3100,'Cashier Roster'!$B$5:$B$64,0)),""))</f>
        <v/>
      </c>
      <c r="E3100" s="13"/>
      <c r="F3100" s="14"/>
      <c r="G3100" s="8" t="str">
        <f>IF(OR(B3100="",E3100=""),"",IF(E3100="No","Missed",IF(F3100="","",IF(F3100&lt;=Settings!$B$7,"On time","Late"))))</f>
        <v/>
      </c>
      <c r="H3100" s="15"/>
      <c r="I3100" s="16"/>
      <c r="J3100" s="16"/>
      <c r="K3100" s="17" t="str">
        <f>IF(J3100="","",ROUND(J3100*Settings!$B$8,2))</f>
        <v/>
      </c>
      <c r="L3100" s="16"/>
      <c r="M3100" s="8" t="str">
        <f t="shared" si="48"/>
        <v/>
      </c>
      <c r="N3100" s="9"/>
    </row>
    <row r="3101" spans="1:14" ht="15.75">
      <c r="A3101" s="11"/>
      <c r="B3101" s="9"/>
      <c r="C3101" s="12" t="str">
        <f>IF(B3101="","",IFERROR(INDEX('Cashier Roster'!$C$5:$C$64,MATCH(B3101,'Cashier Roster'!$B$5:$B$64,0)),"Not on roster"))</f>
        <v/>
      </c>
      <c r="D3101" s="12" t="str">
        <f>IF(B3101="","",IFERROR(INDEX('Cashier Roster'!$D$5:$D$64,MATCH(B3101,'Cashier Roster'!$B$5:$B$64,0)),""))</f>
        <v/>
      </c>
      <c r="E3101" s="13"/>
      <c r="F3101" s="14"/>
      <c r="G3101" s="8" t="str">
        <f>IF(OR(B3101="",E3101=""),"",IF(E3101="No","Missed",IF(F3101="","",IF(F3101&lt;=Settings!$B$7,"On time","Late"))))</f>
        <v/>
      </c>
      <c r="H3101" s="15"/>
      <c r="I3101" s="16"/>
      <c r="J3101" s="16"/>
      <c r="K3101" s="17" t="str">
        <f>IF(J3101="","",ROUND(J3101*Settings!$B$8,2))</f>
        <v/>
      </c>
      <c r="L3101" s="16"/>
      <c r="M3101" s="8" t="str">
        <f t="shared" si="48"/>
        <v/>
      </c>
      <c r="N3101" s="9"/>
    </row>
    <row r="3102" spans="1:14" ht="15.75">
      <c r="A3102" s="11"/>
      <c r="B3102" s="9"/>
      <c r="C3102" s="12" t="str">
        <f>IF(B3102="","",IFERROR(INDEX('Cashier Roster'!$C$5:$C$64,MATCH(B3102,'Cashier Roster'!$B$5:$B$64,0)),"Not on roster"))</f>
        <v/>
      </c>
      <c r="D3102" s="12" t="str">
        <f>IF(B3102="","",IFERROR(INDEX('Cashier Roster'!$D$5:$D$64,MATCH(B3102,'Cashier Roster'!$B$5:$B$64,0)),""))</f>
        <v/>
      </c>
      <c r="E3102" s="13"/>
      <c r="F3102" s="14"/>
      <c r="G3102" s="8" t="str">
        <f>IF(OR(B3102="",E3102=""),"",IF(E3102="No","Missed",IF(F3102="","",IF(F3102&lt;=Settings!$B$7,"On time","Late"))))</f>
        <v/>
      </c>
      <c r="H3102" s="15"/>
      <c r="I3102" s="16"/>
      <c r="J3102" s="16"/>
      <c r="K3102" s="17" t="str">
        <f>IF(J3102="","",ROUND(J3102*Settings!$B$8,2))</f>
        <v/>
      </c>
      <c r="L3102" s="16"/>
      <c r="M3102" s="8" t="str">
        <f t="shared" si="48"/>
        <v/>
      </c>
      <c r="N3102" s="9"/>
    </row>
    <row r="3103" spans="1:14" ht="15.75">
      <c r="A3103" s="11"/>
      <c r="B3103" s="9"/>
      <c r="C3103" s="12" t="str">
        <f>IF(B3103="","",IFERROR(INDEX('Cashier Roster'!$C$5:$C$64,MATCH(B3103,'Cashier Roster'!$B$5:$B$64,0)),"Not on roster"))</f>
        <v/>
      </c>
      <c r="D3103" s="12" t="str">
        <f>IF(B3103="","",IFERROR(INDEX('Cashier Roster'!$D$5:$D$64,MATCH(B3103,'Cashier Roster'!$B$5:$B$64,0)),""))</f>
        <v/>
      </c>
      <c r="E3103" s="13"/>
      <c r="F3103" s="14"/>
      <c r="G3103" s="8" t="str">
        <f>IF(OR(B3103="",E3103=""),"",IF(E3103="No","Missed",IF(F3103="","",IF(F3103&lt;=Settings!$B$7,"On time","Late"))))</f>
        <v/>
      </c>
      <c r="H3103" s="15"/>
      <c r="I3103" s="16"/>
      <c r="J3103" s="16"/>
      <c r="K3103" s="17" t="str">
        <f>IF(J3103="","",ROUND(J3103*Settings!$B$8,2))</f>
        <v/>
      </c>
      <c r="L3103" s="16"/>
      <c r="M3103" s="8" t="str">
        <f t="shared" si="48"/>
        <v/>
      </c>
      <c r="N3103" s="9"/>
    </row>
    <row r="3104" spans="1:14" ht="15.75">
      <c r="A3104" s="11"/>
      <c r="B3104" s="9"/>
      <c r="C3104" s="12" t="str">
        <f>IF(B3104="","",IFERROR(INDEX('Cashier Roster'!$C$5:$C$64,MATCH(B3104,'Cashier Roster'!$B$5:$B$64,0)),"Not on roster"))</f>
        <v/>
      </c>
      <c r="D3104" s="12" t="str">
        <f>IF(B3104="","",IFERROR(INDEX('Cashier Roster'!$D$5:$D$64,MATCH(B3104,'Cashier Roster'!$B$5:$B$64,0)),""))</f>
        <v/>
      </c>
      <c r="E3104" s="13"/>
      <c r="F3104" s="14"/>
      <c r="G3104" s="8" t="str">
        <f>IF(OR(B3104="",E3104=""),"",IF(E3104="No","Missed",IF(F3104="","",IF(F3104&lt;=Settings!$B$7,"On time","Late"))))</f>
        <v/>
      </c>
      <c r="H3104" s="15"/>
      <c r="I3104" s="16"/>
      <c r="J3104" s="16"/>
      <c r="K3104" s="17" t="str">
        <f>IF(J3104="","",ROUND(J3104*Settings!$B$8,2))</f>
        <v/>
      </c>
      <c r="L3104" s="16"/>
      <c r="M3104" s="8" t="str">
        <f t="shared" si="48"/>
        <v/>
      </c>
      <c r="N3104" s="9"/>
    </row>
    <row r="3105" spans="1:14" ht="15.75">
      <c r="A3105" s="11"/>
      <c r="B3105" s="9"/>
      <c r="C3105" s="12" t="str">
        <f>IF(B3105="","",IFERROR(INDEX('Cashier Roster'!$C$5:$C$64,MATCH(B3105,'Cashier Roster'!$B$5:$B$64,0)),"Not on roster"))</f>
        <v/>
      </c>
      <c r="D3105" s="12" t="str">
        <f>IF(B3105="","",IFERROR(INDEX('Cashier Roster'!$D$5:$D$64,MATCH(B3105,'Cashier Roster'!$B$5:$B$64,0)),""))</f>
        <v/>
      </c>
      <c r="E3105" s="13"/>
      <c r="F3105" s="14"/>
      <c r="G3105" s="8" t="str">
        <f>IF(OR(B3105="",E3105=""),"",IF(E3105="No","Missed",IF(F3105="","",IF(F3105&lt;=Settings!$B$7,"On time","Late"))))</f>
        <v/>
      </c>
      <c r="H3105" s="15"/>
      <c r="I3105" s="16"/>
      <c r="J3105" s="16"/>
      <c r="K3105" s="17" t="str">
        <f>IF(J3105="","",ROUND(J3105*Settings!$B$8,2))</f>
        <v/>
      </c>
      <c r="L3105" s="16"/>
      <c r="M3105" s="8" t="str">
        <f t="shared" si="48"/>
        <v/>
      </c>
      <c r="N3105" s="9"/>
    </row>
    <row r="3106" spans="1:14" ht="15.75">
      <c r="A3106" s="11"/>
      <c r="B3106" s="9"/>
      <c r="C3106" s="12" t="str">
        <f>IF(B3106="","",IFERROR(INDEX('Cashier Roster'!$C$5:$C$64,MATCH(B3106,'Cashier Roster'!$B$5:$B$64,0)),"Not on roster"))</f>
        <v/>
      </c>
      <c r="D3106" s="12" t="str">
        <f>IF(B3106="","",IFERROR(INDEX('Cashier Roster'!$D$5:$D$64,MATCH(B3106,'Cashier Roster'!$B$5:$B$64,0)),""))</f>
        <v/>
      </c>
      <c r="E3106" s="13"/>
      <c r="F3106" s="14"/>
      <c r="G3106" s="8" t="str">
        <f>IF(OR(B3106="",E3106=""),"",IF(E3106="No","Missed",IF(F3106="","",IF(F3106&lt;=Settings!$B$7,"On time","Late"))))</f>
        <v/>
      </c>
      <c r="H3106" s="15"/>
      <c r="I3106" s="16"/>
      <c r="J3106" s="16"/>
      <c r="K3106" s="17" t="str">
        <f>IF(J3106="","",ROUND(J3106*Settings!$B$8,2))</f>
        <v/>
      </c>
      <c r="L3106" s="16"/>
      <c r="M3106" s="8" t="str">
        <f t="shared" si="48"/>
        <v/>
      </c>
      <c r="N3106" s="9"/>
    </row>
    <row r="3107" spans="1:14" ht="15.75">
      <c r="A3107" s="11"/>
      <c r="B3107" s="9"/>
      <c r="C3107" s="12" t="str">
        <f>IF(B3107="","",IFERROR(INDEX('Cashier Roster'!$C$5:$C$64,MATCH(B3107,'Cashier Roster'!$B$5:$B$64,0)),"Not on roster"))</f>
        <v/>
      </c>
      <c r="D3107" s="12" t="str">
        <f>IF(B3107="","",IFERROR(INDEX('Cashier Roster'!$D$5:$D$64,MATCH(B3107,'Cashier Roster'!$B$5:$B$64,0)),""))</f>
        <v/>
      </c>
      <c r="E3107" s="13"/>
      <c r="F3107" s="14"/>
      <c r="G3107" s="8" t="str">
        <f>IF(OR(B3107="",E3107=""),"",IF(E3107="No","Missed",IF(F3107="","",IF(F3107&lt;=Settings!$B$7,"On time","Late"))))</f>
        <v/>
      </c>
      <c r="H3107" s="15"/>
      <c r="I3107" s="16"/>
      <c r="J3107" s="16"/>
      <c r="K3107" s="17" t="str">
        <f>IF(J3107="","",ROUND(J3107*Settings!$B$8,2))</f>
        <v/>
      </c>
      <c r="L3107" s="16"/>
      <c r="M3107" s="8" t="str">
        <f t="shared" si="48"/>
        <v/>
      </c>
      <c r="N3107" s="9"/>
    </row>
    <row r="3108" spans="1:14" ht="15.75">
      <c r="A3108" s="11"/>
      <c r="B3108" s="9"/>
      <c r="C3108" s="12" t="str">
        <f>IF(B3108="","",IFERROR(INDEX('Cashier Roster'!$C$5:$C$64,MATCH(B3108,'Cashier Roster'!$B$5:$B$64,0)),"Not on roster"))</f>
        <v/>
      </c>
      <c r="D3108" s="12" t="str">
        <f>IF(B3108="","",IFERROR(INDEX('Cashier Roster'!$D$5:$D$64,MATCH(B3108,'Cashier Roster'!$B$5:$B$64,0)),""))</f>
        <v/>
      </c>
      <c r="E3108" s="13"/>
      <c r="F3108" s="14"/>
      <c r="G3108" s="8" t="str">
        <f>IF(OR(B3108="",E3108=""),"",IF(E3108="No","Missed",IF(F3108="","",IF(F3108&lt;=Settings!$B$7,"On time","Late"))))</f>
        <v/>
      </c>
      <c r="H3108" s="15"/>
      <c r="I3108" s="16"/>
      <c r="J3108" s="16"/>
      <c r="K3108" s="17" t="str">
        <f>IF(J3108="","",ROUND(J3108*Settings!$B$8,2))</f>
        <v/>
      </c>
      <c r="L3108" s="16"/>
      <c r="M3108" s="8" t="str">
        <f t="shared" si="48"/>
        <v/>
      </c>
      <c r="N3108" s="9"/>
    </row>
    <row r="3109" spans="1:14" ht="15.75">
      <c r="A3109" s="11"/>
      <c r="B3109" s="9"/>
      <c r="C3109" s="12" t="str">
        <f>IF(B3109="","",IFERROR(INDEX('Cashier Roster'!$C$5:$C$64,MATCH(B3109,'Cashier Roster'!$B$5:$B$64,0)),"Not on roster"))</f>
        <v/>
      </c>
      <c r="D3109" s="12" t="str">
        <f>IF(B3109="","",IFERROR(INDEX('Cashier Roster'!$D$5:$D$64,MATCH(B3109,'Cashier Roster'!$B$5:$B$64,0)),""))</f>
        <v/>
      </c>
      <c r="E3109" s="13"/>
      <c r="F3109" s="14"/>
      <c r="G3109" s="8" t="str">
        <f>IF(OR(B3109="",E3109=""),"",IF(E3109="No","Missed",IF(F3109="","",IF(F3109&lt;=Settings!$B$7,"On time","Late"))))</f>
        <v/>
      </c>
      <c r="H3109" s="15"/>
      <c r="I3109" s="16"/>
      <c r="J3109" s="16"/>
      <c r="K3109" s="17" t="str">
        <f>IF(J3109="","",ROUND(J3109*Settings!$B$8,2))</f>
        <v/>
      </c>
      <c r="L3109" s="16"/>
      <c r="M3109" s="8" t="str">
        <f t="shared" si="48"/>
        <v/>
      </c>
      <c r="N3109" s="9"/>
    </row>
    <row r="3110" spans="1:14" ht="15.75">
      <c r="A3110" s="11"/>
      <c r="B3110" s="9"/>
      <c r="C3110" s="12" t="str">
        <f>IF(B3110="","",IFERROR(INDEX('Cashier Roster'!$C$5:$C$64,MATCH(B3110,'Cashier Roster'!$B$5:$B$64,0)),"Not on roster"))</f>
        <v/>
      </c>
      <c r="D3110" s="12" t="str">
        <f>IF(B3110="","",IFERROR(INDEX('Cashier Roster'!$D$5:$D$64,MATCH(B3110,'Cashier Roster'!$B$5:$B$64,0)),""))</f>
        <v/>
      </c>
      <c r="E3110" s="13"/>
      <c r="F3110" s="14"/>
      <c r="G3110" s="8" t="str">
        <f>IF(OR(B3110="",E3110=""),"",IF(E3110="No","Missed",IF(F3110="","",IF(F3110&lt;=Settings!$B$7,"On time","Late"))))</f>
        <v/>
      </c>
      <c r="H3110" s="15"/>
      <c r="I3110" s="16"/>
      <c r="J3110" s="16"/>
      <c r="K3110" s="17" t="str">
        <f>IF(J3110="","",ROUND(J3110*Settings!$B$8,2))</f>
        <v/>
      </c>
      <c r="L3110" s="16"/>
      <c r="M3110" s="8" t="str">
        <f t="shared" si="48"/>
        <v/>
      </c>
      <c r="N3110" s="9"/>
    </row>
    <row r="3111" spans="1:14" ht="15.75">
      <c r="A3111" s="11"/>
      <c r="B3111" s="9"/>
      <c r="C3111" s="12" t="str">
        <f>IF(B3111="","",IFERROR(INDEX('Cashier Roster'!$C$5:$C$64,MATCH(B3111,'Cashier Roster'!$B$5:$B$64,0)),"Not on roster"))</f>
        <v/>
      </c>
      <c r="D3111" s="12" t="str">
        <f>IF(B3111="","",IFERROR(INDEX('Cashier Roster'!$D$5:$D$64,MATCH(B3111,'Cashier Roster'!$B$5:$B$64,0)),""))</f>
        <v/>
      </c>
      <c r="E3111" s="13"/>
      <c r="F3111" s="14"/>
      <c r="G3111" s="8" t="str">
        <f>IF(OR(B3111="",E3111=""),"",IF(E3111="No","Missed",IF(F3111="","",IF(F3111&lt;=Settings!$B$7,"On time","Late"))))</f>
        <v/>
      </c>
      <c r="H3111" s="15"/>
      <c r="I3111" s="16"/>
      <c r="J3111" s="16"/>
      <c r="K3111" s="17" t="str">
        <f>IF(J3111="","",ROUND(J3111*Settings!$B$8,2))</f>
        <v/>
      </c>
      <c r="L3111" s="16"/>
      <c r="M3111" s="8" t="str">
        <f t="shared" si="48"/>
        <v/>
      </c>
      <c r="N3111" s="9"/>
    </row>
    <row r="3112" spans="1:14" ht="15.75">
      <c r="A3112" s="11"/>
      <c r="B3112" s="9"/>
      <c r="C3112" s="12" t="str">
        <f>IF(B3112="","",IFERROR(INDEX('Cashier Roster'!$C$5:$C$64,MATCH(B3112,'Cashier Roster'!$B$5:$B$64,0)),"Not on roster"))</f>
        <v/>
      </c>
      <c r="D3112" s="12" t="str">
        <f>IF(B3112="","",IFERROR(INDEX('Cashier Roster'!$D$5:$D$64,MATCH(B3112,'Cashier Roster'!$B$5:$B$64,0)),""))</f>
        <v/>
      </c>
      <c r="E3112" s="13"/>
      <c r="F3112" s="14"/>
      <c r="G3112" s="8" t="str">
        <f>IF(OR(B3112="",E3112=""),"",IF(E3112="No","Missed",IF(F3112="","",IF(F3112&lt;=Settings!$B$7,"On time","Late"))))</f>
        <v/>
      </c>
      <c r="H3112" s="15"/>
      <c r="I3112" s="16"/>
      <c r="J3112" s="16"/>
      <c r="K3112" s="17" t="str">
        <f>IF(J3112="","",ROUND(J3112*Settings!$B$8,2))</f>
        <v/>
      </c>
      <c r="L3112" s="16"/>
      <c r="M3112" s="8" t="str">
        <f t="shared" si="48"/>
        <v/>
      </c>
      <c r="N3112" s="9"/>
    </row>
    <row r="3113" spans="1:14" ht="15.75">
      <c r="A3113" s="11"/>
      <c r="B3113" s="9"/>
      <c r="C3113" s="12" t="str">
        <f>IF(B3113="","",IFERROR(INDEX('Cashier Roster'!$C$5:$C$64,MATCH(B3113,'Cashier Roster'!$B$5:$B$64,0)),"Not on roster"))</f>
        <v/>
      </c>
      <c r="D3113" s="12" t="str">
        <f>IF(B3113="","",IFERROR(INDEX('Cashier Roster'!$D$5:$D$64,MATCH(B3113,'Cashier Roster'!$B$5:$B$64,0)),""))</f>
        <v/>
      </c>
      <c r="E3113" s="13"/>
      <c r="F3113" s="14"/>
      <c r="G3113" s="8" t="str">
        <f>IF(OR(B3113="",E3113=""),"",IF(E3113="No","Missed",IF(F3113="","",IF(F3113&lt;=Settings!$B$7,"On time","Late"))))</f>
        <v/>
      </c>
      <c r="H3113" s="15"/>
      <c r="I3113" s="16"/>
      <c r="J3113" s="16"/>
      <c r="K3113" s="17" t="str">
        <f>IF(J3113="","",ROUND(J3113*Settings!$B$8,2))</f>
        <v/>
      </c>
      <c r="L3113" s="16"/>
      <c r="M3113" s="8" t="str">
        <f t="shared" si="48"/>
        <v/>
      </c>
      <c r="N3113" s="9"/>
    </row>
    <row r="3114" spans="1:14" ht="15.75">
      <c r="A3114" s="11"/>
      <c r="B3114" s="9"/>
      <c r="C3114" s="12" t="str">
        <f>IF(B3114="","",IFERROR(INDEX('Cashier Roster'!$C$5:$C$64,MATCH(B3114,'Cashier Roster'!$B$5:$B$64,0)),"Not on roster"))</f>
        <v/>
      </c>
      <c r="D3114" s="12" t="str">
        <f>IF(B3114="","",IFERROR(INDEX('Cashier Roster'!$D$5:$D$64,MATCH(B3114,'Cashier Roster'!$B$5:$B$64,0)),""))</f>
        <v/>
      </c>
      <c r="E3114" s="13"/>
      <c r="F3114" s="14"/>
      <c r="G3114" s="8" t="str">
        <f>IF(OR(B3114="",E3114=""),"",IF(E3114="No","Missed",IF(F3114="","",IF(F3114&lt;=Settings!$B$7,"On time","Late"))))</f>
        <v/>
      </c>
      <c r="H3114" s="15"/>
      <c r="I3114" s="16"/>
      <c r="J3114" s="16"/>
      <c r="K3114" s="17" t="str">
        <f>IF(J3114="","",ROUND(J3114*Settings!$B$8,2))</f>
        <v/>
      </c>
      <c r="L3114" s="16"/>
      <c r="M3114" s="8" t="str">
        <f t="shared" si="48"/>
        <v/>
      </c>
      <c r="N3114" s="9"/>
    </row>
    <row r="3115" spans="1:14" ht="15.75">
      <c r="A3115" s="11"/>
      <c r="B3115" s="9"/>
      <c r="C3115" s="12" t="str">
        <f>IF(B3115="","",IFERROR(INDEX('Cashier Roster'!$C$5:$C$64,MATCH(B3115,'Cashier Roster'!$B$5:$B$64,0)),"Not on roster"))</f>
        <v/>
      </c>
      <c r="D3115" s="12" t="str">
        <f>IF(B3115="","",IFERROR(INDEX('Cashier Roster'!$D$5:$D$64,MATCH(B3115,'Cashier Roster'!$B$5:$B$64,0)),""))</f>
        <v/>
      </c>
      <c r="E3115" s="13"/>
      <c r="F3115" s="14"/>
      <c r="G3115" s="8" t="str">
        <f>IF(OR(B3115="",E3115=""),"",IF(E3115="No","Missed",IF(F3115="","",IF(F3115&lt;=Settings!$B$7,"On time","Late"))))</f>
        <v/>
      </c>
      <c r="H3115" s="15"/>
      <c r="I3115" s="16"/>
      <c r="J3115" s="16"/>
      <c r="K3115" s="17" t="str">
        <f>IF(J3115="","",ROUND(J3115*Settings!$B$8,2))</f>
        <v/>
      </c>
      <c r="L3115" s="16"/>
      <c r="M3115" s="8" t="str">
        <f t="shared" si="48"/>
        <v/>
      </c>
      <c r="N3115" s="9"/>
    </row>
    <row r="3116" spans="1:14" ht="15.75">
      <c r="A3116" s="11"/>
      <c r="B3116" s="9"/>
      <c r="C3116" s="12" t="str">
        <f>IF(B3116="","",IFERROR(INDEX('Cashier Roster'!$C$5:$C$64,MATCH(B3116,'Cashier Roster'!$B$5:$B$64,0)),"Not on roster"))</f>
        <v/>
      </c>
      <c r="D3116" s="12" t="str">
        <f>IF(B3116="","",IFERROR(INDEX('Cashier Roster'!$D$5:$D$64,MATCH(B3116,'Cashier Roster'!$B$5:$B$64,0)),""))</f>
        <v/>
      </c>
      <c r="E3116" s="13"/>
      <c r="F3116" s="14"/>
      <c r="G3116" s="8" t="str">
        <f>IF(OR(B3116="",E3116=""),"",IF(E3116="No","Missed",IF(F3116="","",IF(F3116&lt;=Settings!$B$7,"On time","Late"))))</f>
        <v/>
      </c>
      <c r="H3116" s="15"/>
      <c r="I3116" s="16"/>
      <c r="J3116" s="16"/>
      <c r="K3116" s="17" t="str">
        <f>IF(J3116="","",ROUND(J3116*Settings!$B$8,2))</f>
        <v/>
      </c>
      <c r="L3116" s="16"/>
      <c r="M3116" s="8" t="str">
        <f t="shared" si="48"/>
        <v/>
      </c>
      <c r="N3116" s="9"/>
    </row>
    <row r="3117" spans="1:14" ht="15.75">
      <c r="A3117" s="11"/>
      <c r="B3117" s="9"/>
      <c r="C3117" s="12" t="str">
        <f>IF(B3117="","",IFERROR(INDEX('Cashier Roster'!$C$5:$C$64,MATCH(B3117,'Cashier Roster'!$B$5:$B$64,0)),"Not on roster"))</f>
        <v/>
      </c>
      <c r="D3117" s="12" t="str">
        <f>IF(B3117="","",IFERROR(INDEX('Cashier Roster'!$D$5:$D$64,MATCH(B3117,'Cashier Roster'!$B$5:$B$64,0)),""))</f>
        <v/>
      </c>
      <c r="E3117" s="13"/>
      <c r="F3117" s="14"/>
      <c r="G3117" s="8" t="str">
        <f>IF(OR(B3117="",E3117=""),"",IF(E3117="No","Missed",IF(F3117="","",IF(F3117&lt;=Settings!$B$7,"On time","Late"))))</f>
        <v/>
      </c>
      <c r="H3117" s="15"/>
      <c r="I3117" s="16"/>
      <c r="J3117" s="16"/>
      <c r="K3117" s="17" t="str">
        <f>IF(J3117="","",ROUND(J3117*Settings!$B$8,2))</f>
        <v/>
      </c>
      <c r="L3117" s="16"/>
      <c r="M3117" s="8" t="str">
        <f t="shared" si="48"/>
        <v/>
      </c>
      <c r="N3117" s="9"/>
    </row>
    <row r="3118" spans="1:14" ht="15.75">
      <c r="A3118" s="11"/>
      <c r="B3118" s="9"/>
      <c r="C3118" s="12" t="str">
        <f>IF(B3118="","",IFERROR(INDEX('Cashier Roster'!$C$5:$C$64,MATCH(B3118,'Cashier Roster'!$B$5:$B$64,0)),"Not on roster"))</f>
        <v/>
      </c>
      <c r="D3118" s="12" t="str">
        <f>IF(B3118="","",IFERROR(INDEX('Cashier Roster'!$D$5:$D$64,MATCH(B3118,'Cashier Roster'!$B$5:$B$64,0)),""))</f>
        <v/>
      </c>
      <c r="E3118" s="13"/>
      <c r="F3118" s="14"/>
      <c r="G3118" s="8" t="str">
        <f>IF(OR(B3118="",E3118=""),"",IF(E3118="No","Missed",IF(F3118="","",IF(F3118&lt;=Settings!$B$7,"On time","Late"))))</f>
        <v/>
      </c>
      <c r="H3118" s="15"/>
      <c r="I3118" s="16"/>
      <c r="J3118" s="16"/>
      <c r="K3118" s="17" t="str">
        <f>IF(J3118="","",ROUND(J3118*Settings!$B$8,2))</f>
        <v/>
      </c>
      <c r="L3118" s="16"/>
      <c r="M3118" s="8" t="str">
        <f t="shared" si="48"/>
        <v/>
      </c>
      <c r="N3118" s="9"/>
    </row>
    <row r="3119" spans="1:14" ht="15.75">
      <c r="A3119" s="11"/>
      <c r="B3119" s="9"/>
      <c r="C3119" s="12" t="str">
        <f>IF(B3119="","",IFERROR(INDEX('Cashier Roster'!$C$5:$C$64,MATCH(B3119,'Cashier Roster'!$B$5:$B$64,0)),"Not on roster"))</f>
        <v/>
      </c>
      <c r="D3119" s="12" t="str">
        <f>IF(B3119="","",IFERROR(INDEX('Cashier Roster'!$D$5:$D$64,MATCH(B3119,'Cashier Roster'!$B$5:$B$64,0)),""))</f>
        <v/>
      </c>
      <c r="E3119" s="13"/>
      <c r="F3119" s="14"/>
      <c r="G3119" s="8" t="str">
        <f>IF(OR(B3119="",E3119=""),"",IF(E3119="No","Missed",IF(F3119="","",IF(F3119&lt;=Settings!$B$7,"On time","Late"))))</f>
        <v/>
      </c>
      <c r="H3119" s="15"/>
      <c r="I3119" s="16"/>
      <c r="J3119" s="16"/>
      <c r="K3119" s="17" t="str">
        <f>IF(J3119="","",ROUND(J3119*Settings!$B$8,2))</f>
        <v/>
      </c>
      <c r="L3119" s="16"/>
      <c r="M3119" s="8" t="str">
        <f t="shared" si="48"/>
        <v/>
      </c>
      <c r="N3119" s="9"/>
    </row>
    <row r="3120" spans="1:14" ht="15.75">
      <c r="A3120" s="11"/>
      <c r="B3120" s="9"/>
      <c r="C3120" s="12" t="str">
        <f>IF(B3120="","",IFERROR(INDEX('Cashier Roster'!$C$5:$C$64,MATCH(B3120,'Cashier Roster'!$B$5:$B$64,0)),"Not on roster"))</f>
        <v/>
      </c>
      <c r="D3120" s="12" t="str">
        <f>IF(B3120="","",IFERROR(INDEX('Cashier Roster'!$D$5:$D$64,MATCH(B3120,'Cashier Roster'!$B$5:$B$64,0)),""))</f>
        <v/>
      </c>
      <c r="E3120" s="13"/>
      <c r="F3120" s="14"/>
      <c r="G3120" s="8" t="str">
        <f>IF(OR(B3120="",E3120=""),"",IF(E3120="No","Missed",IF(F3120="","",IF(F3120&lt;=Settings!$B$7,"On time","Late"))))</f>
        <v/>
      </c>
      <c r="H3120" s="15"/>
      <c r="I3120" s="16"/>
      <c r="J3120" s="16"/>
      <c r="K3120" s="17" t="str">
        <f>IF(J3120="","",ROUND(J3120*Settings!$B$8,2))</f>
        <v/>
      </c>
      <c r="L3120" s="16"/>
      <c r="M3120" s="8" t="str">
        <f t="shared" si="48"/>
        <v/>
      </c>
      <c r="N3120" s="9"/>
    </row>
    <row r="3121" spans="1:14" ht="15.75">
      <c r="A3121" s="11"/>
      <c r="B3121" s="9"/>
      <c r="C3121" s="12" t="str">
        <f>IF(B3121="","",IFERROR(INDEX('Cashier Roster'!$C$5:$C$64,MATCH(B3121,'Cashier Roster'!$B$5:$B$64,0)),"Not on roster"))</f>
        <v/>
      </c>
      <c r="D3121" s="12" t="str">
        <f>IF(B3121="","",IFERROR(INDEX('Cashier Roster'!$D$5:$D$64,MATCH(B3121,'Cashier Roster'!$B$5:$B$64,0)),""))</f>
        <v/>
      </c>
      <c r="E3121" s="13"/>
      <c r="F3121" s="14"/>
      <c r="G3121" s="8" t="str">
        <f>IF(OR(B3121="",E3121=""),"",IF(E3121="No","Missed",IF(F3121="","",IF(F3121&lt;=Settings!$B$7,"On time","Late"))))</f>
        <v/>
      </c>
      <c r="H3121" s="15"/>
      <c r="I3121" s="16"/>
      <c r="J3121" s="16"/>
      <c r="K3121" s="17" t="str">
        <f>IF(J3121="","",ROUND(J3121*Settings!$B$8,2))</f>
        <v/>
      </c>
      <c r="L3121" s="16"/>
      <c r="M3121" s="8" t="str">
        <f t="shared" si="48"/>
        <v/>
      </c>
      <c r="N3121" s="9"/>
    </row>
    <row r="3122" spans="1:14" ht="15.75">
      <c r="A3122" s="11"/>
      <c r="B3122" s="9"/>
      <c r="C3122" s="12" t="str">
        <f>IF(B3122="","",IFERROR(INDEX('Cashier Roster'!$C$5:$C$64,MATCH(B3122,'Cashier Roster'!$B$5:$B$64,0)),"Not on roster"))</f>
        <v/>
      </c>
      <c r="D3122" s="12" t="str">
        <f>IF(B3122="","",IFERROR(INDEX('Cashier Roster'!$D$5:$D$64,MATCH(B3122,'Cashier Roster'!$B$5:$B$64,0)),""))</f>
        <v/>
      </c>
      <c r="E3122" s="13"/>
      <c r="F3122" s="14"/>
      <c r="G3122" s="8" t="str">
        <f>IF(OR(B3122="",E3122=""),"",IF(E3122="No","Missed",IF(F3122="","",IF(F3122&lt;=Settings!$B$7,"On time","Late"))))</f>
        <v/>
      </c>
      <c r="H3122" s="15"/>
      <c r="I3122" s="16"/>
      <c r="J3122" s="16"/>
      <c r="K3122" s="17" t="str">
        <f>IF(J3122="","",ROUND(J3122*Settings!$B$8,2))</f>
        <v/>
      </c>
      <c r="L3122" s="16"/>
      <c r="M3122" s="8" t="str">
        <f t="shared" si="48"/>
        <v/>
      </c>
      <c r="N3122" s="9"/>
    </row>
    <row r="3123" spans="1:14" ht="15.75">
      <c r="A3123" s="11"/>
      <c r="B3123" s="9"/>
      <c r="C3123" s="12" t="str">
        <f>IF(B3123="","",IFERROR(INDEX('Cashier Roster'!$C$5:$C$64,MATCH(B3123,'Cashier Roster'!$B$5:$B$64,0)),"Not on roster"))</f>
        <v/>
      </c>
      <c r="D3123" s="12" t="str">
        <f>IF(B3123="","",IFERROR(INDEX('Cashier Roster'!$D$5:$D$64,MATCH(B3123,'Cashier Roster'!$B$5:$B$64,0)),""))</f>
        <v/>
      </c>
      <c r="E3123" s="13"/>
      <c r="F3123" s="14"/>
      <c r="G3123" s="8" t="str">
        <f>IF(OR(B3123="",E3123=""),"",IF(E3123="No","Missed",IF(F3123="","",IF(F3123&lt;=Settings!$B$7,"On time","Late"))))</f>
        <v/>
      </c>
      <c r="H3123" s="15"/>
      <c r="I3123" s="16"/>
      <c r="J3123" s="16"/>
      <c r="K3123" s="17" t="str">
        <f>IF(J3123="","",ROUND(J3123*Settings!$B$8,2))</f>
        <v/>
      </c>
      <c r="L3123" s="16"/>
      <c r="M3123" s="8" t="str">
        <f t="shared" si="48"/>
        <v/>
      </c>
      <c r="N3123" s="9"/>
    </row>
    <row r="3124" spans="1:14" ht="15.75">
      <c r="A3124" s="11"/>
      <c r="B3124" s="9"/>
      <c r="C3124" s="12" t="str">
        <f>IF(B3124="","",IFERROR(INDEX('Cashier Roster'!$C$5:$C$64,MATCH(B3124,'Cashier Roster'!$B$5:$B$64,0)),"Not on roster"))</f>
        <v/>
      </c>
      <c r="D3124" s="12" t="str">
        <f>IF(B3124="","",IFERROR(INDEX('Cashier Roster'!$D$5:$D$64,MATCH(B3124,'Cashier Roster'!$B$5:$B$64,0)),""))</f>
        <v/>
      </c>
      <c r="E3124" s="13"/>
      <c r="F3124" s="14"/>
      <c r="G3124" s="8" t="str">
        <f>IF(OR(B3124="",E3124=""),"",IF(E3124="No","Missed",IF(F3124="","",IF(F3124&lt;=Settings!$B$7,"On time","Late"))))</f>
        <v/>
      </c>
      <c r="H3124" s="15"/>
      <c r="I3124" s="16"/>
      <c r="J3124" s="16"/>
      <c r="K3124" s="17" t="str">
        <f>IF(J3124="","",ROUND(J3124*Settings!$B$8,2))</f>
        <v/>
      </c>
      <c r="L3124" s="16"/>
      <c r="M3124" s="8" t="str">
        <f t="shared" si="48"/>
        <v/>
      </c>
      <c r="N3124" s="9"/>
    </row>
    <row r="3125" spans="1:14" ht="15.75">
      <c r="A3125" s="11"/>
      <c r="B3125" s="9"/>
      <c r="C3125" s="12" t="str">
        <f>IF(B3125="","",IFERROR(INDEX('Cashier Roster'!$C$5:$C$64,MATCH(B3125,'Cashier Roster'!$B$5:$B$64,0)),"Not on roster"))</f>
        <v/>
      </c>
      <c r="D3125" s="12" t="str">
        <f>IF(B3125="","",IFERROR(INDEX('Cashier Roster'!$D$5:$D$64,MATCH(B3125,'Cashier Roster'!$B$5:$B$64,0)),""))</f>
        <v/>
      </c>
      <c r="E3125" s="13"/>
      <c r="F3125" s="14"/>
      <c r="G3125" s="8" t="str">
        <f>IF(OR(B3125="",E3125=""),"",IF(E3125="No","Missed",IF(F3125="","",IF(F3125&lt;=Settings!$B$7,"On time","Late"))))</f>
        <v/>
      </c>
      <c r="H3125" s="15"/>
      <c r="I3125" s="16"/>
      <c r="J3125" s="16"/>
      <c r="K3125" s="17" t="str">
        <f>IF(J3125="","",ROUND(J3125*Settings!$B$8,2))</f>
        <v/>
      </c>
      <c r="L3125" s="16"/>
      <c r="M3125" s="8" t="str">
        <f t="shared" si="48"/>
        <v/>
      </c>
      <c r="N3125" s="9"/>
    </row>
    <row r="3126" spans="1:14" ht="15.75">
      <c r="A3126" s="11"/>
      <c r="B3126" s="9"/>
      <c r="C3126" s="12" t="str">
        <f>IF(B3126="","",IFERROR(INDEX('Cashier Roster'!$C$5:$C$64,MATCH(B3126,'Cashier Roster'!$B$5:$B$64,0)),"Not on roster"))</f>
        <v/>
      </c>
      <c r="D3126" s="12" t="str">
        <f>IF(B3126="","",IFERROR(INDEX('Cashier Roster'!$D$5:$D$64,MATCH(B3126,'Cashier Roster'!$B$5:$B$64,0)),""))</f>
        <v/>
      </c>
      <c r="E3126" s="13"/>
      <c r="F3126" s="14"/>
      <c r="G3126" s="8" t="str">
        <f>IF(OR(B3126="",E3126=""),"",IF(E3126="No","Missed",IF(F3126="","",IF(F3126&lt;=Settings!$B$7,"On time","Late"))))</f>
        <v/>
      </c>
      <c r="H3126" s="15"/>
      <c r="I3126" s="16"/>
      <c r="J3126" s="16"/>
      <c r="K3126" s="17" t="str">
        <f>IF(J3126="","",ROUND(J3126*Settings!$B$8,2))</f>
        <v/>
      </c>
      <c r="L3126" s="16"/>
      <c r="M3126" s="8" t="str">
        <f t="shared" si="48"/>
        <v/>
      </c>
      <c r="N3126" s="9"/>
    </row>
    <row r="3127" spans="1:14" ht="15.75">
      <c r="A3127" s="11"/>
      <c r="B3127" s="9"/>
      <c r="C3127" s="12" t="str">
        <f>IF(B3127="","",IFERROR(INDEX('Cashier Roster'!$C$5:$C$64,MATCH(B3127,'Cashier Roster'!$B$5:$B$64,0)),"Not on roster"))</f>
        <v/>
      </c>
      <c r="D3127" s="12" t="str">
        <f>IF(B3127="","",IFERROR(INDEX('Cashier Roster'!$D$5:$D$64,MATCH(B3127,'Cashier Roster'!$B$5:$B$64,0)),""))</f>
        <v/>
      </c>
      <c r="E3127" s="13"/>
      <c r="F3127" s="14"/>
      <c r="G3127" s="8" t="str">
        <f>IF(OR(B3127="",E3127=""),"",IF(E3127="No","Missed",IF(F3127="","",IF(F3127&lt;=Settings!$B$7,"On time","Late"))))</f>
        <v/>
      </c>
      <c r="H3127" s="15"/>
      <c r="I3127" s="16"/>
      <c r="J3127" s="16"/>
      <c r="K3127" s="17" t="str">
        <f>IF(J3127="","",ROUND(J3127*Settings!$B$8,2))</f>
        <v/>
      </c>
      <c r="L3127" s="16"/>
      <c r="M3127" s="8" t="str">
        <f t="shared" si="48"/>
        <v/>
      </c>
      <c r="N3127" s="9"/>
    </row>
    <row r="3128" spans="1:14" ht="15.75">
      <c r="A3128" s="11"/>
      <c r="B3128" s="9"/>
      <c r="C3128" s="12" t="str">
        <f>IF(B3128="","",IFERROR(INDEX('Cashier Roster'!$C$5:$C$64,MATCH(B3128,'Cashier Roster'!$B$5:$B$64,0)),"Not on roster"))</f>
        <v/>
      </c>
      <c r="D3128" s="12" t="str">
        <f>IF(B3128="","",IFERROR(INDEX('Cashier Roster'!$D$5:$D$64,MATCH(B3128,'Cashier Roster'!$B$5:$B$64,0)),""))</f>
        <v/>
      </c>
      <c r="E3128" s="13"/>
      <c r="F3128" s="14"/>
      <c r="G3128" s="8" t="str">
        <f>IF(OR(B3128="",E3128=""),"",IF(E3128="No","Missed",IF(F3128="","",IF(F3128&lt;=Settings!$B$7,"On time","Late"))))</f>
        <v/>
      </c>
      <c r="H3128" s="15"/>
      <c r="I3128" s="16"/>
      <c r="J3128" s="16"/>
      <c r="K3128" s="17" t="str">
        <f>IF(J3128="","",ROUND(J3128*Settings!$B$8,2))</f>
        <v/>
      </c>
      <c r="L3128" s="16"/>
      <c r="M3128" s="8" t="str">
        <f t="shared" si="48"/>
        <v/>
      </c>
      <c r="N3128" s="9"/>
    </row>
    <row r="3129" spans="1:14" ht="15.75">
      <c r="A3129" s="11"/>
      <c r="B3129" s="9"/>
      <c r="C3129" s="12" t="str">
        <f>IF(B3129="","",IFERROR(INDEX('Cashier Roster'!$C$5:$C$64,MATCH(B3129,'Cashier Roster'!$B$5:$B$64,0)),"Not on roster"))</f>
        <v/>
      </c>
      <c r="D3129" s="12" t="str">
        <f>IF(B3129="","",IFERROR(INDEX('Cashier Roster'!$D$5:$D$64,MATCH(B3129,'Cashier Roster'!$B$5:$B$64,0)),""))</f>
        <v/>
      </c>
      <c r="E3129" s="13"/>
      <c r="F3129" s="14"/>
      <c r="G3129" s="8" t="str">
        <f>IF(OR(B3129="",E3129=""),"",IF(E3129="No","Missed",IF(F3129="","",IF(F3129&lt;=Settings!$B$7,"On time","Late"))))</f>
        <v/>
      </c>
      <c r="H3129" s="15"/>
      <c r="I3129" s="16"/>
      <c r="J3129" s="16"/>
      <c r="K3129" s="17" t="str">
        <f>IF(J3129="","",ROUND(J3129*Settings!$B$8,2))</f>
        <v/>
      </c>
      <c r="L3129" s="16"/>
      <c r="M3129" s="8" t="str">
        <f t="shared" si="48"/>
        <v/>
      </c>
      <c r="N3129" s="9"/>
    </row>
    <row r="3130" spans="1:14" ht="15.75">
      <c r="A3130" s="11"/>
      <c r="B3130" s="9"/>
      <c r="C3130" s="12" t="str">
        <f>IF(B3130="","",IFERROR(INDEX('Cashier Roster'!$C$5:$C$64,MATCH(B3130,'Cashier Roster'!$B$5:$B$64,0)),"Not on roster"))</f>
        <v/>
      </c>
      <c r="D3130" s="12" t="str">
        <f>IF(B3130="","",IFERROR(INDEX('Cashier Roster'!$D$5:$D$64,MATCH(B3130,'Cashier Roster'!$B$5:$B$64,0)),""))</f>
        <v/>
      </c>
      <c r="E3130" s="13"/>
      <c r="F3130" s="14"/>
      <c r="G3130" s="8" t="str">
        <f>IF(OR(B3130="",E3130=""),"",IF(E3130="No","Missed",IF(F3130="","",IF(F3130&lt;=Settings!$B$7,"On time","Late"))))</f>
        <v/>
      </c>
      <c r="H3130" s="15"/>
      <c r="I3130" s="16"/>
      <c r="J3130" s="16"/>
      <c r="K3130" s="17" t="str">
        <f>IF(J3130="","",ROUND(J3130*Settings!$B$8,2))</f>
        <v/>
      </c>
      <c r="L3130" s="16"/>
      <c r="M3130" s="8" t="str">
        <f t="shared" si="48"/>
        <v/>
      </c>
      <c r="N3130" s="9"/>
    </row>
    <row r="3131" spans="1:14" ht="15.75">
      <c r="A3131" s="11"/>
      <c r="B3131" s="9"/>
      <c r="C3131" s="12" t="str">
        <f>IF(B3131="","",IFERROR(INDEX('Cashier Roster'!$C$5:$C$64,MATCH(B3131,'Cashier Roster'!$B$5:$B$64,0)),"Not on roster"))</f>
        <v/>
      </c>
      <c r="D3131" s="12" t="str">
        <f>IF(B3131="","",IFERROR(INDEX('Cashier Roster'!$D$5:$D$64,MATCH(B3131,'Cashier Roster'!$B$5:$B$64,0)),""))</f>
        <v/>
      </c>
      <c r="E3131" s="13"/>
      <c r="F3131" s="14"/>
      <c r="G3131" s="8" t="str">
        <f>IF(OR(B3131="",E3131=""),"",IF(E3131="No","Missed",IF(F3131="","",IF(F3131&lt;=Settings!$B$7,"On time","Late"))))</f>
        <v/>
      </c>
      <c r="H3131" s="15"/>
      <c r="I3131" s="16"/>
      <c r="J3131" s="16"/>
      <c r="K3131" s="17" t="str">
        <f>IF(J3131="","",ROUND(J3131*Settings!$B$8,2))</f>
        <v/>
      </c>
      <c r="L3131" s="16"/>
      <c r="M3131" s="8" t="str">
        <f t="shared" si="48"/>
        <v/>
      </c>
      <c r="N3131" s="9"/>
    </row>
    <row r="3132" spans="1:14" ht="15.75">
      <c r="A3132" s="11"/>
      <c r="B3132" s="9"/>
      <c r="C3132" s="12" t="str">
        <f>IF(B3132="","",IFERROR(INDEX('Cashier Roster'!$C$5:$C$64,MATCH(B3132,'Cashier Roster'!$B$5:$B$64,0)),"Not on roster"))</f>
        <v/>
      </c>
      <c r="D3132" s="12" t="str">
        <f>IF(B3132="","",IFERROR(INDEX('Cashier Roster'!$D$5:$D$64,MATCH(B3132,'Cashier Roster'!$B$5:$B$64,0)),""))</f>
        <v/>
      </c>
      <c r="E3132" s="13"/>
      <c r="F3132" s="14"/>
      <c r="G3132" s="8" t="str">
        <f>IF(OR(B3132="",E3132=""),"",IF(E3132="No","Missed",IF(F3132="","",IF(F3132&lt;=Settings!$B$7,"On time","Late"))))</f>
        <v/>
      </c>
      <c r="H3132" s="15"/>
      <c r="I3132" s="16"/>
      <c r="J3132" s="16"/>
      <c r="K3132" s="17" t="str">
        <f>IF(J3132="","",ROUND(J3132*Settings!$B$8,2))</f>
        <v/>
      </c>
      <c r="L3132" s="16"/>
      <c r="M3132" s="8" t="str">
        <f t="shared" si="48"/>
        <v/>
      </c>
      <c r="N3132" s="9"/>
    </row>
    <row r="3133" spans="1:14" ht="15.75">
      <c r="A3133" s="11"/>
      <c r="B3133" s="9"/>
      <c r="C3133" s="12" t="str">
        <f>IF(B3133="","",IFERROR(INDEX('Cashier Roster'!$C$5:$C$64,MATCH(B3133,'Cashier Roster'!$B$5:$B$64,0)),"Not on roster"))</f>
        <v/>
      </c>
      <c r="D3133" s="12" t="str">
        <f>IF(B3133="","",IFERROR(INDEX('Cashier Roster'!$D$5:$D$64,MATCH(B3133,'Cashier Roster'!$B$5:$B$64,0)),""))</f>
        <v/>
      </c>
      <c r="E3133" s="13"/>
      <c r="F3133" s="14"/>
      <c r="G3133" s="8" t="str">
        <f>IF(OR(B3133="",E3133=""),"",IF(E3133="No","Missed",IF(F3133="","",IF(F3133&lt;=Settings!$B$7,"On time","Late"))))</f>
        <v/>
      </c>
      <c r="H3133" s="15"/>
      <c r="I3133" s="16"/>
      <c r="J3133" s="16"/>
      <c r="K3133" s="17" t="str">
        <f>IF(J3133="","",ROUND(J3133*Settings!$B$8,2))</f>
        <v/>
      </c>
      <c r="L3133" s="16"/>
      <c r="M3133" s="8" t="str">
        <f t="shared" si="48"/>
        <v/>
      </c>
      <c r="N3133" s="9"/>
    </row>
    <row r="3134" spans="1:14" ht="15.75">
      <c r="A3134" s="11"/>
      <c r="B3134" s="9"/>
      <c r="C3134" s="12" t="str">
        <f>IF(B3134="","",IFERROR(INDEX('Cashier Roster'!$C$5:$C$64,MATCH(B3134,'Cashier Roster'!$B$5:$B$64,0)),"Not on roster"))</f>
        <v/>
      </c>
      <c r="D3134" s="12" t="str">
        <f>IF(B3134="","",IFERROR(INDEX('Cashier Roster'!$D$5:$D$64,MATCH(B3134,'Cashier Roster'!$B$5:$B$64,0)),""))</f>
        <v/>
      </c>
      <c r="E3134" s="13"/>
      <c r="F3134" s="14"/>
      <c r="G3134" s="8" t="str">
        <f>IF(OR(B3134="",E3134=""),"",IF(E3134="No","Missed",IF(F3134="","",IF(F3134&lt;=Settings!$B$7,"On time","Late"))))</f>
        <v/>
      </c>
      <c r="H3134" s="15"/>
      <c r="I3134" s="16"/>
      <c r="J3134" s="16"/>
      <c r="K3134" s="17" t="str">
        <f>IF(J3134="","",ROUND(J3134*Settings!$B$8,2))</f>
        <v/>
      </c>
      <c r="L3134" s="16"/>
      <c r="M3134" s="8" t="str">
        <f t="shared" si="48"/>
        <v/>
      </c>
      <c r="N3134" s="9"/>
    </row>
    <row r="3135" spans="1:14" ht="15.75">
      <c r="A3135" s="11"/>
      <c r="B3135" s="9"/>
      <c r="C3135" s="12" t="str">
        <f>IF(B3135="","",IFERROR(INDEX('Cashier Roster'!$C$5:$C$64,MATCH(B3135,'Cashier Roster'!$B$5:$B$64,0)),"Not on roster"))</f>
        <v/>
      </c>
      <c r="D3135" s="12" t="str">
        <f>IF(B3135="","",IFERROR(INDEX('Cashier Roster'!$D$5:$D$64,MATCH(B3135,'Cashier Roster'!$B$5:$B$64,0)),""))</f>
        <v/>
      </c>
      <c r="E3135" s="13"/>
      <c r="F3135" s="14"/>
      <c r="G3135" s="8" t="str">
        <f>IF(OR(B3135="",E3135=""),"",IF(E3135="No","Missed",IF(F3135="","",IF(F3135&lt;=Settings!$B$7,"On time","Late"))))</f>
        <v/>
      </c>
      <c r="H3135" s="15"/>
      <c r="I3135" s="16"/>
      <c r="J3135" s="16"/>
      <c r="K3135" s="17" t="str">
        <f>IF(J3135="","",ROUND(J3135*Settings!$B$8,2))</f>
        <v/>
      </c>
      <c r="L3135" s="16"/>
      <c r="M3135" s="8" t="str">
        <f t="shared" si="48"/>
        <v/>
      </c>
      <c r="N3135" s="9"/>
    </row>
    <row r="3136" spans="1:14" ht="15.75">
      <c r="A3136" s="11"/>
      <c r="B3136" s="9"/>
      <c r="C3136" s="12" t="str">
        <f>IF(B3136="","",IFERROR(INDEX('Cashier Roster'!$C$5:$C$64,MATCH(B3136,'Cashier Roster'!$B$5:$B$64,0)),"Not on roster"))</f>
        <v/>
      </c>
      <c r="D3136" s="12" t="str">
        <f>IF(B3136="","",IFERROR(INDEX('Cashier Roster'!$D$5:$D$64,MATCH(B3136,'Cashier Roster'!$B$5:$B$64,0)),""))</f>
        <v/>
      </c>
      <c r="E3136" s="13"/>
      <c r="F3136" s="14"/>
      <c r="G3136" s="8" t="str">
        <f>IF(OR(B3136="",E3136=""),"",IF(E3136="No","Missed",IF(F3136="","",IF(F3136&lt;=Settings!$B$7,"On time","Late"))))</f>
        <v/>
      </c>
      <c r="H3136" s="15"/>
      <c r="I3136" s="16"/>
      <c r="J3136" s="16"/>
      <c r="K3136" s="17" t="str">
        <f>IF(J3136="","",ROUND(J3136*Settings!$B$8,2))</f>
        <v/>
      </c>
      <c r="L3136" s="16"/>
      <c r="M3136" s="8" t="str">
        <f t="shared" si="48"/>
        <v/>
      </c>
      <c r="N3136" s="9"/>
    </row>
    <row r="3137" spans="1:14" ht="15.75">
      <c r="A3137" s="11"/>
      <c r="B3137" s="9"/>
      <c r="C3137" s="12" t="str">
        <f>IF(B3137="","",IFERROR(INDEX('Cashier Roster'!$C$5:$C$64,MATCH(B3137,'Cashier Roster'!$B$5:$B$64,0)),"Not on roster"))</f>
        <v/>
      </c>
      <c r="D3137" s="12" t="str">
        <f>IF(B3137="","",IFERROR(INDEX('Cashier Roster'!$D$5:$D$64,MATCH(B3137,'Cashier Roster'!$B$5:$B$64,0)),""))</f>
        <v/>
      </c>
      <c r="E3137" s="13"/>
      <c r="F3137" s="14"/>
      <c r="G3137" s="8" t="str">
        <f>IF(OR(B3137="",E3137=""),"",IF(E3137="No","Missed",IF(F3137="","",IF(F3137&lt;=Settings!$B$7,"On time","Late"))))</f>
        <v/>
      </c>
      <c r="H3137" s="15"/>
      <c r="I3137" s="16"/>
      <c r="J3137" s="16"/>
      <c r="K3137" s="17" t="str">
        <f>IF(J3137="","",ROUND(J3137*Settings!$B$8,2))</f>
        <v/>
      </c>
      <c r="L3137" s="16"/>
      <c r="M3137" s="8" t="str">
        <f t="shared" si="48"/>
        <v/>
      </c>
      <c r="N3137" s="9"/>
    </row>
    <row r="3138" spans="1:14" ht="15.75">
      <c r="A3138" s="11"/>
      <c r="B3138" s="9"/>
      <c r="C3138" s="12" t="str">
        <f>IF(B3138="","",IFERROR(INDEX('Cashier Roster'!$C$5:$C$64,MATCH(B3138,'Cashier Roster'!$B$5:$B$64,0)),"Not on roster"))</f>
        <v/>
      </c>
      <c r="D3138" s="12" t="str">
        <f>IF(B3138="","",IFERROR(INDEX('Cashier Roster'!$D$5:$D$64,MATCH(B3138,'Cashier Roster'!$B$5:$B$64,0)),""))</f>
        <v/>
      </c>
      <c r="E3138" s="13"/>
      <c r="F3138" s="14"/>
      <c r="G3138" s="8" t="str">
        <f>IF(OR(B3138="",E3138=""),"",IF(E3138="No","Missed",IF(F3138="","",IF(F3138&lt;=Settings!$B$7,"On time","Late"))))</f>
        <v/>
      </c>
      <c r="H3138" s="15"/>
      <c r="I3138" s="16"/>
      <c r="J3138" s="16"/>
      <c r="K3138" s="17" t="str">
        <f>IF(J3138="","",ROUND(J3138*Settings!$B$8,2))</f>
        <v/>
      </c>
      <c r="L3138" s="16"/>
      <c r="M3138" s="8" t="str">
        <f t="shared" si="48"/>
        <v/>
      </c>
      <c r="N3138" s="9"/>
    </row>
    <row r="3139" spans="1:14" ht="15.75">
      <c r="A3139" s="11"/>
      <c r="B3139" s="9"/>
      <c r="C3139" s="12" t="str">
        <f>IF(B3139="","",IFERROR(INDEX('Cashier Roster'!$C$5:$C$64,MATCH(B3139,'Cashier Roster'!$B$5:$B$64,0)),"Not on roster"))</f>
        <v/>
      </c>
      <c r="D3139" s="12" t="str">
        <f>IF(B3139="","",IFERROR(INDEX('Cashier Roster'!$D$5:$D$64,MATCH(B3139,'Cashier Roster'!$B$5:$B$64,0)),""))</f>
        <v/>
      </c>
      <c r="E3139" s="13"/>
      <c r="F3139" s="14"/>
      <c r="G3139" s="8" t="str">
        <f>IF(OR(B3139="",E3139=""),"",IF(E3139="No","Missed",IF(F3139="","",IF(F3139&lt;=Settings!$B$7,"On time","Late"))))</f>
        <v/>
      </c>
      <c r="H3139" s="15"/>
      <c r="I3139" s="16"/>
      <c r="J3139" s="16"/>
      <c r="K3139" s="17" t="str">
        <f>IF(J3139="","",ROUND(J3139*Settings!$B$8,2))</f>
        <v/>
      </c>
      <c r="L3139" s="16"/>
      <c r="M3139" s="8" t="str">
        <f t="shared" si="48"/>
        <v/>
      </c>
      <c r="N3139" s="9"/>
    </row>
    <row r="3140" spans="1:14" ht="15.75">
      <c r="A3140" s="11"/>
      <c r="B3140" s="9"/>
      <c r="C3140" s="12" t="str">
        <f>IF(B3140="","",IFERROR(INDEX('Cashier Roster'!$C$5:$C$64,MATCH(B3140,'Cashier Roster'!$B$5:$B$64,0)),"Not on roster"))</f>
        <v/>
      </c>
      <c r="D3140" s="12" t="str">
        <f>IF(B3140="","",IFERROR(INDEX('Cashier Roster'!$D$5:$D$64,MATCH(B3140,'Cashier Roster'!$B$5:$B$64,0)),""))</f>
        <v/>
      </c>
      <c r="E3140" s="13"/>
      <c r="F3140" s="14"/>
      <c r="G3140" s="8" t="str">
        <f>IF(OR(B3140="",E3140=""),"",IF(E3140="No","Missed",IF(F3140="","",IF(F3140&lt;=Settings!$B$7,"On time","Late"))))</f>
        <v/>
      </c>
      <c r="H3140" s="15"/>
      <c r="I3140" s="16"/>
      <c r="J3140" s="16"/>
      <c r="K3140" s="17" t="str">
        <f>IF(J3140="","",ROUND(J3140*Settings!$B$8,2))</f>
        <v/>
      </c>
      <c r="L3140" s="16"/>
      <c r="M3140" s="8" t="str">
        <f t="shared" si="48"/>
        <v/>
      </c>
      <c r="N3140" s="9"/>
    </row>
    <row r="3141" spans="1:14" ht="15.75">
      <c r="A3141" s="11"/>
      <c r="B3141" s="9"/>
      <c r="C3141" s="12" t="str">
        <f>IF(B3141="","",IFERROR(INDEX('Cashier Roster'!$C$5:$C$64,MATCH(B3141,'Cashier Roster'!$B$5:$B$64,0)),"Not on roster"))</f>
        <v/>
      </c>
      <c r="D3141" s="12" t="str">
        <f>IF(B3141="","",IFERROR(INDEX('Cashier Roster'!$D$5:$D$64,MATCH(B3141,'Cashier Roster'!$B$5:$B$64,0)),""))</f>
        <v/>
      </c>
      <c r="E3141" s="13"/>
      <c r="F3141" s="14"/>
      <c r="G3141" s="8" t="str">
        <f>IF(OR(B3141="",E3141=""),"",IF(E3141="No","Missed",IF(F3141="","",IF(F3141&lt;=Settings!$B$7,"On time","Late"))))</f>
        <v/>
      </c>
      <c r="H3141" s="15"/>
      <c r="I3141" s="16"/>
      <c r="J3141" s="16"/>
      <c r="K3141" s="17" t="str">
        <f>IF(J3141="","",ROUND(J3141*Settings!$B$8,2))</f>
        <v/>
      </c>
      <c r="L3141" s="16"/>
      <c r="M3141" s="8" t="str">
        <f t="shared" ref="M3141:M3204" si="49">IF(L3141="","",IF(L3141&lt;=0,"Yes","No"))</f>
        <v/>
      </c>
      <c r="N3141" s="9"/>
    </row>
    <row r="3142" spans="1:14" ht="15.75">
      <c r="A3142" s="11"/>
      <c r="B3142" s="9"/>
      <c r="C3142" s="12" t="str">
        <f>IF(B3142="","",IFERROR(INDEX('Cashier Roster'!$C$5:$C$64,MATCH(B3142,'Cashier Roster'!$B$5:$B$64,0)),"Not on roster"))</f>
        <v/>
      </c>
      <c r="D3142" s="12" t="str">
        <f>IF(B3142="","",IFERROR(INDEX('Cashier Roster'!$D$5:$D$64,MATCH(B3142,'Cashier Roster'!$B$5:$B$64,0)),""))</f>
        <v/>
      </c>
      <c r="E3142" s="13"/>
      <c r="F3142" s="14"/>
      <c r="G3142" s="8" t="str">
        <f>IF(OR(B3142="",E3142=""),"",IF(E3142="No","Missed",IF(F3142="","",IF(F3142&lt;=Settings!$B$7,"On time","Late"))))</f>
        <v/>
      </c>
      <c r="H3142" s="15"/>
      <c r="I3142" s="16"/>
      <c r="J3142" s="16"/>
      <c r="K3142" s="17" t="str">
        <f>IF(J3142="","",ROUND(J3142*Settings!$B$8,2))</f>
        <v/>
      </c>
      <c r="L3142" s="16"/>
      <c r="M3142" s="8" t="str">
        <f t="shared" si="49"/>
        <v/>
      </c>
      <c r="N3142" s="9"/>
    </row>
    <row r="3143" spans="1:14" ht="15.75">
      <c r="A3143" s="11"/>
      <c r="B3143" s="9"/>
      <c r="C3143" s="12" t="str">
        <f>IF(B3143="","",IFERROR(INDEX('Cashier Roster'!$C$5:$C$64,MATCH(B3143,'Cashier Roster'!$B$5:$B$64,0)),"Not on roster"))</f>
        <v/>
      </c>
      <c r="D3143" s="12" t="str">
        <f>IF(B3143="","",IFERROR(INDEX('Cashier Roster'!$D$5:$D$64,MATCH(B3143,'Cashier Roster'!$B$5:$B$64,0)),""))</f>
        <v/>
      </c>
      <c r="E3143" s="13"/>
      <c r="F3143" s="14"/>
      <c r="G3143" s="8" t="str">
        <f>IF(OR(B3143="",E3143=""),"",IF(E3143="No","Missed",IF(F3143="","",IF(F3143&lt;=Settings!$B$7,"On time","Late"))))</f>
        <v/>
      </c>
      <c r="H3143" s="15"/>
      <c r="I3143" s="16"/>
      <c r="J3143" s="16"/>
      <c r="K3143" s="17" t="str">
        <f>IF(J3143="","",ROUND(J3143*Settings!$B$8,2))</f>
        <v/>
      </c>
      <c r="L3143" s="16"/>
      <c r="M3143" s="8" t="str">
        <f t="shared" si="49"/>
        <v/>
      </c>
      <c r="N3143" s="9"/>
    </row>
    <row r="3144" spans="1:14" ht="15.75">
      <c r="A3144" s="11"/>
      <c r="B3144" s="9"/>
      <c r="C3144" s="12" t="str">
        <f>IF(B3144="","",IFERROR(INDEX('Cashier Roster'!$C$5:$C$64,MATCH(B3144,'Cashier Roster'!$B$5:$B$64,0)),"Not on roster"))</f>
        <v/>
      </c>
      <c r="D3144" s="12" t="str">
        <f>IF(B3144="","",IFERROR(INDEX('Cashier Roster'!$D$5:$D$64,MATCH(B3144,'Cashier Roster'!$B$5:$B$64,0)),""))</f>
        <v/>
      </c>
      <c r="E3144" s="13"/>
      <c r="F3144" s="14"/>
      <c r="G3144" s="8" t="str">
        <f>IF(OR(B3144="",E3144=""),"",IF(E3144="No","Missed",IF(F3144="","",IF(F3144&lt;=Settings!$B$7,"On time","Late"))))</f>
        <v/>
      </c>
      <c r="H3144" s="15"/>
      <c r="I3144" s="16"/>
      <c r="J3144" s="16"/>
      <c r="K3144" s="17" t="str">
        <f>IF(J3144="","",ROUND(J3144*Settings!$B$8,2))</f>
        <v/>
      </c>
      <c r="L3144" s="16"/>
      <c r="M3144" s="8" t="str">
        <f t="shared" si="49"/>
        <v/>
      </c>
      <c r="N3144" s="9"/>
    </row>
    <row r="3145" spans="1:14" ht="15.75">
      <c r="A3145" s="11"/>
      <c r="B3145" s="9"/>
      <c r="C3145" s="12" t="str">
        <f>IF(B3145="","",IFERROR(INDEX('Cashier Roster'!$C$5:$C$64,MATCH(B3145,'Cashier Roster'!$B$5:$B$64,0)),"Not on roster"))</f>
        <v/>
      </c>
      <c r="D3145" s="12" t="str">
        <f>IF(B3145="","",IFERROR(INDEX('Cashier Roster'!$D$5:$D$64,MATCH(B3145,'Cashier Roster'!$B$5:$B$64,0)),""))</f>
        <v/>
      </c>
      <c r="E3145" s="13"/>
      <c r="F3145" s="14"/>
      <c r="G3145" s="8" t="str">
        <f>IF(OR(B3145="",E3145=""),"",IF(E3145="No","Missed",IF(F3145="","",IF(F3145&lt;=Settings!$B$7,"On time","Late"))))</f>
        <v/>
      </c>
      <c r="H3145" s="15"/>
      <c r="I3145" s="16"/>
      <c r="J3145" s="16"/>
      <c r="K3145" s="17" t="str">
        <f>IF(J3145="","",ROUND(J3145*Settings!$B$8,2))</f>
        <v/>
      </c>
      <c r="L3145" s="16"/>
      <c r="M3145" s="8" t="str">
        <f t="shared" si="49"/>
        <v/>
      </c>
      <c r="N3145" s="9"/>
    </row>
    <row r="3146" spans="1:14" ht="15.75">
      <c r="A3146" s="11"/>
      <c r="B3146" s="9"/>
      <c r="C3146" s="12" t="str">
        <f>IF(B3146="","",IFERROR(INDEX('Cashier Roster'!$C$5:$C$64,MATCH(B3146,'Cashier Roster'!$B$5:$B$64,0)),"Not on roster"))</f>
        <v/>
      </c>
      <c r="D3146" s="12" t="str">
        <f>IF(B3146="","",IFERROR(INDEX('Cashier Roster'!$D$5:$D$64,MATCH(B3146,'Cashier Roster'!$B$5:$B$64,0)),""))</f>
        <v/>
      </c>
      <c r="E3146" s="13"/>
      <c r="F3146" s="14"/>
      <c r="G3146" s="8" t="str">
        <f>IF(OR(B3146="",E3146=""),"",IF(E3146="No","Missed",IF(F3146="","",IF(F3146&lt;=Settings!$B$7,"On time","Late"))))</f>
        <v/>
      </c>
      <c r="H3146" s="15"/>
      <c r="I3146" s="16"/>
      <c r="J3146" s="16"/>
      <c r="K3146" s="17" t="str">
        <f>IF(J3146="","",ROUND(J3146*Settings!$B$8,2))</f>
        <v/>
      </c>
      <c r="L3146" s="16"/>
      <c r="M3146" s="8" t="str">
        <f t="shared" si="49"/>
        <v/>
      </c>
      <c r="N3146" s="9"/>
    </row>
    <row r="3147" spans="1:14" ht="15.75">
      <c r="A3147" s="11"/>
      <c r="B3147" s="9"/>
      <c r="C3147" s="12" t="str">
        <f>IF(B3147="","",IFERROR(INDEX('Cashier Roster'!$C$5:$C$64,MATCH(B3147,'Cashier Roster'!$B$5:$B$64,0)),"Not on roster"))</f>
        <v/>
      </c>
      <c r="D3147" s="12" t="str">
        <f>IF(B3147="","",IFERROR(INDEX('Cashier Roster'!$D$5:$D$64,MATCH(B3147,'Cashier Roster'!$B$5:$B$64,0)),""))</f>
        <v/>
      </c>
      <c r="E3147" s="13"/>
      <c r="F3147" s="14"/>
      <c r="G3147" s="8" t="str">
        <f>IF(OR(B3147="",E3147=""),"",IF(E3147="No","Missed",IF(F3147="","",IF(F3147&lt;=Settings!$B$7,"On time","Late"))))</f>
        <v/>
      </c>
      <c r="H3147" s="15"/>
      <c r="I3147" s="16"/>
      <c r="J3147" s="16"/>
      <c r="K3147" s="17" t="str">
        <f>IF(J3147="","",ROUND(J3147*Settings!$B$8,2))</f>
        <v/>
      </c>
      <c r="L3147" s="16"/>
      <c r="M3147" s="8" t="str">
        <f t="shared" si="49"/>
        <v/>
      </c>
      <c r="N3147" s="9"/>
    </row>
    <row r="3148" spans="1:14" ht="15.75">
      <c r="A3148" s="11"/>
      <c r="B3148" s="9"/>
      <c r="C3148" s="12" t="str">
        <f>IF(B3148="","",IFERROR(INDEX('Cashier Roster'!$C$5:$C$64,MATCH(B3148,'Cashier Roster'!$B$5:$B$64,0)),"Not on roster"))</f>
        <v/>
      </c>
      <c r="D3148" s="12" t="str">
        <f>IF(B3148="","",IFERROR(INDEX('Cashier Roster'!$D$5:$D$64,MATCH(B3148,'Cashier Roster'!$B$5:$B$64,0)),""))</f>
        <v/>
      </c>
      <c r="E3148" s="13"/>
      <c r="F3148" s="14"/>
      <c r="G3148" s="8" t="str">
        <f>IF(OR(B3148="",E3148=""),"",IF(E3148="No","Missed",IF(F3148="","",IF(F3148&lt;=Settings!$B$7,"On time","Late"))))</f>
        <v/>
      </c>
      <c r="H3148" s="15"/>
      <c r="I3148" s="16"/>
      <c r="J3148" s="16"/>
      <c r="K3148" s="17" t="str">
        <f>IF(J3148="","",ROUND(J3148*Settings!$B$8,2))</f>
        <v/>
      </c>
      <c r="L3148" s="16"/>
      <c r="M3148" s="8" t="str">
        <f t="shared" si="49"/>
        <v/>
      </c>
      <c r="N3148" s="9"/>
    </row>
    <row r="3149" spans="1:14" ht="15.75">
      <c r="A3149" s="11"/>
      <c r="B3149" s="9"/>
      <c r="C3149" s="12" t="str">
        <f>IF(B3149="","",IFERROR(INDEX('Cashier Roster'!$C$5:$C$64,MATCH(B3149,'Cashier Roster'!$B$5:$B$64,0)),"Not on roster"))</f>
        <v/>
      </c>
      <c r="D3149" s="12" t="str">
        <f>IF(B3149="","",IFERROR(INDEX('Cashier Roster'!$D$5:$D$64,MATCH(B3149,'Cashier Roster'!$B$5:$B$64,0)),""))</f>
        <v/>
      </c>
      <c r="E3149" s="13"/>
      <c r="F3149" s="14"/>
      <c r="G3149" s="8" t="str">
        <f>IF(OR(B3149="",E3149=""),"",IF(E3149="No","Missed",IF(F3149="","",IF(F3149&lt;=Settings!$B$7,"On time","Late"))))</f>
        <v/>
      </c>
      <c r="H3149" s="15"/>
      <c r="I3149" s="16"/>
      <c r="J3149" s="16"/>
      <c r="K3149" s="17" t="str">
        <f>IF(J3149="","",ROUND(J3149*Settings!$B$8,2))</f>
        <v/>
      </c>
      <c r="L3149" s="16"/>
      <c r="M3149" s="8" t="str">
        <f t="shared" si="49"/>
        <v/>
      </c>
      <c r="N3149" s="9"/>
    </row>
    <row r="3150" spans="1:14" ht="15.75">
      <c r="A3150" s="11"/>
      <c r="B3150" s="9"/>
      <c r="C3150" s="12" t="str">
        <f>IF(B3150="","",IFERROR(INDEX('Cashier Roster'!$C$5:$C$64,MATCH(B3150,'Cashier Roster'!$B$5:$B$64,0)),"Not on roster"))</f>
        <v/>
      </c>
      <c r="D3150" s="12" t="str">
        <f>IF(B3150="","",IFERROR(INDEX('Cashier Roster'!$D$5:$D$64,MATCH(B3150,'Cashier Roster'!$B$5:$B$64,0)),""))</f>
        <v/>
      </c>
      <c r="E3150" s="13"/>
      <c r="F3150" s="14"/>
      <c r="G3150" s="8" t="str">
        <f>IF(OR(B3150="",E3150=""),"",IF(E3150="No","Missed",IF(F3150="","",IF(F3150&lt;=Settings!$B$7,"On time","Late"))))</f>
        <v/>
      </c>
      <c r="H3150" s="15"/>
      <c r="I3150" s="16"/>
      <c r="J3150" s="16"/>
      <c r="K3150" s="17" t="str">
        <f>IF(J3150="","",ROUND(J3150*Settings!$B$8,2))</f>
        <v/>
      </c>
      <c r="L3150" s="16"/>
      <c r="M3150" s="8" t="str">
        <f t="shared" si="49"/>
        <v/>
      </c>
      <c r="N3150" s="9"/>
    </row>
    <row r="3151" spans="1:14" ht="15.75">
      <c r="A3151" s="11"/>
      <c r="B3151" s="9"/>
      <c r="C3151" s="12" t="str">
        <f>IF(B3151="","",IFERROR(INDEX('Cashier Roster'!$C$5:$C$64,MATCH(B3151,'Cashier Roster'!$B$5:$B$64,0)),"Not on roster"))</f>
        <v/>
      </c>
      <c r="D3151" s="12" t="str">
        <f>IF(B3151="","",IFERROR(INDEX('Cashier Roster'!$D$5:$D$64,MATCH(B3151,'Cashier Roster'!$B$5:$B$64,0)),""))</f>
        <v/>
      </c>
      <c r="E3151" s="13"/>
      <c r="F3151" s="14"/>
      <c r="G3151" s="8" t="str">
        <f>IF(OR(B3151="",E3151=""),"",IF(E3151="No","Missed",IF(F3151="","",IF(F3151&lt;=Settings!$B$7,"On time","Late"))))</f>
        <v/>
      </c>
      <c r="H3151" s="15"/>
      <c r="I3151" s="16"/>
      <c r="J3151" s="16"/>
      <c r="K3151" s="17" t="str">
        <f>IF(J3151="","",ROUND(J3151*Settings!$B$8,2))</f>
        <v/>
      </c>
      <c r="L3151" s="16"/>
      <c r="M3151" s="8" t="str">
        <f t="shared" si="49"/>
        <v/>
      </c>
      <c r="N3151" s="9"/>
    </row>
    <row r="3152" spans="1:14" ht="15.75">
      <c r="A3152" s="11"/>
      <c r="B3152" s="9"/>
      <c r="C3152" s="12" t="str">
        <f>IF(B3152="","",IFERROR(INDEX('Cashier Roster'!$C$5:$C$64,MATCH(B3152,'Cashier Roster'!$B$5:$B$64,0)),"Not on roster"))</f>
        <v/>
      </c>
      <c r="D3152" s="12" t="str">
        <f>IF(B3152="","",IFERROR(INDEX('Cashier Roster'!$D$5:$D$64,MATCH(B3152,'Cashier Roster'!$B$5:$B$64,0)),""))</f>
        <v/>
      </c>
      <c r="E3152" s="13"/>
      <c r="F3152" s="14"/>
      <c r="G3152" s="8" t="str">
        <f>IF(OR(B3152="",E3152=""),"",IF(E3152="No","Missed",IF(F3152="","",IF(F3152&lt;=Settings!$B$7,"On time","Late"))))</f>
        <v/>
      </c>
      <c r="H3152" s="15"/>
      <c r="I3152" s="16"/>
      <c r="J3152" s="16"/>
      <c r="K3152" s="17" t="str">
        <f>IF(J3152="","",ROUND(J3152*Settings!$B$8,2))</f>
        <v/>
      </c>
      <c r="L3152" s="16"/>
      <c r="M3152" s="8" t="str">
        <f t="shared" si="49"/>
        <v/>
      </c>
      <c r="N3152" s="9"/>
    </row>
    <row r="3153" spans="1:14" ht="15.75">
      <c r="A3153" s="11"/>
      <c r="B3153" s="9"/>
      <c r="C3153" s="12" t="str">
        <f>IF(B3153="","",IFERROR(INDEX('Cashier Roster'!$C$5:$C$64,MATCH(B3153,'Cashier Roster'!$B$5:$B$64,0)),"Not on roster"))</f>
        <v/>
      </c>
      <c r="D3153" s="12" t="str">
        <f>IF(B3153="","",IFERROR(INDEX('Cashier Roster'!$D$5:$D$64,MATCH(B3153,'Cashier Roster'!$B$5:$B$64,0)),""))</f>
        <v/>
      </c>
      <c r="E3153" s="13"/>
      <c r="F3153" s="14"/>
      <c r="G3153" s="8" t="str">
        <f>IF(OR(B3153="",E3153=""),"",IF(E3153="No","Missed",IF(F3153="","",IF(F3153&lt;=Settings!$B$7,"On time","Late"))))</f>
        <v/>
      </c>
      <c r="H3153" s="15"/>
      <c r="I3153" s="16"/>
      <c r="J3153" s="16"/>
      <c r="K3153" s="17" t="str">
        <f>IF(J3153="","",ROUND(J3153*Settings!$B$8,2))</f>
        <v/>
      </c>
      <c r="L3153" s="16"/>
      <c r="M3153" s="8" t="str">
        <f t="shared" si="49"/>
        <v/>
      </c>
      <c r="N3153" s="9"/>
    </row>
    <row r="3154" spans="1:14" ht="15.75">
      <c r="A3154" s="11"/>
      <c r="B3154" s="9"/>
      <c r="C3154" s="12" t="str">
        <f>IF(B3154="","",IFERROR(INDEX('Cashier Roster'!$C$5:$C$64,MATCH(B3154,'Cashier Roster'!$B$5:$B$64,0)),"Not on roster"))</f>
        <v/>
      </c>
      <c r="D3154" s="12" t="str">
        <f>IF(B3154="","",IFERROR(INDEX('Cashier Roster'!$D$5:$D$64,MATCH(B3154,'Cashier Roster'!$B$5:$B$64,0)),""))</f>
        <v/>
      </c>
      <c r="E3154" s="13"/>
      <c r="F3154" s="14"/>
      <c r="G3154" s="8" t="str">
        <f>IF(OR(B3154="",E3154=""),"",IF(E3154="No","Missed",IF(F3154="","",IF(F3154&lt;=Settings!$B$7,"On time","Late"))))</f>
        <v/>
      </c>
      <c r="H3154" s="15"/>
      <c r="I3154" s="16"/>
      <c r="J3154" s="16"/>
      <c r="K3154" s="17" t="str">
        <f>IF(J3154="","",ROUND(J3154*Settings!$B$8,2))</f>
        <v/>
      </c>
      <c r="L3154" s="16"/>
      <c r="M3154" s="8" t="str">
        <f t="shared" si="49"/>
        <v/>
      </c>
      <c r="N3154" s="9"/>
    </row>
    <row r="3155" spans="1:14" ht="15.75">
      <c r="A3155" s="11"/>
      <c r="B3155" s="9"/>
      <c r="C3155" s="12" t="str">
        <f>IF(B3155="","",IFERROR(INDEX('Cashier Roster'!$C$5:$C$64,MATCH(B3155,'Cashier Roster'!$B$5:$B$64,0)),"Not on roster"))</f>
        <v/>
      </c>
      <c r="D3155" s="12" t="str">
        <f>IF(B3155="","",IFERROR(INDEX('Cashier Roster'!$D$5:$D$64,MATCH(B3155,'Cashier Roster'!$B$5:$B$64,0)),""))</f>
        <v/>
      </c>
      <c r="E3155" s="13"/>
      <c r="F3155" s="14"/>
      <c r="G3155" s="8" t="str">
        <f>IF(OR(B3155="",E3155=""),"",IF(E3155="No","Missed",IF(F3155="","",IF(F3155&lt;=Settings!$B$7,"On time","Late"))))</f>
        <v/>
      </c>
      <c r="H3155" s="15"/>
      <c r="I3155" s="16"/>
      <c r="J3155" s="16"/>
      <c r="K3155" s="17" t="str">
        <f>IF(J3155="","",ROUND(J3155*Settings!$B$8,2))</f>
        <v/>
      </c>
      <c r="L3155" s="16"/>
      <c r="M3155" s="8" t="str">
        <f t="shared" si="49"/>
        <v/>
      </c>
      <c r="N3155" s="9"/>
    </row>
    <row r="3156" spans="1:14" ht="15.75">
      <c r="A3156" s="11"/>
      <c r="B3156" s="9"/>
      <c r="C3156" s="12" t="str">
        <f>IF(B3156="","",IFERROR(INDEX('Cashier Roster'!$C$5:$C$64,MATCH(B3156,'Cashier Roster'!$B$5:$B$64,0)),"Not on roster"))</f>
        <v/>
      </c>
      <c r="D3156" s="12" t="str">
        <f>IF(B3156="","",IFERROR(INDEX('Cashier Roster'!$D$5:$D$64,MATCH(B3156,'Cashier Roster'!$B$5:$B$64,0)),""))</f>
        <v/>
      </c>
      <c r="E3156" s="13"/>
      <c r="F3156" s="14"/>
      <c r="G3156" s="8" t="str">
        <f>IF(OR(B3156="",E3156=""),"",IF(E3156="No","Missed",IF(F3156="","",IF(F3156&lt;=Settings!$B$7,"On time","Late"))))</f>
        <v/>
      </c>
      <c r="H3156" s="15"/>
      <c r="I3156" s="16"/>
      <c r="J3156" s="16"/>
      <c r="K3156" s="17" t="str">
        <f>IF(J3156="","",ROUND(J3156*Settings!$B$8,2))</f>
        <v/>
      </c>
      <c r="L3156" s="16"/>
      <c r="M3156" s="8" t="str">
        <f t="shared" si="49"/>
        <v/>
      </c>
      <c r="N3156" s="9"/>
    </row>
    <row r="3157" spans="1:14" ht="15.75">
      <c r="A3157" s="11"/>
      <c r="B3157" s="9"/>
      <c r="C3157" s="12" t="str">
        <f>IF(B3157="","",IFERROR(INDEX('Cashier Roster'!$C$5:$C$64,MATCH(B3157,'Cashier Roster'!$B$5:$B$64,0)),"Not on roster"))</f>
        <v/>
      </c>
      <c r="D3157" s="12" t="str">
        <f>IF(B3157="","",IFERROR(INDEX('Cashier Roster'!$D$5:$D$64,MATCH(B3157,'Cashier Roster'!$B$5:$B$64,0)),""))</f>
        <v/>
      </c>
      <c r="E3157" s="13"/>
      <c r="F3157" s="14"/>
      <c r="G3157" s="8" t="str">
        <f>IF(OR(B3157="",E3157=""),"",IF(E3157="No","Missed",IF(F3157="","",IF(F3157&lt;=Settings!$B$7,"On time","Late"))))</f>
        <v/>
      </c>
      <c r="H3157" s="15"/>
      <c r="I3157" s="16"/>
      <c r="J3157" s="16"/>
      <c r="K3157" s="17" t="str">
        <f>IF(J3157="","",ROUND(J3157*Settings!$B$8,2))</f>
        <v/>
      </c>
      <c r="L3157" s="16"/>
      <c r="M3157" s="8" t="str">
        <f t="shared" si="49"/>
        <v/>
      </c>
      <c r="N3157" s="9"/>
    </row>
    <row r="3158" spans="1:14" ht="15.75">
      <c r="A3158" s="11"/>
      <c r="B3158" s="9"/>
      <c r="C3158" s="12" t="str">
        <f>IF(B3158="","",IFERROR(INDEX('Cashier Roster'!$C$5:$C$64,MATCH(B3158,'Cashier Roster'!$B$5:$B$64,0)),"Not on roster"))</f>
        <v/>
      </c>
      <c r="D3158" s="12" t="str">
        <f>IF(B3158="","",IFERROR(INDEX('Cashier Roster'!$D$5:$D$64,MATCH(B3158,'Cashier Roster'!$B$5:$B$64,0)),""))</f>
        <v/>
      </c>
      <c r="E3158" s="13"/>
      <c r="F3158" s="14"/>
      <c r="G3158" s="8" t="str">
        <f>IF(OR(B3158="",E3158=""),"",IF(E3158="No","Missed",IF(F3158="","",IF(F3158&lt;=Settings!$B$7,"On time","Late"))))</f>
        <v/>
      </c>
      <c r="H3158" s="15"/>
      <c r="I3158" s="16"/>
      <c r="J3158" s="16"/>
      <c r="K3158" s="17" t="str">
        <f>IF(J3158="","",ROUND(J3158*Settings!$B$8,2))</f>
        <v/>
      </c>
      <c r="L3158" s="16"/>
      <c r="M3158" s="8" t="str">
        <f t="shared" si="49"/>
        <v/>
      </c>
      <c r="N3158" s="9"/>
    </row>
    <row r="3159" spans="1:14" ht="15.75">
      <c r="A3159" s="11"/>
      <c r="B3159" s="9"/>
      <c r="C3159" s="12" t="str">
        <f>IF(B3159="","",IFERROR(INDEX('Cashier Roster'!$C$5:$C$64,MATCH(B3159,'Cashier Roster'!$B$5:$B$64,0)),"Not on roster"))</f>
        <v/>
      </c>
      <c r="D3159" s="12" t="str">
        <f>IF(B3159="","",IFERROR(INDEX('Cashier Roster'!$D$5:$D$64,MATCH(B3159,'Cashier Roster'!$B$5:$B$64,0)),""))</f>
        <v/>
      </c>
      <c r="E3159" s="13"/>
      <c r="F3159" s="14"/>
      <c r="G3159" s="8" t="str">
        <f>IF(OR(B3159="",E3159=""),"",IF(E3159="No","Missed",IF(F3159="","",IF(F3159&lt;=Settings!$B$7,"On time","Late"))))</f>
        <v/>
      </c>
      <c r="H3159" s="15"/>
      <c r="I3159" s="16"/>
      <c r="J3159" s="16"/>
      <c r="K3159" s="17" t="str">
        <f>IF(J3159="","",ROUND(J3159*Settings!$B$8,2))</f>
        <v/>
      </c>
      <c r="L3159" s="16"/>
      <c r="M3159" s="8" t="str">
        <f t="shared" si="49"/>
        <v/>
      </c>
      <c r="N3159" s="9"/>
    </row>
    <row r="3160" spans="1:14" ht="15.75">
      <c r="A3160" s="11"/>
      <c r="B3160" s="9"/>
      <c r="C3160" s="12" t="str">
        <f>IF(B3160="","",IFERROR(INDEX('Cashier Roster'!$C$5:$C$64,MATCH(B3160,'Cashier Roster'!$B$5:$B$64,0)),"Not on roster"))</f>
        <v/>
      </c>
      <c r="D3160" s="12" t="str">
        <f>IF(B3160="","",IFERROR(INDEX('Cashier Roster'!$D$5:$D$64,MATCH(B3160,'Cashier Roster'!$B$5:$B$64,0)),""))</f>
        <v/>
      </c>
      <c r="E3160" s="13"/>
      <c r="F3160" s="14"/>
      <c r="G3160" s="8" t="str">
        <f>IF(OR(B3160="",E3160=""),"",IF(E3160="No","Missed",IF(F3160="","",IF(F3160&lt;=Settings!$B$7,"On time","Late"))))</f>
        <v/>
      </c>
      <c r="H3160" s="15"/>
      <c r="I3160" s="16"/>
      <c r="J3160" s="16"/>
      <c r="K3160" s="17" t="str">
        <f>IF(J3160="","",ROUND(J3160*Settings!$B$8,2))</f>
        <v/>
      </c>
      <c r="L3160" s="16"/>
      <c r="M3160" s="8" t="str">
        <f t="shared" si="49"/>
        <v/>
      </c>
      <c r="N3160" s="9"/>
    </row>
    <row r="3161" spans="1:14" ht="15.75">
      <c r="A3161" s="11"/>
      <c r="B3161" s="9"/>
      <c r="C3161" s="12" t="str">
        <f>IF(B3161="","",IFERROR(INDEX('Cashier Roster'!$C$5:$C$64,MATCH(B3161,'Cashier Roster'!$B$5:$B$64,0)),"Not on roster"))</f>
        <v/>
      </c>
      <c r="D3161" s="12" t="str">
        <f>IF(B3161="","",IFERROR(INDEX('Cashier Roster'!$D$5:$D$64,MATCH(B3161,'Cashier Roster'!$B$5:$B$64,0)),""))</f>
        <v/>
      </c>
      <c r="E3161" s="13"/>
      <c r="F3161" s="14"/>
      <c r="G3161" s="8" t="str">
        <f>IF(OR(B3161="",E3161=""),"",IF(E3161="No","Missed",IF(F3161="","",IF(F3161&lt;=Settings!$B$7,"On time","Late"))))</f>
        <v/>
      </c>
      <c r="H3161" s="15"/>
      <c r="I3161" s="16"/>
      <c r="J3161" s="16"/>
      <c r="K3161" s="17" t="str">
        <f>IF(J3161="","",ROUND(J3161*Settings!$B$8,2))</f>
        <v/>
      </c>
      <c r="L3161" s="16"/>
      <c r="M3161" s="8" t="str">
        <f t="shared" si="49"/>
        <v/>
      </c>
      <c r="N3161" s="9"/>
    </row>
    <row r="3162" spans="1:14" ht="15.75">
      <c r="A3162" s="11"/>
      <c r="B3162" s="9"/>
      <c r="C3162" s="12" t="str">
        <f>IF(B3162="","",IFERROR(INDEX('Cashier Roster'!$C$5:$C$64,MATCH(B3162,'Cashier Roster'!$B$5:$B$64,0)),"Not on roster"))</f>
        <v/>
      </c>
      <c r="D3162" s="12" t="str">
        <f>IF(B3162="","",IFERROR(INDEX('Cashier Roster'!$D$5:$D$64,MATCH(B3162,'Cashier Roster'!$B$5:$B$64,0)),""))</f>
        <v/>
      </c>
      <c r="E3162" s="13"/>
      <c r="F3162" s="14"/>
      <c r="G3162" s="8" t="str">
        <f>IF(OR(B3162="",E3162=""),"",IF(E3162="No","Missed",IF(F3162="","",IF(F3162&lt;=Settings!$B$7,"On time","Late"))))</f>
        <v/>
      </c>
      <c r="H3162" s="15"/>
      <c r="I3162" s="16"/>
      <c r="J3162" s="16"/>
      <c r="K3162" s="17" t="str">
        <f>IF(J3162="","",ROUND(J3162*Settings!$B$8,2))</f>
        <v/>
      </c>
      <c r="L3162" s="16"/>
      <c r="M3162" s="8" t="str">
        <f t="shared" si="49"/>
        <v/>
      </c>
      <c r="N3162" s="9"/>
    </row>
    <row r="3163" spans="1:14" ht="15.75">
      <c r="A3163" s="11"/>
      <c r="B3163" s="9"/>
      <c r="C3163" s="12" t="str">
        <f>IF(B3163="","",IFERROR(INDEX('Cashier Roster'!$C$5:$C$64,MATCH(B3163,'Cashier Roster'!$B$5:$B$64,0)),"Not on roster"))</f>
        <v/>
      </c>
      <c r="D3163" s="12" t="str">
        <f>IF(B3163="","",IFERROR(INDEX('Cashier Roster'!$D$5:$D$64,MATCH(B3163,'Cashier Roster'!$B$5:$B$64,0)),""))</f>
        <v/>
      </c>
      <c r="E3163" s="13"/>
      <c r="F3163" s="14"/>
      <c r="G3163" s="8" t="str">
        <f>IF(OR(B3163="",E3163=""),"",IF(E3163="No","Missed",IF(F3163="","",IF(F3163&lt;=Settings!$B$7,"On time","Late"))))</f>
        <v/>
      </c>
      <c r="H3163" s="15"/>
      <c r="I3163" s="16"/>
      <c r="J3163" s="16"/>
      <c r="K3163" s="17" t="str">
        <f>IF(J3163="","",ROUND(J3163*Settings!$B$8,2))</f>
        <v/>
      </c>
      <c r="L3163" s="16"/>
      <c r="M3163" s="8" t="str">
        <f t="shared" si="49"/>
        <v/>
      </c>
      <c r="N3163" s="9"/>
    </row>
    <row r="3164" spans="1:14" ht="15.75">
      <c r="A3164" s="11"/>
      <c r="B3164" s="9"/>
      <c r="C3164" s="12" t="str">
        <f>IF(B3164="","",IFERROR(INDEX('Cashier Roster'!$C$5:$C$64,MATCH(B3164,'Cashier Roster'!$B$5:$B$64,0)),"Not on roster"))</f>
        <v/>
      </c>
      <c r="D3164" s="12" t="str">
        <f>IF(B3164="","",IFERROR(INDEX('Cashier Roster'!$D$5:$D$64,MATCH(B3164,'Cashier Roster'!$B$5:$B$64,0)),""))</f>
        <v/>
      </c>
      <c r="E3164" s="13"/>
      <c r="F3164" s="14"/>
      <c r="G3164" s="8" t="str">
        <f>IF(OR(B3164="",E3164=""),"",IF(E3164="No","Missed",IF(F3164="","",IF(F3164&lt;=Settings!$B$7,"On time","Late"))))</f>
        <v/>
      </c>
      <c r="H3164" s="15"/>
      <c r="I3164" s="16"/>
      <c r="J3164" s="16"/>
      <c r="K3164" s="17" t="str">
        <f>IF(J3164="","",ROUND(J3164*Settings!$B$8,2))</f>
        <v/>
      </c>
      <c r="L3164" s="16"/>
      <c r="M3164" s="8" t="str">
        <f t="shared" si="49"/>
        <v/>
      </c>
      <c r="N3164" s="9"/>
    </row>
    <row r="3165" spans="1:14" ht="15.75">
      <c r="A3165" s="11"/>
      <c r="B3165" s="9"/>
      <c r="C3165" s="12" t="str">
        <f>IF(B3165="","",IFERROR(INDEX('Cashier Roster'!$C$5:$C$64,MATCH(B3165,'Cashier Roster'!$B$5:$B$64,0)),"Not on roster"))</f>
        <v/>
      </c>
      <c r="D3165" s="12" t="str">
        <f>IF(B3165="","",IFERROR(INDEX('Cashier Roster'!$D$5:$D$64,MATCH(B3165,'Cashier Roster'!$B$5:$B$64,0)),""))</f>
        <v/>
      </c>
      <c r="E3165" s="13"/>
      <c r="F3165" s="14"/>
      <c r="G3165" s="8" t="str">
        <f>IF(OR(B3165="",E3165=""),"",IF(E3165="No","Missed",IF(F3165="","",IF(F3165&lt;=Settings!$B$7,"On time","Late"))))</f>
        <v/>
      </c>
      <c r="H3165" s="15"/>
      <c r="I3165" s="16"/>
      <c r="J3165" s="16"/>
      <c r="K3165" s="17" t="str">
        <f>IF(J3165="","",ROUND(J3165*Settings!$B$8,2))</f>
        <v/>
      </c>
      <c r="L3165" s="16"/>
      <c r="M3165" s="8" t="str">
        <f t="shared" si="49"/>
        <v/>
      </c>
      <c r="N3165" s="9"/>
    </row>
    <row r="3166" spans="1:14" ht="15.75">
      <c r="A3166" s="11"/>
      <c r="B3166" s="9"/>
      <c r="C3166" s="12" t="str">
        <f>IF(B3166="","",IFERROR(INDEX('Cashier Roster'!$C$5:$C$64,MATCH(B3166,'Cashier Roster'!$B$5:$B$64,0)),"Not on roster"))</f>
        <v/>
      </c>
      <c r="D3166" s="12" t="str">
        <f>IF(B3166="","",IFERROR(INDEX('Cashier Roster'!$D$5:$D$64,MATCH(B3166,'Cashier Roster'!$B$5:$B$64,0)),""))</f>
        <v/>
      </c>
      <c r="E3166" s="13"/>
      <c r="F3166" s="14"/>
      <c r="G3166" s="8" t="str">
        <f>IF(OR(B3166="",E3166=""),"",IF(E3166="No","Missed",IF(F3166="","",IF(F3166&lt;=Settings!$B$7,"On time","Late"))))</f>
        <v/>
      </c>
      <c r="H3166" s="15"/>
      <c r="I3166" s="16"/>
      <c r="J3166" s="16"/>
      <c r="K3166" s="17" t="str">
        <f>IF(J3166="","",ROUND(J3166*Settings!$B$8,2))</f>
        <v/>
      </c>
      <c r="L3166" s="16"/>
      <c r="M3166" s="8" t="str">
        <f t="shared" si="49"/>
        <v/>
      </c>
      <c r="N3166" s="9"/>
    </row>
    <row r="3167" spans="1:14" ht="15.75">
      <c r="A3167" s="11"/>
      <c r="B3167" s="9"/>
      <c r="C3167" s="12" t="str">
        <f>IF(B3167="","",IFERROR(INDEX('Cashier Roster'!$C$5:$C$64,MATCH(B3167,'Cashier Roster'!$B$5:$B$64,0)),"Not on roster"))</f>
        <v/>
      </c>
      <c r="D3167" s="12" t="str">
        <f>IF(B3167="","",IFERROR(INDEX('Cashier Roster'!$D$5:$D$64,MATCH(B3167,'Cashier Roster'!$B$5:$B$64,0)),""))</f>
        <v/>
      </c>
      <c r="E3167" s="13"/>
      <c r="F3167" s="14"/>
      <c r="G3167" s="8" t="str">
        <f>IF(OR(B3167="",E3167=""),"",IF(E3167="No","Missed",IF(F3167="","",IF(F3167&lt;=Settings!$B$7,"On time","Late"))))</f>
        <v/>
      </c>
      <c r="H3167" s="15"/>
      <c r="I3167" s="16"/>
      <c r="J3167" s="16"/>
      <c r="K3167" s="17" t="str">
        <f>IF(J3167="","",ROUND(J3167*Settings!$B$8,2))</f>
        <v/>
      </c>
      <c r="L3167" s="16"/>
      <c r="M3167" s="8" t="str">
        <f t="shared" si="49"/>
        <v/>
      </c>
      <c r="N3167" s="9"/>
    </row>
    <row r="3168" spans="1:14" ht="15.75">
      <c r="A3168" s="11"/>
      <c r="B3168" s="9"/>
      <c r="C3168" s="12" t="str">
        <f>IF(B3168="","",IFERROR(INDEX('Cashier Roster'!$C$5:$C$64,MATCH(B3168,'Cashier Roster'!$B$5:$B$64,0)),"Not on roster"))</f>
        <v/>
      </c>
      <c r="D3168" s="12" t="str">
        <f>IF(B3168="","",IFERROR(INDEX('Cashier Roster'!$D$5:$D$64,MATCH(B3168,'Cashier Roster'!$B$5:$B$64,0)),""))</f>
        <v/>
      </c>
      <c r="E3168" s="13"/>
      <c r="F3168" s="14"/>
      <c r="G3168" s="8" t="str">
        <f>IF(OR(B3168="",E3168=""),"",IF(E3168="No","Missed",IF(F3168="","",IF(F3168&lt;=Settings!$B$7,"On time","Late"))))</f>
        <v/>
      </c>
      <c r="H3168" s="15"/>
      <c r="I3168" s="16"/>
      <c r="J3168" s="16"/>
      <c r="K3168" s="17" t="str">
        <f>IF(J3168="","",ROUND(J3168*Settings!$B$8,2))</f>
        <v/>
      </c>
      <c r="L3168" s="16"/>
      <c r="M3168" s="8" t="str">
        <f t="shared" si="49"/>
        <v/>
      </c>
      <c r="N3168" s="9"/>
    </row>
    <row r="3169" spans="1:14" ht="15.75">
      <c r="A3169" s="11"/>
      <c r="B3169" s="9"/>
      <c r="C3169" s="12" t="str">
        <f>IF(B3169="","",IFERROR(INDEX('Cashier Roster'!$C$5:$C$64,MATCH(B3169,'Cashier Roster'!$B$5:$B$64,0)),"Not on roster"))</f>
        <v/>
      </c>
      <c r="D3169" s="12" t="str">
        <f>IF(B3169="","",IFERROR(INDEX('Cashier Roster'!$D$5:$D$64,MATCH(B3169,'Cashier Roster'!$B$5:$B$64,0)),""))</f>
        <v/>
      </c>
      <c r="E3169" s="13"/>
      <c r="F3169" s="14"/>
      <c r="G3169" s="8" t="str">
        <f>IF(OR(B3169="",E3169=""),"",IF(E3169="No","Missed",IF(F3169="","",IF(F3169&lt;=Settings!$B$7,"On time","Late"))))</f>
        <v/>
      </c>
      <c r="H3169" s="15"/>
      <c r="I3169" s="16"/>
      <c r="J3169" s="16"/>
      <c r="K3169" s="17" t="str">
        <f>IF(J3169="","",ROUND(J3169*Settings!$B$8,2))</f>
        <v/>
      </c>
      <c r="L3169" s="16"/>
      <c r="M3169" s="8" t="str">
        <f t="shared" si="49"/>
        <v/>
      </c>
      <c r="N3169" s="9"/>
    </row>
    <row r="3170" spans="1:14" ht="15.75">
      <c r="A3170" s="11"/>
      <c r="B3170" s="9"/>
      <c r="C3170" s="12" t="str">
        <f>IF(B3170="","",IFERROR(INDEX('Cashier Roster'!$C$5:$C$64,MATCH(B3170,'Cashier Roster'!$B$5:$B$64,0)),"Not on roster"))</f>
        <v/>
      </c>
      <c r="D3170" s="12" t="str">
        <f>IF(B3170="","",IFERROR(INDEX('Cashier Roster'!$D$5:$D$64,MATCH(B3170,'Cashier Roster'!$B$5:$B$64,0)),""))</f>
        <v/>
      </c>
      <c r="E3170" s="13"/>
      <c r="F3170" s="14"/>
      <c r="G3170" s="8" t="str">
        <f>IF(OR(B3170="",E3170=""),"",IF(E3170="No","Missed",IF(F3170="","",IF(F3170&lt;=Settings!$B$7,"On time","Late"))))</f>
        <v/>
      </c>
      <c r="H3170" s="15"/>
      <c r="I3170" s="16"/>
      <c r="J3170" s="16"/>
      <c r="K3170" s="17" t="str">
        <f>IF(J3170="","",ROUND(J3170*Settings!$B$8,2))</f>
        <v/>
      </c>
      <c r="L3170" s="16"/>
      <c r="M3170" s="8" t="str">
        <f t="shared" si="49"/>
        <v/>
      </c>
      <c r="N3170" s="9"/>
    </row>
    <row r="3171" spans="1:14" ht="15.75">
      <c r="A3171" s="11"/>
      <c r="B3171" s="9"/>
      <c r="C3171" s="12" t="str">
        <f>IF(B3171="","",IFERROR(INDEX('Cashier Roster'!$C$5:$C$64,MATCH(B3171,'Cashier Roster'!$B$5:$B$64,0)),"Not on roster"))</f>
        <v/>
      </c>
      <c r="D3171" s="12" t="str">
        <f>IF(B3171="","",IFERROR(INDEX('Cashier Roster'!$D$5:$D$64,MATCH(B3171,'Cashier Roster'!$B$5:$B$64,0)),""))</f>
        <v/>
      </c>
      <c r="E3171" s="13"/>
      <c r="F3171" s="14"/>
      <c r="G3171" s="8" t="str">
        <f>IF(OR(B3171="",E3171=""),"",IF(E3171="No","Missed",IF(F3171="","",IF(F3171&lt;=Settings!$B$7,"On time","Late"))))</f>
        <v/>
      </c>
      <c r="H3171" s="15"/>
      <c r="I3171" s="16"/>
      <c r="J3171" s="16"/>
      <c r="K3171" s="17" t="str">
        <f>IF(J3171="","",ROUND(J3171*Settings!$B$8,2))</f>
        <v/>
      </c>
      <c r="L3171" s="16"/>
      <c r="M3171" s="8" t="str">
        <f t="shared" si="49"/>
        <v/>
      </c>
      <c r="N3171" s="9"/>
    </row>
    <row r="3172" spans="1:14" ht="15.75">
      <c r="A3172" s="11"/>
      <c r="B3172" s="9"/>
      <c r="C3172" s="12" t="str">
        <f>IF(B3172="","",IFERROR(INDEX('Cashier Roster'!$C$5:$C$64,MATCH(B3172,'Cashier Roster'!$B$5:$B$64,0)),"Not on roster"))</f>
        <v/>
      </c>
      <c r="D3172" s="12" t="str">
        <f>IF(B3172="","",IFERROR(INDEX('Cashier Roster'!$D$5:$D$64,MATCH(B3172,'Cashier Roster'!$B$5:$B$64,0)),""))</f>
        <v/>
      </c>
      <c r="E3172" s="13"/>
      <c r="F3172" s="14"/>
      <c r="G3172" s="8" t="str">
        <f>IF(OR(B3172="",E3172=""),"",IF(E3172="No","Missed",IF(F3172="","",IF(F3172&lt;=Settings!$B$7,"On time","Late"))))</f>
        <v/>
      </c>
      <c r="H3172" s="15"/>
      <c r="I3172" s="16"/>
      <c r="J3172" s="16"/>
      <c r="K3172" s="17" t="str">
        <f>IF(J3172="","",ROUND(J3172*Settings!$B$8,2))</f>
        <v/>
      </c>
      <c r="L3172" s="16"/>
      <c r="M3172" s="8" t="str">
        <f t="shared" si="49"/>
        <v/>
      </c>
      <c r="N3172" s="9"/>
    </row>
    <row r="3173" spans="1:14" ht="15.75">
      <c r="A3173" s="11"/>
      <c r="B3173" s="9"/>
      <c r="C3173" s="12" t="str">
        <f>IF(B3173="","",IFERROR(INDEX('Cashier Roster'!$C$5:$C$64,MATCH(B3173,'Cashier Roster'!$B$5:$B$64,0)),"Not on roster"))</f>
        <v/>
      </c>
      <c r="D3173" s="12" t="str">
        <f>IF(B3173="","",IFERROR(INDEX('Cashier Roster'!$D$5:$D$64,MATCH(B3173,'Cashier Roster'!$B$5:$B$64,0)),""))</f>
        <v/>
      </c>
      <c r="E3173" s="13"/>
      <c r="F3173" s="14"/>
      <c r="G3173" s="8" t="str">
        <f>IF(OR(B3173="",E3173=""),"",IF(E3173="No","Missed",IF(F3173="","",IF(F3173&lt;=Settings!$B$7,"On time","Late"))))</f>
        <v/>
      </c>
      <c r="H3173" s="15"/>
      <c r="I3173" s="16"/>
      <c r="J3173" s="16"/>
      <c r="K3173" s="17" t="str">
        <f>IF(J3173="","",ROUND(J3173*Settings!$B$8,2))</f>
        <v/>
      </c>
      <c r="L3173" s="16"/>
      <c r="M3173" s="8" t="str">
        <f t="shared" si="49"/>
        <v/>
      </c>
      <c r="N3173" s="9"/>
    </row>
    <row r="3174" spans="1:14" ht="15.75">
      <c r="A3174" s="11"/>
      <c r="B3174" s="9"/>
      <c r="C3174" s="12" t="str">
        <f>IF(B3174="","",IFERROR(INDEX('Cashier Roster'!$C$5:$C$64,MATCH(B3174,'Cashier Roster'!$B$5:$B$64,0)),"Not on roster"))</f>
        <v/>
      </c>
      <c r="D3174" s="12" t="str">
        <f>IF(B3174="","",IFERROR(INDEX('Cashier Roster'!$D$5:$D$64,MATCH(B3174,'Cashier Roster'!$B$5:$B$64,0)),""))</f>
        <v/>
      </c>
      <c r="E3174" s="13"/>
      <c r="F3174" s="14"/>
      <c r="G3174" s="8" t="str">
        <f>IF(OR(B3174="",E3174=""),"",IF(E3174="No","Missed",IF(F3174="","",IF(F3174&lt;=Settings!$B$7,"On time","Late"))))</f>
        <v/>
      </c>
      <c r="H3174" s="15"/>
      <c r="I3174" s="16"/>
      <c r="J3174" s="16"/>
      <c r="K3174" s="17" t="str">
        <f>IF(J3174="","",ROUND(J3174*Settings!$B$8,2))</f>
        <v/>
      </c>
      <c r="L3174" s="16"/>
      <c r="M3174" s="8" t="str">
        <f t="shared" si="49"/>
        <v/>
      </c>
      <c r="N3174" s="9"/>
    </row>
    <row r="3175" spans="1:14" ht="15.75">
      <c r="A3175" s="11"/>
      <c r="B3175" s="9"/>
      <c r="C3175" s="12" t="str">
        <f>IF(B3175="","",IFERROR(INDEX('Cashier Roster'!$C$5:$C$64,MATCH(B3175,'Cashier Roster'!$B$5:$B$64,0)),"Not on roster"))</f>
        <v/>
      </c>
      <c r="D3175" s="12" t="str">
        <f>IF(B3175="","",IFERROR(INDEX('Cashier Roster'!$D$5:$D$64,MATCH(B3175,'Cashier Roster'!$B$5:$B$64,0)),""))</f>
        <v/>
      </c>
      <c r="E3175" s="13"/>
      <c r="F3175" s="14"/>
      <c r="G3175" s="8" t="str">
        <f>IF(OR(B3175="",E3175=""),"",IF(E3175="No","Missed",IF(F3175="","",IF(F3175&lt;=Settings!$B$7,"On time","Late"))))</f>
        <v/>
      </c>
      <c r="H3175" s="15"/>
      <c r="I3175" s="16"/>
      <c r="J3175" s="16"/>
      <c r="K3175" s="17" t="str">
        <f>IF(J3175="","",ROUND(J3175*Settings!$B$8,2))</f>
        <v/>
      </c>
      <c r="L3175" s="16"/>
      <c r="M3175" s="8" t="str">
        <f t="shared" si="49"/>
        <v/>
      </c>
      <c r="N3175" s="9"/>
    </row>
    <row r="3176" spans="1:14" ht="15.75">
      <c r="A3176" s="11"/>
      <c r="B3176" s="9"/>
      <c r="C3176" s="12" t="str">
        <f>IF(B3176="","",IFERROR(INDEX('Cashier Roster'!$C$5:$C$64,MATCH(B3176,'Cashier Roster'!$B$5:$B$64,0)),"Not on roster"))</f>
        <v/>
      </c>
      <c r="D3176" s="12" t="str">
        <f>IF(B3176="","",IFERROR(INDEX('Cashier Roster'!$D$5:$D$64,MATCH(B3176,'Cashier Roster'!$B$5:$B$64,0)),""))</f>
        <v/>
      </c>
      <c r="E3176" s="13"/>
      <c r="F3176" s="14"/>
      <c r="G3176" s="8" t="str">
        <f>IF(OR(B3176="",E3176=""),"",IF(E3176="No","Missed",IF(F3176="","",IF(F3176&lt;=Settings!$B$7,"On time","Late"))))</f>
        <v/>
      </c>
      <c r="H3176" s="15"/>
      <c r="I3176" s="16"/>
      <c r="J3176" s="16"/>
      <c r="K3176" s="17" t="str">
        <f>IF(J3176="","",ROUND(J3176*Settings!$B$8,2))</f>
        <v/>
      </c>
      <c r="L3176" s="16"/>
      <c r="M3176" s="8" t="str">
        <f t="shared" si="49"/>
        <v/>
      </c>
      <c r="N3176" s="9"/>
    </row>
    <row r="3177" spans="1:14" ht="15.75">
      <c r="A3177" s="11"/>
      <c r="B3177" s="9"/>
      <c r="C3177" s="12" t="str">
        <f>IF(B3177="","",IFERROR(INDEX('Cashier Roster'!$C$5:$C$64,MATCH(B3177,'Cashier Roster'!$B$5:$B$64,0)),"Not on roster"))</f>
        <v/>
      </c>
      <c r="D3177" s="12" t="str">
        <f>IF(B3177="","",IFERROR(INDEX('Cashier Roster'!$D$5:$D$64,MATCH(B3177,'Cashier Roster'!$B$5:$B$64,0)),""))</f>
        <v/>
      </c>
      <c r="E3177" s="13"/>
      <c r="F3177" s="14"/>
      <c r="G3177" s="8" t="str">
        <f>IF(OR(B3177="",E3177=""),"",IF(E3177="No","Missed",IF(F3177="","",IF(F3177&lt;=Settings!$B$7,"On time","Late"))))</f>
        <v/>
      </c>
      <c r="H3177" s="15"/>
      <c r="I3177" s="16"/>
      <c r="J3177" s="16"/>
      <c r="K3177" s="17" t="str">
        <f>IF(J3177="","",ROUND(J3177*Settings!$B$8,2))</f>
        <v/>
      </c>
      <c r="L3177" s="16"/>
      <c r="M3177" s="8" t="str">
        <f t="shared" si="49"/>
        <v/>
      </c>
      <c r="N3177" s="9"/>
    </row>
    <row r="3178" spans="1:14" ht="15.75">
      <c r="A3178" s="11"/>
      <c r="B3178" s="9"/>
      <c r="C3178" s="12" t="str">
        <f>IF(B3178="","",IFERROR(INDEX('Cashier Roster'!$C$5:$C$64,MATCH(B3178,'Cashier Roster'!$B$5:$B$64,0)),"Not on roster"))</f>
        <v/>
      </c>
      <c r="D3178" s="12" t="str">
        <f>IF(B3178="","",IFERROR(INDEX('Cashier Roster'!$D$5:$D$64,MATCH(B3178,'Cashier Roster'!$B$5:$B$64,0)),""))</f>
        <v/>
      </c>
      <c r="E3178" s="13"/>
      <c r="F3178" s="14"/>
      <c r="G3178" s="8" t="str">
        <f>IF(OR(B3178="",E3178=""),"",IF(E3178="No","Missed",IF(F3178="","",IF(F3178&lt;=Settings!$B$7,"On time","Late"))))</f>
        <v/>
      </c>
      <c r="H3178" s="15"/>
      <c r="I3178" s="16"/>
      <c r="J3178" s="16"/>
      <c r="K3178" s="17" t="str">
        <f>IF(J3178="","",ROUND(J3178*Settings!$B$8,2))</f>
        <v/>
      </c>
      <c r="L3178" s="16"/>
      <c r="M3178" s="8" t="str">
        <f t="shared" si="49"/>
        <v/>
      </c>
      <c r="N3178" s="9"/>
    </row>
    <row r="3179" spans="1:14" ht="15.75">
      <c r="A3179" s="11"/>
      <c r="B3179" s="9"/>
      <c r="C3179" s="12" t="str">
        <f>IF(B3179="","",IFERROR(INDEX('Cashier Roster'!$C$5:$C$64,MATCH(B3179,'Cashier Roster'!$B$5:$B$64,0)),"Not on roster"))</f>
        <v/>
      </c>
      <c r="D3179" s="12" t="str">
        <f>IF(B3179="","",IFERROR(INDEX('Cashier Roster'!$D$5:$D$64,MATCH(B3179,'Cashier Roster'!$B$5:$B$64,0)),""))</f>
        <v/>
      </c>
      <c r="E3179" s="13"/>
      <c r="F3179" s="14"/>
      <c r="G3179" s="8" t="str">
        <f>IF(OR(B3179="",E3179=""),"",IF(E3179="No","Missed",IF(F3179="","",IF(F3179&lt;=Settings!$B$7,"On time","Late"))))</f>
        <v/>
      </c>
      <c r="H3179" s="15"/>
      <c r="I3179" s="16"/>
      <c r="J3179" s="16"/>
      <c r="K3179" s="17" t="str">
        <f>IF(J3179="","",ROUND(J3179*Settings!$B$8,2))</f>
        <v/>
      </c>
      <c r="L3179" s="16"/>
      <c r="M3179" s="8" t="str">
        <f t="shared" si="49"/>
        <v/>
      </c>
      <c r="N3179" s="9"/>
    </row>
    <row r="3180" spans="1:14" ht="15.75">
      <c r="A3180" s="11"/>
      <c r="B3180" s="9"/>
      <c r="C3180" s="12" t="str">
        <f>IF(B3180="","",IFERROR(INDEX('Cashier Roster'!$C$5:$C$64,MATCH(B3180,'Cashier Roster'!$B$5:$B$64,0)),"Not on roster"))</f>
        <v/>
      </c>
      <c r="D3180" s="12" t="str">
        <f>IF(B3180="","",IFERROR(INDEX('Cashier Roster'!$D$5:$D$64,MATCH(B3180,'Cashier Roster'!$B$5:$B$64,0)),""))</f>
        <v/>
      </c>
      <c r="E3180" s="13"/>
      <c r="F3180" s="14"/>
      <c r="G3180" s="8" t="str">
        <f>IF(OR(B3180="",E3180=""),"",IF(E3180="No","Missed",IF(F3180="","",IF(F3180&lt;=Settings!$B$7,"On time","Late"))))</f>
        <v/>
      </c>
      <c r="H3180" s="15"/>
      <c r="I3180" s="16"/>
      <c r="J3180" s="16"/>
      <c r="K3180" s="17" t="str">
        <f>IF(J3180="","",ROUND(J3180*Settings!$B$8,2))</f>
        <v/>
      </c>
      <c r="L3180" s="16"/>
      <c r="M3180" s="8" t="str">
        <f t="shared" si="49"/>
        <v/>
      </c>
      <c r="N3180" s="9"/>
    </row>
    <row r="3181" spans="1:14" ht="15.75">
      <c r="A3181" s="11"/>
      <c r="B3181" s="9"/>
      <c r="C3181" s="12" t="str">
        <f>IF(B3181="","",IFERROR(INDEX('Cashier Roster'!$C$5:$C$64,MATCH(B3181,'Cashier Roster'!$B$5:$B$64,0)),"Not on roster"))</f>
        <v/>
      </c>
      <c r="D3181" s="12" t="str">
        <f>IF(B3181="","",IFERROR(INDEX('Cashier Roster'!$D$5:$D$64,MATCH(B3181,'Cashier Roster'!$B$5:$B$64,0)),""))</f>
        <v/>
      </c>
      <c r="E3181" s="13"/>
      <c r="F3181" s="14"/>
      <c r="G3181" s="8" t="str">
        <f>IF(OR(B3181="",E3181=""),"",IF(E3181="No","Missed",IF(F3181="","",IF(F3181&lt;=Settings!$B$7,"On time","Late"))))</f>
        <v/>
      </c>
      <c r="H3181" s="15"/>
      <c r="I3181" s="16"/>
      <c r="J3181" s="16"/>
      <c r="K3181" s="17" t="str">
        <f>IF(J3181="","",ROUND(J3181*Settings!$B$8,2))</f>
        <v/>
      </c>
      <c r="L3181" s="16"/>
      <c r="M3181" s="8" t="str">
        <f t="shared" si="49"/>
        <v/>
      </c>
      <c r="N3181" s="9"/>
    </row>
    <row r="3182" spans="1:14" ht="15.75">
      <c r="A3182" s="11"/>
      <c r="B3182" s="9"/>
      <c r="C3182" s="12" t="str">
        <f>IF(B3182="","",IFERROR(INDEX('Cashier Roster'!$C$5:$C$64,MATCH(B3182,'Cashier Roster'!$B$5:$B$64,0)),"Not on roster"))</f>
        <v/>
      </c>
      <c r="D3182" s="12" t="str">
        <f>IF(B3182="","",IFERROR(INDEX('Cashier Roster'!$D$5:$D$64,MATCH(B3182,'Cashier Roster'!$B$5:$B$64,0)),""))</f>
        <v/>
      </c>
      <c r="E3182" s="13"/>
      <c r="F3182" s="14"/>
      <c r="G3182" s="8" t="str">
        <f>IF(OR(B3182="",E3182=""),"",IF(E3182="No","Missed",IF(F3182="","",IF(F3182&lt;=Settings!$B$7,"On time","Late"))))</f>
        <v/>
      </c>
      <c r="H3182" s="15"/>
      <c r="I3182" s="16"/>
      <c r="J3182" s="16"/>
      <c r="K3182" s="17" t="str">
        <f>IF(J3182="","",ROUND(J3182*Settings!$B$8,2))</f>
        <v/>
      </c>
      <c r="L3182" s="16"/>
      <c r="M3182" s="8" t="str">
        <f t="shared" si="49"/>
        <v/>
      </c>
      <c r="N3182" s="9"/>
    </row>
    <row r="3183" spans="1:14" ht="15.75">
      <c r="A3183" s="11"/>
      <c r="B3183" s="9"/>
      <c r="C3183" s="12" t="str">
        <f>IF(B3183="","",IFERROR(INDEX('Cashier Roster'!$C$5:$C$64,MATCH(B3183,'Cashier Roster'!$B$5:$B$64,0)),"Not on roster"))</f>
        <v/>
      </c>
      <c r="D3183" s="12" t="str">
        <f>IF(B3183="","",IFERROR(INDEX('Cashier Roster'!$D$5:$D$64,MATCH(B3183,'Cashier Roster'!$B$5:$B$64,0)),""))</f>
        <v/>
      </c>
      <c r="E3183" s="13"/>
      <c r="F3183" s="14"/>
      <c r="G3183" s="8" t="str">
        <f>IF(OR(B3183="",E3183=""),"",IF(E3183="No","Missed",IF(F3183="","",IF(F3183&lt;=Settings!$B$7,"On time","Late"))))</f>
        <v/>
      </c>
      <c r="H3183" s="15"/>
      <c r="I3183" s="16"/>
      <c r="J3183" s="16"/>
      <c r="K3183" s="17" t="str">
        <f>IF(J3183="","",ROUND(J3183*Settings!$B$8,2))</f>
        <v/>
      </c>
      <c r="L3183" s="16"/>
      <c r="M3183" s="8" t="str">
        <f t="shared" si="49"/>
        <v/>
      </c>
      <c r="N3183" s="9"/>
    </row>
    <row r="3184" spans="1:14" ht="15.75">
      <c r="A3184" s="11"/>
      <c r="B3184" s="9"/>
      <c r="C3184" s="12" t="str">
        <f>IF(B3184="","",IFERROR(INDEX('Cashier Roster'!$C$5:$C$64,MATCH(B3184,'Cashier Roster'!$B$5:$B$64,0)),"Not on roster"))</f>
        <v/>
      </c>
      <c r="D3184" s="12" t="str">
        <f>IF(B3184="","",IFERROR(INDEX('Cashier Roster'!$D$5:$D$64,MATCH(B3184,'Cashier Roster'!$B$5:$B$64,0)),""))</f>
        <v/>
      </c>
      <c r="E3184" s="13"/>
      <c r="F3184" s="14"/>
      <c r="G3184" s="8" t="str">
        <f>IF(OR(B3184="",E3184=""),"",IF(E3184="No","Missed",IF(F3184="","",IF(F3184&lt;=Settings!$B$7,"On time","Late"))))</f>
        <v/>
      </c>
      <c r="H3184" s="15"/>
      <c r="I3184" s="16"/>
      <c r="J3184" s="16"/>
      <c r="K3184" s="17" t="str">
        <f>IF(J3184="","",ROUND(J3184*Settings!$B$8,2))</f>
        <v/>
      </c>
      <c r="L3184" s="16"/>
      <c r="M3184" s="8" t="str">
        <f t="shared" si="49"/>
        <v/>
      </c>
      <c r="N3184" s="9"/>
    </row>
    <row r="3185" spans="1:14" ht="15.75">
      <c r="A3185" s="11"/>
      <c r="B3185" s="9"/>
      <c r="C3185" s="12" t="str">
        <f>IF(B3185="","",IFERROR(INDEX('Cashier Roster'!$C$5:$C$64,MATCH(B3185,'Cashier Roster'!$B$5:$B$64,0)),"Not on roster"))</f>
        <v/>
      </c>
      <c r="D3185" s="12" t="str">
        <f>IF(B3185="","",IFERROR(INDEX('Cashier Roster'!$D$5:$D$64,MATCH(B3185,'Cashier Roster'!$B$5:$B$64,0)),""))</f>
        <v/>
      </c>
      <c r="E3185" s="13"/>
      <c r="F3185" s="14"/>
      <c r="G3185" s="8" t="str">
        <f>IF(OR(B3185="",E3185=""),"",IF(E3185="No","Missed",IF(F3185="","",IF(F3185&lt;=Settings!$B$7,"On time","Late"))))</f>
        <v/>
      </c>
      <c r="H3185" s="15"/>
      <c r="I3185" s="16"/>
      <c r="J3185" s="16"/>
      <c r="K3185" s="17" t="str">
        <f>IF(J3185="","",ROUND(J3185*Settings!$B$8,2))</f>
        <v/>
      </c>
      <c r="L3185" s="16"/>
      <c r="M3185" s="8" t="str">
        <f t="shared" si="49"/>
        <v/>
      </c>
      <c r="N3185" s="9"/>
    </row>
    <row r="3186" spans="1:14" ht="15.75">
      <c r="A3186" s="11"/>
      <c r="B3186" s="9"/>
      <c r="C3186" s="12" t="str">
        <f>IF(B3186="","",IFERROR(INDEX('Cashier Roster'!$C$5:$C$64,MATCH(B3186,'Cashier Roster'!$B$5:$B$64,0)),"Not on roster"))</f>
        <v/>
      </c>
      <c r="D3186" s="12" t="str">
        <f>IF(B3186="","",IFERROR(INDEX('Cashier Roster'!$D$5:$D$64,MATCH(B3186,'Cashier Roster'!$B$5:$B$64,0)),""))</f>
        <v/>
      </c>
      <c r="E3186" s="13"/>
      <c r="F3186" s="14"/>
      <c r="G3186" s="8" t="str">
        <f>IF(OR(B3186="",E3186=""),"",IF(E3186="No","Missed",IF(F3186="","",IF(F3186&lt;=Settings!$B$7,"On time","Late"))))</f>
        <v/>
      </c>
      <c r="H3186" s="15"/>
      <c r="I3186" s="16"/>
      <c r="J3186" s="16"/>
      <c r="K3186" s="17" t="str">
        <f>IF(J3186="","",ROUND(J3186*Settings!$B$8,2))</f>
        <v/>
      </c>
      <c r="L3186" s="16"/>
      <c r="M3186" s="8" t="str">
        <f t="shared" si="49"/>
        <v/>
      </c>
      <c r="N3186" s="9"/>
    </row>
    <row r="3187" spans="1:14" ht="15.75">
      <c r="A3187" s="11"/>
      <c r="B3187" s="9"/>
      <c r="C3187" s="12" t="str">
        <f>IF(B3187="","",IFERROR(INDEX('Cashier Roster'!$C$5:$C$64,MATCH(B3187,'Cashier Roster'!$B$5:$B$64,0)),"Not on roster"))</f>
        <v/>
      </c>
      <c r="D3187" s="12" t="str">
        <f>IF(B3187="","",IFERROR(INDEX('Cashier Roster'!$D$5:$D$64,MATCH(B3187,'Cashier Roster'!$B$5:$B$64,0)),""))</f>
        <v/>
      </c>
      <c r="E3187" s="13"/>
      <c r="F3187" s="14"/>
      <c r="G3187" s="8" t="str">
        <f>IF(OR(B3187="",E3187=""),"",IF(E3187="No","Missed",IF(F3187="","",IF(F3187&lt;=Settings!$B$7,"On time","Late"))))</f>
        <v/>
      </c>
      <c r="H3187" s="15"/>
      <c r="I3187" s="16"/>
      <c r="J3187" s="16"/>
      <c r="K3187" s="17" t="str">
        <f>IF(J3187="","",ROUND(J3187*Settings!$B$8,2))</f>
        <v/>
      </c>
      <c r="L3187" s="16"/>
      <c r="M3187" s="8" t="str">
        <f t="shared" si="49"/>
        <v/>
      </c>
      <c r="N3187" s="9"/>
    </row>
    <row r="3188" spans="1:14" ht="15.75">
      <c r="A3188" s="11"/>
      <c r="B3188" s="9"/>
      <c r="C3188" s="12" t="str">
        <f>IF(B3188="","",IFERROR(INDEX('Cashier Roster'!$C$5:$C$64,MATCH(B3188,'Cashier Roster'!$B$5:$B$64,0)),"Not on roster"))</f>
        <v/>
      </c>
      <c r="D3188" s="12" t="str">
        <f>IF(B3188="","",IFERROR(INDEX('Cashier Roster'!$D$5:$D$64,MATCH(B3188,'Cashier Roster'!$B$5:$B$64,0)),""))</f>
        <v/>
      </c>
      <c r="E3188" s="13"/>
      <c r="F3188" s="14"/>
      <c r="G3188" s="8" t="str">
        <f>IF(OR(B3188="",E3188=""),"",IF(E3188="No","Missed",IF(F3188="","",IF(F3188&lt;=Settings!$B$7,"On time","Late"))))</f>
        <v/>
      </c>
      <c r="H3188" s="15"/>
      <c r="I3188" s="16"/>
      <c r="J3188" s="16"/>
      <c r="K3188" s="17" t="str">
        <f>IF(J3188="","",ROUND(J3188*Settings!$B$8,2))</f>
        <v/>
      </c>
      <c r="L3188" s="16"/>
      <c r="M3188" s="8" t="str">
        <f t="shared" si="49"/>
        <v/>
      </c>
      <c r="N3188" s="9"/>
    </row>
    <row r="3189" spans="1:14" ht="15.75">
      <c r="A3189" s="11"/>
      <c r="B3189" s="9"/>
      <c r="C3189" s="12" t="str">
        <f>IF(B3189="","",IFERROR(INDEX('Cashier Roster'!$C$5:$C$64,MATCH(B3189,'Cashier Roster'!$B$5:$B$64,0)),"Not on roster"))</f>
        <v/>
      </c>
      <c r="D3189" s="12" t="str">
        <f>IF(B3189="","",IFERROR(INDEX('Cashier Roster'!$D$5:$D$64,MATCH(B3189,'Cashier Roster'!$B$5:$B$64,0)),""))</f>
        <v/>
      </c>
      <c r="E3189" s="13"/>
      <c r="F3189" s="14"/>
      <c r="G3189" s="8" t="str">
        <f>IF(OR(B3189="",E3189=""),"",IF(E3189="No","Missed",IF(F3189="","",IF(F3189&lt;=Settings!$B$7,"On time","Late"))))</f>
        <v/>
      </c>
      <c r="H3189" s="15"/>
      <c r="I3189" s="16"/>
      <c r="J3189" s="16"/>
      <c r="K3189" s="17" t="str">
        <f>IF(J3189="","",ROUND(J3189*Settings!$B$8,2))</f>
        <v/>
      </c>
      <c r="L3189" s="16"/>
      <c r="M3189" s="8" t="str">
        <f t="shared" si="49"/>
        <v/>
      </c>
      <c r="N3189" s="9"/>
    </row>
    <row r="3190" spans="1:14" ht="15.75">
      <c r="A3190" s="11"/>
      <c r="B3190" s="9"/>
      <c r="C3190" s="12" t="str">
        <f>IF(B3190="","",IFERROR(INDEX('Cashier Roster'!$C$5:$C$64,MATCH(B3190,'Cashier Roster'!$B$5:$B$64,0)),"Not on roster"))</f>
        <v/>
      </c>
      <c r="D3190" s="12" t="str">
        <f>IF(B3190="","",IFERROR(INDEX('Cashier Roster'!$D$5:$D$64,MATCH(B3190,'Cashier Roster'!$B$5:$B$64,0)),""))</f>
        <v/>
      </c>
      <c r="E3190" s="13"/>
      <c r="F3190" s="14"/>
      <c r="G3190" s="8" t="str">
        <f>IF(OR(B3190="",E3190=""),"",IF(E3190="No","Missed",IF(F3190="","",IF(F3190&lt;=Settings!$B$7,"On time","Late"))))</f>
        <v/>
      </c>
      <c r="H3190" s="15"/>
      <c r="I3190" s="16"/>
      <c r="J3190" s="16"/>
      <c r="K3190" s="17" t="str">
        <f>IF(J3190="","",ROUND(J3190*Settings!$B$8,2))</f>
        <v/>
      </c>
      <c r="L3190" s="16"/>
      <c r="M3190" s="8" t="str">
        <f t="shared" si="49"/>
        <v/>
      </c>
      <c r="N3190" s="9"/>
    </row>
    <row r="3191" spans="1:14" ht="15.75">
      <c r="A3191" s="11"/>
      <c r="B3191" s="9"/>
      <c r="C3191" s="12" t="str">
        <f>IF(B3191="","",IFERROR(INDEX('Cashier Roster'!$C$5:$C$64,MATCH(B3191,'Cashier Roster'!$B$5:$B$64,0)),"Not on roster"))</f>
        <v/>
      </c>
      <c r="D3191" s="12" t="str">
        <f>IF(B3191="","",IFERROR(INDEX('Cashier Roster'!$D$5:$D$64,MATCH(B3191,'Cashier Roster'!$B$5:$B$64,0)),""))</f>
        <v/>
      </c>
      <c r="E3191" s="13"/>
      <c r="F3191" s="14"/>
      <c r="G3191" s="8" t="str">
        <f>IF(OR(B3191="",E3191=""),"",IF(E3191="No","Missed",IF(F3191="","",IF(F3191&lt;=Settings!$B$7,"On time","Late"))))</f>
        <v/>
      </c>
      <c r="H3191" s="15"/>
      <c r="I3191" s="16"/>
      <c r="J3191" s="16"/>
      <c r="K3191" s="17" t="str">
        <f>IF(J3191="","",ROUND(J3191*Settings!$B$8,2))</f>
        <v/>
      </c>
      <c r="L3191" s="16"/>
      <c r="M3191" s="8" t="str">
        <f t="shared" si="49"/>
        <v/>
      </c>
      <c r="N3191" s="9"/>
    </row>
    <row r="3192" spans="1:14" ht="15.75">
      <c r="A3192" s="11"/>
      <c r="B3192" s="9"/>
      <c r="C3192" s="12" t="str">
        <f>IF(B3192="","",IFERROR(INDEX('Cashier Roster'!$C$5:$C$64,MATCH(B3192,'Cashier Roster'!$B$5:$B$64,0)),"Not on roster"))</f>
        <v/>
      </c>
      <c r="D3192" s="12" t="str">
        <f>IF(B3192="","",IFERROR(INDEX('Cashier Roster'!$D$5:$D$64,MATCH(B3192,'Cashier Roster'!$B$5:$B$64,0)),""))</f>
        <v/>
      </c>
      <c r="E3192" s="13"/>
      <c r="F3192" s="14"/>
      <c r="G3192" s="8" t="str">
        <f>IF(OR(B3192="",E3192=""),"",IF(E3192="No","Missed",IF(F3192="","",IF(F3192&lt;=Settings!$B$7,"On time","Late"))))</f>
        <v/>
      </c>
      <c r="H3192" s="15"/>
      <c r="I3192" s="16"/>
      <c r="J3192" s="16"/>
      <c r="K3192" s="17" t="str">
        <f>IF(J3192="","",ROUND(J3192*Settings!$B$8,2))</f>
        <v/>
      </c>
      <c r="L3192" s="16"/>
      <c r="M3192" s="8" t="str">
        <f t="shared" si="49"/>
        <v/>
      </c>
      <c r="N3192" s="9"/>
    </row>
    <row r="3193" spans="1:14" ht="15.75">
      <c r="A3193" s="11"/>
      <c r="B3193" s="9"/>
      <c r="C3193" s="12" t="str">
        <f>IF(B3193="","",IFERROR(INDEX('Cashier Roster'!$C$5:$C$64,MATCH(B3193,'Cashier Roster'!$B$5:$B$64,0)),"Not on roster"))</f>
        <v/>
      </c>
      <c r="D3193" s="12" t="str">
        <f>IF(B3193="","",IFERROR(INDEX('Cashier Roster'!$D$5:$D$64,MATCH(B3193,'Cashier Roster'!$B$5:$B$64,0)),""))</f>
        <v/>
      </c>
      <c r="E3193" s="13"/>
      <c r="F3193" s="14"/>
      <c r="G3193" s="8" t="str">
        <f>IF(OR(B3193="",E3193=""),"",IF(E3193="No","Missed",IF(F3193="","",IF(F3193&lt;=Settings!$B$7,"On time","Late"))))</f>
        <v/>
      </c>
      <c r="H3193" s="15"/>
      <c r="I3193" s="16"/>
      <c r="J3193" s="16"/>
      <c r="K3193" s="17" t="str">
        <f>IF(J3193="","",ROUND(J3193*Settings!$B$8,2))</f>
        <v/>
      </c>
      <c r="L3193" s="16"/>
      <c r="M3193" s="8" t="str">
        <f t="shared" si="49"/>
        <v/>
      </c>
      <c r="N3193" s="9"/>
    </row>
    <row r="3194" spans="1:14" ht="15.75">
      <c r="A3194" s="11"/>
      <c r="B3194" s="9"/>
      <c r="C3194" s="12" t="str">
        <f>IF(B3194="","",IFERROR(INDEX('Cashier Roster'!$C$5:$C$64,MATCH(B3194,'Cashier Roster'!$B$5:$B$64,0)),"Not on roster"))</f>
        <v/>
      </c>
      <c r="D3194" s="12" t="str">
        <f>IF(B3194="","",IFERROR(INDEX('Cashier Roster'!$D$5:$D$64,MATCH(B3194,'Cashier Roster'!$B$5:$B$64,0)),""))</f>
        <v/>
      </c>
      <c r="E3194" s="13"/>
      <c r="F3194" s="14"/>
      <c r="G3194" s="8" t="str">
        <f>IF(OR(B3194="",E3194=""),"",IF(E3194="No","Missed",IF(F3194="","",IF(F3194&lt;=Settings!$B$7,"On time","Late"))))</f>
        <v/>
      </c>
      <c r="H3194" s="15"/>
      <c r="I3194" s="16"/>
      <c r="J3194" s="16"/>
      <c r="K3194" s="17" t="str">
        <f>IF(J3194="","",ROUND(J3194*Settings!$B$8,2))</f>
        <v/>
      </c>
      <c r="L3194" s="16"/>
      <c r="M3194" s="8" t="str">
        <f t="shared" si="49"/>
        <v/>
      </c>
      <c r="N3194" s="9"/>
    </row>
    <row r="3195" spans="1:14" ht="15.75">
      <c r="A3195" s="11"/>
      <c r="B3195" s="9"/>
      <c r="C3195" s="12" t="str">
        <f>IF(B3195="","",IFERROR(INDEX('Cashier Roster'!$C$5:$C$64,MATCH(B3195,'Cashier Roster'!$B$5:$B$64,0)),"Not on roster"))</f>
        <v/>
      </c>
      <c r="D3195" s="12" t="str">
        <f>IF(B3195="","",IFERROR(INDEX('Cashier Roster'!$D$5:$D$64,MATCH(B3195,'Cashier Roster'!$B$5:$B$64,0)),""))</f>
        <v/>
      </c>
      <c r="E3195" s="13"/>
      <c r="F3195" s="14"/>
      <c r="G3195" s="8" t="str">
        <f>IF(OR(B3195="",E3195=""),"",IF(E3195="No","Missed",IF(F3195="","",IF(F3195&lt;=Settings!$B$7,"On time","Late"))))</f>
        <v/>
      </c>
      <c r="H3195" s="15"/>
      <c r="I3195" s="16"/>
      <c r="J3195" s="16"/>
      <c r="K3195" s="17" t="str">
        <f>IF(J3195="","",ROUND(J3195*Settings!$B$8,2))</f>
        <v/>
      </c>
      <c r="L3195" s="16"/>
      <c r="M3195" s="8" t="str">
        <f t="shared" si="49"/>
        <v/>
      </c>
      <c r="N3195" s="9"/>
    </row>
    <row r="3196" spans="1:14" ht="15.75">
      <c r="A3196" s="11"/>
      <c r="B3196" s="9"/>
      <c r="C3196" s="12" t="str">
        <f>IF(B3196="","",IFERROR(INDEX('Cashier Roster'!$C$5:$C$64,MATCH(B3196,'Cashier Roster'!$B$5:$B$64,0)),"Not on roster"))</f>
        <v/>
      </c>
      <c r="D3196" s="12" t="str">
        <f>IF(B3196="","",IFERROR(INDEX('Cashier Roster'!$D$5:$D$64,MATCH(B3196,'Cashier Roster'!$B$5:$B$64,0)),""))</f>
        <v/>
      </c>
      <c r="E3196" s="13"/>
      <c r="F3196" s="14"/>
      <c r="G3196" s="8" t="str">
        <f>IF(OR(B3196="",E3196=""),"",IF(E3196="No","Missed",IF(F3196="","",IF(F3196&lt;=Settings!$B$7,"On time","Late"))))</f>
        <v/>
      </c>
      <c r="H3196" s="15"/>
      <c r="I3196" s="16"/>
      <c r="J3196" s="16"/>
      <c r="K3196" s="17" t="str">
        <f>IF(J3196="","",ROUND(J3196*Settings!$B$8,2))</f>
        <v/>
      </c>
      <c r="L3196" s="16"/>
      <c r="M3196" s="8" t="str">
        <f t="shared" si="49"/>
        <v/>
      </c>
      <c r="N3196" s="9"/>
    </row>
    <row r="3197" spans="1:14" ht="15.75">
      <c r="A3197" s="11"/>
      <c r="B3197" s="9"/>
      <c r="C3197" s="12" t="str">
        <f>IF(B3197="","",IFERROR(INDEX('Cashier Roster'!$C$5:$C$64,MATCH(B3197,'Cashier Roster'!$B$5:$B$64,0)),"Not on roster"))</f>
        <v/>
      </c>
      <c r="D3197" s="12" t="str">
        <f>IF(B3197="","",IFERROR(INDEX('Cashier Roster'!$D$5:$D$64,MATCH(B3197,'Cashier Roster'!$B$5:$B$64,0)),""))</f>
        <v/>
      </c>
      <c r="E3197" s="13"/>
      <c r="F3197" s="14"/>
      <c r="G3197" s="8" t="str">
        <f>IF(OR(B3197="",E3197=""),"",IF(E3197="No","Missed",IF(F3197="","",IF(F3197&lt;=Settings!$B$7,"On time","Late"))))</f>
        <v/>
      </c>
      <c r="H3197" s="15"/>
      <c r="I3197" s="16"/>
      <c r="J3197" s="16"/>
      <c r="K3197" s="17" t="str">
        <f>IF(J3197="","",ROUND(J3197*Settings!$B$8,2))</f>
        <v/>
      </c>
      <c r="L3197" s="16"/>
      <c r="M3197" s="8" t="str">
        <f t="shared" si="49"/>
        <v/>
      </c>
      <c r="N3197" s="9"/>
    </row>
    <row r="3198" spans="1:14" ht="15.75">
      <c r="A3198" s="11"/>
      <c r="B3198" s="9"/>
      <c r="C3198" s="12" t="str">
        <f>IF(B3198="","",IFERROR(INDEX('Cashier Roster'!$C$5:$C$64,MATCH(B3198,'Cashier Roster'!$B$5:$B$64,0)),"Not on roster"))</f>
        <v/>
      </c>
      <c r="D3198" s="12" t="str">
        <f>IF(B3198="","",IFERROR(INDEX('Cashier Roster'!$D$5:$D$64,MATCH(B3198,'Cashier Roster'!$B$5:$B$64,0)),""))</f>
        <v/>
      </c>
      <c r="E3198" s="13"/>
      <c r="F3198" s="14"/>
      <c r="G3198" s="8" t="str">
        <f>IF(OR(B3198="",E3198=""),"",IF(E3198="No","Missed",IF(F3198="","",IF(F3198&lt;=Settings!$B$7,"On time","Late"))))</f>
        <v/>
      </c>
      <c r="H3198" s="15"/>
      <c r="I3198" s="16"/>
      <c r="J3198" s="16"/>
      <c r="K3198" s="17" t="str">
        <f>IF(J3198="","",ROUND(J3198*Settings!$B$8,2))</f>
        <v/>
      </c>
      <c r="L3198" s="16"/>
      <c r="M3198" s="8" t="str">
        <f t="shared" si="49"/>
        <v/>
      </c>
      <c r="N3198" s="9"/>
    </row>
    <row r="3199" spans="1:14" ht="15.75">
      <c r="A3199" s="11"/>
      <c r="B3199" s="9"/>
      <c r="C3199" s="12" t="str">
        <f>IF(B3199="","",IFERROR(INDEX('Cashier Roster'!$C$5:$C$64,MATCH(B3199,'Cashier Roster'!$B$5:$B$64,0)),"Not on roster"))</f>
        <v/>
      </c>
      <c r="D3199" s="12" t="str">
        <f>IF(B3199="","",IFERROR(INDEX('Cashier Roster'!$D$5:$D$64,MATCH(B3199,'Cashier Roster'!$B$5:$B$64,0)),""))</f>
        <v/>
      </c>
      <c r="E3199" s="13"/>
      <c r="F3199" s="14"/>
      <c r="G3199" s="8" t="str">
        <f>IF(OR(B3199="",E3199=""),"",IF(E3199="No","Missed",IF(F3199="","",IF(F3199&lt;=Settings!$B$7,"On time","Late"))))</f>
        <v/>
      </c>
      <c r="H3199" s="15"/>
      <c r="I3199" s="16"/>
      <c r="J3199" s="16"/>
      <c r="K3199" s="17" t="str">
        <f>IF(J3199="","",ROUND(J3199*Settings!$B$8,2))</f>
        <v/>
      </c>
      <c r="L3199" s="16"/>
      <c r="M3199" s="8" t="str">
        <f t="shared" si="49"/>
        <v/>
      </c>
      <c r="N3199" s="9"/>
    </row>
    <row r="3200" spans="1:14" ht="15.75">
      <c r="A3200" s="11"/>
      <c r="B3200" s="9"/>
      <c r="C3200" s="12" t="str">
        <f>IF(B3200="","",IFERROR(INDEX('Cashier Roster'!$C$5:$C$64,MATCH(B3200,'Cashier Roster'!$B$5:$B$64,0)),"Not on roster"))</f>
        <v/>
      </c>
      <c r="D3200" s="12" t="str">
        <f>IF(B3200="","",IFERROR(INDEX('Cashier Roster'!$D$5:$D$64,MATCH(B3200,'Cashier Roster'!$B$5:$B$64,0)),""))</f>
        <v/>
      </c>
      <c r="E3200" s="13"/>
      <c r="F3200" s="14"/>
      <c r="G3200" s="8" t="str">
        <f>IF(OR(B3200="",E3200=""),"",IF(E3200="No","Missed",IF(F3200="","",IF(F3200&lt;=Settings!$B$7,"On time","Late"))))</f>
        <v/>
      </c>
      <c r="H3200" s="15"/>
      <c r="I3200" s="16"/>
      <c r="J3200" s="16"/>
      <c r="K3200" s="17" t="str">
        <f>IF(J3200="","",ROUND(J3200*Settings!$B$8,2))</f>
        <v/>
      </c>
      <c r="L3200" s="16"/>
      <c r="M3200" s="8" t="str">
        <f t="shared" si="49"/>
        <v/>
      </c>
      <c r="N3200" s="9"/>
    </row>
    <row r="3201" spans="1:14" ht="15.75">
      <c r="A3201" s="11"/>
      <c r="B3201" s="9"/>
      <c r="C3201" s="12" t="str">
        <f>IF(B3201="","",IFERROR(INDEX('Cashier Roster'!$C$5:$C$64,MATCH(B3201,'Cashier Roster'!$B$5:$B$64,0)),"Not on roster"))</f>
        <v/>
      </c>
      <c r="D3201" s="12" t="str">
        <f>IF(B3201="","",IFERROR(INDEX('Cashier Roster'!$D$5:$D$64,MATCH(B3201,'Cashier Roster'!$B$5:$B$64,0)),""))</f>
        <v/>
      </c>
      <c r="E3201" s="13"/>
      <c r="F3201" s="14"/>
      <c r="G3201" s="8" t="str">
        <f>IF(OR(B3201="",E3201=""),"",IF(E3201="No","Missed",IF(F3201="","",IF(F3201&lt;=Settings!$B$7,"On time","Late"))))</f>
        <v/>
      </c>
      <c r="H3201" s="15"/>
      <c r="I3201" s="16"/>
      <c r="J3201" s="16"/>
      <c r="K3201" s="17" t="str">
        <f>IF(J3201="","",ROUND(J3201*Settings!$B$8,2))</f>
        <v/>
      </c>
      <c r="L3201" s="16"/>
      <c r="M3201" s="8" t="str">
        <f t="shared" si="49"/>
        <v/>
      </c>
      <c r="N3201" s="9"/>
    </row>
    <row r="3202" spans="1:14" ht="15.75">
      <c r="A3202" s="11"/>
      <c r="B3202" s="9"/>
      <c r="C3202" s="12" t="str">
        <f>IF(B3202="","",IFERROR(INDEX('Cashier Roster'!$C$5:$C$64,MATCH(B3202,'Cashier Roster'!$B$5:$B$64,0)),"Not on roster"))</f>
        <v/>
      </c>
      <c r="D3202" s="12" t="str">
        <f>IF(B3202="","",IFERROR(INDEX('Cashier Roster'!$D$5:$D$64,MATCH(B3202,'Cashier Roster'!$B$5:$B$64,0)),""))</f>
        <v/>
      </c>
      <c r="E3202" s="13"/>
      <c r="F3202" s="14"/>
      <c r="G3202" s="8" t="str">
        <f>IF(OR(B3202="",E3202=""),"",IF(E3202="No","Missed",IF(F3202="","",IF(F3202&lt;=Settings!$B$7,"On time","Late"))))</f>
        <v/>
      </c>
      <c r="H3202" s="15"/>
      <c r="I3202" s="16"/>
      <c r="J3202" s="16"/>
      <c r="K3202" s="17" t="str">
        <f>IF(J3202="","",ROUND(J3202*Settings!$B$8,2))</f>
        <v/>
      </c>
      <c r="L3202" s="16"/>
      <c r="M3202" s="8" t="str">
        <f t="shared" si="49"/>
        <v/>
      </c>
      <c r="N3202" s="9"/>
    </row>
    <row r="3203" spans="1:14" ht="15.75">
      <c r="A3203" s="11"/>
      <c r="B3203" s="9"/>
      <c r="C3203" s="12" t="str">
        <f>IF(B3203="","",IFERROR(INDEX('Cashier Roster'!$C$5:$C$64,MATCH(B3203,'Cashier Roster'!$B$5:$B$64,0)),"Not on roster"))</f>
        <v/>
      </c>
      <c r="D3203" s="12" t="str">
        <f>IF(B3203="","",IFERROR(INDEX('Cashier Roster'!$D$5:$D$64,MATCH(B3203,'Cashier Roster'!$B$5:$B$64,0)),""))</f>
        <v/>
      </c>
      <c r="E3203" s="13"/>
      <c r="F3203" s="14"/>
      <c r="G3203" s="8" t="str">
        <f>IF(OR(B3203="",E3203=""),"",IF(E3203="No","Missed",IF(F3203="","",IF(F3203&lt;=Settings!$B$7,"On time","Late"))))</f>
        <v/>
      </c>
      <c r="H3203" s="15"/>
      <c r="I3203" s="16"/>
      <c r="J3203" s="16"/>
      <c r="K3203" s="17" t="str">
        <f>IF(J3203="","",ROUND(J3203*Settings!$B$8,2))</f>
        <v/>
      </c>
      <c r="L3203" s="16"/>
      <c r="M3203" s="8" t="str">
        <f t="shared" si="49"/>
        <v/>
      </c>
      <c r="N3203" s="9"/>
    </row>
    <row r="3204" spans="1:14" ht="15.75">
      <c r="A3204" s="11"/>
      <c r="B3204" s="9"/>
      <c r="C3204" s="12" t="str">
        <f>IF(B3204="","",IFERROR(INDEX('Cashier Roster'!$C$5:$C$64,MATCH(B3204,'Cashier Roster'!$B$5:$B$64,0)),"Not on roster"))</f>
        <v/>
      </c>
      <c r="D3204" s="12" t="str">
        <f>IF(B3204="","",IFERROR(INDEX('Cashier Roster'!$D$5:$D$64,MATCH(B3204,'Cashier Roster'!$B$5:$B$64,0)),""))</f>
        <v/>
      </c>
      <c r="E3204" s="13"/>
      <c r="F3204" s="14"/>
      <c r="G3204" s="8" t="str">
        <f>IF(OR(B3204="",E3204=""),"",IF(E3204="No","Missed",IF(F3204="","",IF(F3204&lt;=Settings!$B$7,"On time","Late"))))</f>
        <v/>
      </c>
      <c r="H3204" s="15"/>
      <c r="I3204" s="16"/>
      <c r="J3204" s="16"/>
      <c r="K3204" s="17" t="str">
        <f>IF(J3204="","",ROUND(J3204*Settings!$B$8,2))</f>
        <v/>
      </c>
      <c r="L3204" s="16"/>
      <c r="M3204" s="8" t="str">
        <f t="shared" si="49"/>
        <v/>
      </c>
      <c r="N3204" s="9"/>
    </row>
    <row r="3205" spans="1:14" ht="15.75">
      <c r="A3205" s="11"/>
      <c r="B3205" s="9"/>
      <c r="C3205" s="12" t="str">
        <f>IF(B3205="","",IFERROR(INDEX('Cashier Roster'!$C$5:$C$64,MATCH(B3205,'Cashier Roster'!$B$5:$B$64,0)),"Not on roster"))</f>
        <v/>
      </c>
      <c r="D3205" s="12" t="str">
        <f>IF(B3205="","",IFERROR(INDEX('Cashier Roster'!$D$5:$D$64,MATCH(B3205,'Cashier Roster'!$B$5:$B$64,0)),""))</f>
        <v/>
      </c>
      <c r="E3205" s="13"/>
      <c r="F3205" s="14"/>
      <c r="G3205" s="8" t="str">
        <f>IF(OR(B3205="",E3205=""),"",IF(E3205="No","Missed",IF(F3205="","",IF(F3205&lt;=Settings!$B$7,"On time","Late"))))</f>
        <v/>
      </c>
      <c r="H3205" s="15"/>
      <c r="I3205" s="16"/>
      <c r="J3205" s="16"/>
      <c r="K3205" s="17" t="str">
        <f>IF(J3205="","",ROUND(J3205*Settings!$B$8,2))</f>
        <v/>
      </c>
      <c r="L3205" s="16"/>
      <c r="M3205" s="8" t="str">
        <f t="shared" ref="M3205:M3268" si="50">IF(L3205="","",IF(L3205&lt;=0,"Yes","No"))</f>
        <v/>
      </c>
      <c r="N3205" s="9"/>
    </row>
    <row r="3206" spans="1:14" ht="15.75">
      <c r="A3206" s="11"/>
      <c r="B3206" s="9"/>
      <c r="C3206" s="12" t="str">
        <f>IF(B3206="","",IFERROR(INDEX('Cashier Roster'!$C$5:$C$64,MATCH(B3206,'Cashier Roster'!$B$5:$B$64,0)),"Not on roster"))</f>
        <v/>
      </c>
      <c r="D3206" s="12" t="str">
        <f>IF(B3206="","",IFERROR(INDEX('Cashier Roster'!$D$5:$D$64,MATCH(B3206,'Cashier Roster'!$B$5:$B$64,0)),""))</f>
        <v/>
      </c>
      <c r="E3206" s="13"/>
      <c r="F3206" s="14"/>
      <c r="G3206" s="8" t="str">
        <f>IF(OR(B3206="",E3206=""),"",IF(E3206="No","Missed",IF(F3206="","",IF(F3206&lt;=Settings!$B$7,"On time","Late"))))</f>
        <v/>
      </c>
      <c r="H3206" s="15"/>
      <c r="I3206" s="16"/>
      <c r="J3206" s="16"/>
      <c r="K3206" s="17" t="str">
        <f>IF(J3206="","",ROUND(J3206*Settings!$B$8,2))</f>
        <v/>
      </c>
      <c r="L3206" s="16"/>
      <c r="M3206" s="8" t="str">
        <f t="shared" si="50"/>
        <v/>
      </c>
      <c r="N3206" s="9"/>
    </row>
    <row r="3207" spans="1:14" ht="15.75">
      <c r="A3207" s="11"/>
      <c r="B3207" s="9"/>
      <c r="C3207" s="12" t="str">
        <f>IF(B3207="","",IFERROR(INDEX('Cashier Roster'!$C$5:$C$64,MATCH(B3207,'Cashier Roster'!$B$5:$B$64,0)),"Not on roster"))</f>
        <v/>
      </c>
      <c r="D3207" s="12" t="str">
        <f>IF(B3207="","",IFERROR(INDEX('Cashier Roster'!$D$5:$D$64,MATCH(B3207,'Cashier Roster'!$B$5:$B$64,0)),""))</f>
        <v/>
      </c>
      <c r="E3207" s="13"/>
      <c r="F3207" s="14"/>
      <c r="G3207" s="8" t="str">
        <f>IF(OR(B3207="",E3207=""),"",IF(E3207="No","Missed",IF(F3207="","",IF(F3207&lt;=Settings!$B$7,"On time","Late"))))</f>
        <v/>
      </c>
      <c r="H3207" s="15"/>
      <c r="I3207" s="16"/>
      <c r="J3207" s="16"/>
      <c r="K3207" s="17" t="str">
        <f>IF(J3207="","",ROUND(J3207*Settings!$B$8,2))</f>
        <v/>
      </c>
      <c r="L3207" s="16"/>
      <c r="M3207" s="8" t="str">
        <f t="shared" si="50"/>
        <v/>
      </c>
      <c r="N3207" s="9"/>
    </row>
    <row r="3208" spans="1:14" ht="15.75">
      <c r="A3208" s="11"/>
      <c r="B3208" s="9"/>
      <c r="C3208" s="12" t="str">
        <f>IF(B3208="","",IFERROR(INDEX('Cashier Roster'!$C$5:$C$64,MATCH(B3208,'Cashier Roster'!$B$5:$B$64,0)),"Not on roster"))</f>
        <v/>
      </c>
      <c r="D3208" s="12" t="str">
        <f>IF(B3208="","",IFERROR(INDEX('Cashier Roster'!$D$5:$D$64,MATCH(B3208,'Cashier Roster'!$B$5:$B$64,0)),""))</f>
        <v/>
      </c>
      <c r="E3208" s="13"/>
      <c r="F3208" s="14"/>
      <c r="G3208" s="8" t="str">
        <f>IF(OR(B3208="",E3208=""),"",IF(E3208="No","Missed",IF(F3208="","",IF(F3208&lt;=Settings!$B$7,"On time","Late"))))</f>
        <v/>
      </c>
      <c r="H3208" s="15"/>
      <c r="I3208" s="16"/>
      <c r="J3208" s="16"/>
      <c r="K3208" s="17" t="str">
        <f>IF(J3208="","",ROUND(J3208*Settings!$B$8,2))</f>
        <v/>
      </c>
      <c r="L3208" s="16"/>
      <c r="M3208" s="8" t="str">
        <f t="shared" si="50"/>
        <v/>
      </c>
      <c r="N3208" s="9"/>
    </row>
    <row r="3209" spans="1:14" ht="15.75">
      <c r="A3209" s="11"/>
      <c r="B3209" s="9"/>
      <c r="C3209" s="12" t="str">
        <f>IF(B3209="","",IFERROR(INDEX('Cashier Roster'!$C$5:$C$64,MATCH(B3209,'Cashier Roster'!$B$5:$B$64,0)),"Not on roster"))</f>
        <v/>
      </c>
      <c r="D3209" s="12" t="str">
        <f>IF(B3209="","",IFERROR(INDEX('Cashier Roster'!$D$5:$D$64,MATCH(B3209,'Cashier Roster'!$B$5:$B$64,0)),""))</f>
        <v/>
      </c>
      <c r="E3209" s="13"/>
      <c r="F3209" s="14"/>
      <c r="G3209" s="8" t="str">
        <f>IF(OR(B3209="",E3209=""),"",IF(E3209="No","Missed",IF(F3209="","",IF(F3209&lt;=Settings!$B$7,"On time","Late"))))</f>
        <v/>
      </c>
      <c r="H3209" s="15"/>
      <c r="I3209" s="16"/>
      <c r="J3209" s="16"/>
      <c r="K3209" s="17" t="str">
        <f>IF(J3209="","",ROUND(J3209*Settings!$B$8,2))</f>
        <v/>
      </c>
      <c r="L3209" s="16"/>
      <c r="M3209" s="8" t="str">
        <f t="shared" si="50"/>
        <v/>
      </c>
      <c r="N3209" s="9"/>
    </row>
    <row r="3210" spans="1:14" ht="15.75">
      <c r="A3210" s="11"/>
      <c r="B3210" s="9"/>
      <c r="C3210" s="12" t="str">
        <f>IF(B3210="","",IFERROR(INDEX('Cashier Roster'!$C$5:$C$64,MATCH(B3210,'Cashier Roster'!$B$5:$B$64,0)),"Not on roster"))</f>
        <v/>
      </c>
      <c r="D3210" s="12" t="str">
        <f>IF(B3210="","",IFERROR(INDEX('Cashier Roster'!$D$5:$D$64,MATCH(B3210,'Cashier Roster'!$B$5:$B$64,0)),""))</f>
        <v/>
      </c>
      <c r="E3210" s="13"/>
      <c r="F3210" s="14"/>
      <c r="G3210" s="8" t="str">
        <f>IF(OR(B3210="",E3210=""),"",IF(E3210="No","Missed",IF(F3210="","",IF(F3210&lt;=Settings!$B$7,"On time","Late"))))</f>
        <v/>
      </c>
      <c r="H3210" s="15"/>
      <c r="I3210" s="16"/>
      <c r="J3210" s="16"/>
      <c r="K3210" s="17" t="str">
        <f>IF(J3210="","",ROUND(J3210*Settings!$B$8,2))</f>
        <v/>
      </c>
      <c r="L3210" s="16"/>
      <c r="M3210" s="8" t="str">
        <f t="shared" si="50"/>
        <v/>
      </c>
      <c r="N3210" s="9"/>
    </row>
    <row r="3211" spans="1:14" ht="15.75">
      <c r="A3211" s="11"/>
      <c r="B3211" s="9"/>
      <c r="C3211" s="12" t="str">
        <f>IF(B3211="","",IFERROR(INDEX('Cashier Roster'!$C$5:$C$64,MATCH(B3211,'Cashier Roster'!$B$5:$B$64,0)),"Not on roster"))</f>
        <v/>
      </c>
      <c r="D3211" s="12" t="str">
        <f>IF(B3211="","",IFERROR(INDEX('Cashier Roster'!$D$5:$D$64,MATCH(B3211,'Cashier Roster'!$B$5:$B$64,0)),""))</f>
        <v/>
      </c>
      <c r="E3211" s="13"/>
      <c r="F3211" s="14"/>
      <c r="G3211" s="8" t="str">
        <f>IF(OR(B3211="",E3211=""),"",IF(E3211="No","Missed",IF(F3211="","",IF(F3211&lt;=Settings!$B$7,"On time","Late"))))</f>
        <v/>
      </c>
      <c r="H3211" s="15"/>
      <c r="I3211" s="16"/>
      <c r="J3211" s="16"/>
      <c r="K3211" s="17" t="str">
        <f>IF(J3211="","",ROUND(J3211*Settings!$B$8,2))</f>
        <v/>
      </c>
      <c r="L3211" s="16"/>
      <c r="M3211" s="8" t="str">
        <f t="shared" si="50"/>
        <v/>
      </c>
      <c r="N3211" s="9"/>
    </row>
    <row r="3212" spans="1:14" ht="15.75">
      <c r="A3212" s="11"/>
      <c r="B3212" s="9"/>
      <c r="C3212" s="12" t="str">
        <f>IF(B3212="","",IFERROR(INDEX('Cashier Roster'!$C$5:$C$64,MATCH(B3212,'Cashier Roster'!$B$5:$B$64,0)),"Not on roster"))</f>
        <v/>
      </c>
      <c r="D3212" s="12" t="str">
        <f>IF(B3212="","",IFERROR(INDEX('Cashier Roster'!$D$5:$D$64,MATCH(B3212,'Cashier Roster'!$B$5:$B$64,0)),""))</f>
        <v/>
      </c>
      <c r="E3212" s="13"/>
      <c r="F3212" s="14"/>
      <c r="G3212" s="8" t="str">
        <f>IF(OR(B3212="",E3212=""),"",IF(E3212="No","Missed",IF(F3212="","",IF(F3212&lt;=Settings!$B$7,"On time","Late"))))</f>
        <v/>
      </c>
      <c r="H3212" s="15"/>
      <c r="I3212" s="16"/>
      <c r="J3212" s="16"/>
      <c r="K3212" s="17" t="str">
        <f>IF(J3212="","",ROUND(J3212*Settings!$B$8,2))</f>
        <v/>
      </c>
      <c r="L3212" s="16"/>
      <c r="M3212" s="8" t="str">
        <f t="shared" si="50"/>
        <v/>
      </c>
      <c r="N3212" s="9"/>
    </row>
    <row r="3213" spans="1:14" ht="15.75">
      <c r="A3213" s="11"/>
      <c r="B3213" s="9"/>
      <c r="C3213" s="12" t="str">
        <f>IF(B3213="","",IFERROR(INDEX('Cashier Roster'!$C$5:$C$64,MATCH(B3213,'Cashier Roster'!$B$5:$B$64,0)),"Not on roster"))</f>
        <v/>
      </c>
      <c r="D3213" s="12" t="str">
        <f>IF(B3213="","",IFERROR(INDEX('Cashier Roster'!$D$5:$D$64,MATCH(B3213,'Cashier Roster'!$B$5:$B$64,0)),""))</f>
        <v/>
      </c>
      <c r="E3213" s="13"/>
      <c r="F3213" s="14"/>
      <c r="G3213" s="8" t="str">
        <f>IF(OR(B3213="",E3213=""),"",IF(E3213="No","Missed",IF(F3213="","",IF(F3213&lt;=Settings!$B$7,"On time","Late"))))</f>
        <v/>
      </c>
      <c r="H3213" s="15"/>
      <c r="I3213" s="16"/>
      <c r="J3213" s="16"/>
      <c r="K3213" s="17" t="str">
        <f>IF(J3213="","",ROUND(J3213*Settings!$B$8,2))</f>
        <v/>
      </c>
      <c r="L3213" s="16"/>
      <c r="M3213" s="8" t="str">
        <f t="shared" si="50"/>
        <v/>
      </c>
      <c r="N3213" s="9"/>
    </row>
    <row r="3214" spans="1:14" ht="15.75">
      <c r="A3214" s="11"/>
      <c r="B3214" s="9"/>
      <c r="C3214" s="12" t="str">
        <f>IF(B3214="","",IFERROR(INDEX('Cashier Roster'!$C$5:$C$64,MATCH(B3214,'Cashier Roster'!$B$5:$B$64,0)),"Not on roster"))</f>
        <v/>
      </c>
      <c r="D3214" s="12" t="str">
        <f>IF(B3214="","",IFERROR(INDEX('Cashier Roster'!$D$5:$D$64,MATCH(B3214,'Cashier Roster'!$B$5:$B$64,0)),""))</f>
        <v/>
      </c>
      <c r="E3214" s="13"/>
      <c r="F3214" s="14"/>
      <c r="G3214" s="8" t="str">
        <f>IF(OR(B3214="",E3214=""),"",IF(E3214="No","Missed",IF(F3214="","",IF(F3214&lt;=Settings!$B$7,"On time","Late"))))</f>
        <v/>
      </c>
      <c r="H3214" s="15"/>
      <c r="I3214" s="16"/>
      <c r="J3214" s="16"/>
      <c r="K3214" s="17" t="str">
        <f>IF(J3214="","",ROUND(J3214*Settings!$B$8,2))</f>
        <v/>
      </c>
      <c r="L3214" s="16"/>
      <c r="M3214" s="8" t="str">
        <f t="shared" si="50"/>
        <v/>
      </c>
      <c r="N3214" s="9"/>
    </row>
    <row r="3215" spans="1:14" ht="15.75">
      <c r="A3215" s="11"/>
      <c r="B3215" s="9"/>
      <c r="C3215" s="12" t="str">
        <f>IF(B3215="","",IFERROR(INDEX('Cashier Roster'!$C$5:$C$64,MATCH(B3215,'Cashier Roster'!$B$5:$B$64,0)),"Not on roster"))</f>
        <v/>
      </c>
      <c r="D3215" s="12" t="str">
        <f>IF(B3215="","",IFERROR(INDEX('Cashier Roster'!$D$5:$D$64,MATCH(B3215,'Cashier Roster'!$B$5:$B$64,0)),""))</f>
        <v/>
      </c>
      <c r="E3215" s="13"/>
      <c r="F3215" s="14"/>
      <c r="G3215" s="8" t="str">
        <f>IF(OR(B3215="",E3215=""),"",IF(E3215="No","Missed",IF(F3215="","",IF(F3215&lt;=Settings!$B$7,"On time","Late"))))</f>
        <v/>
      </c>
      <c r="H3215" s="15"/>
      <c r="I3215" s="16"/>
      <c r="J3215" s="16"/>
      <c r="K3215" s="17" t="str">
        <f>IF(J3215="","",ROUND(J3215*Settings!$B$8,2))</f>
        <v/>
      </c>
      <c r="L3215" s="16"/>
      <c r="M3215" s="8" t="str">
        <f t="shared" si="50"/>
        <v/>
      </c>
      <c r="N3215" s="9"/>
    </row>
    <row r="3216" spans="1:14" ht="15.75">
      <c r="A3216" s="11"/>
      <c r="B3216" s="9"/>
      <c r="C3216" s="12" t="str">
        <f>IF(B3216="","",IFERROR(INDEX('Cashier Roster'!$C$5:$C$64,MATCH(B3216,'Cashier Roster'!$B$5:$B$64,0)),"Not on roster"))</f>
        <v/>
      </c>
      <c r="D3216" s="12" t="str">
        <f>IF(B3216="","",IFERROR(INDEX('Cashier Roster'!$D$5:$D$64,MATCH(B3216,'Cashier Roster'!$B$5:$B$64,0)),""))</f>
        <v/>
      </c>
      <c r="E3216" s="13"/>
      <c r="F3216" s="14"/>
      <c r="G3216" s="8" t="str">
        <f>IF(OR(B3216="",E3216=""),"",IF(E3216="No","Missed",IF(F3216="","",IF(F3216&lt;=Settings!$B$7,"On time","Late"))))</f>
        <v/>
      </c>
      <c r="H3216" s="15"/>
      <c r="I3216" s="16"/>
      <c r="J3216" s="16"/>
      <c r="K3216" s="17" t="str">
        <f>IF(J3216="","",ROUND(J3216*Settings!$B$8,2))</f>
        <v/>
      </c>
      <c r="L3216" s="16"/>
      <c r="M3216" s="8" t="str">
        <f t="shared" si="50"/>
        <v/>
      </c>
      <c r="N3216" s="9"/>
    </row>
    <row r="3217" spans="1:14" ht="15.75">
      <c r="A3217" s="11"/>
      <c r="B3217" s="9"/>
      <c r="C3217" s="12" t="str">
        <f>IF(B3217="","",IFERROR(INDEX('Cashier Roster'!$C$5:$C$64,MATCH(B3217,'Cashier Roster'!$B$5:$B$64,0)),"Not on roster"))</f>
        <v/>
      </c>
      <c r="D3217" s="12" t="str">
        <f>IF(B3217="","",IFERROR(INDEX('Cashier Roster'!$D$5:$D$64,MATCH(B3217,'Cashier Roster'!$B$5:$B$64,0)),""))</f>
        <v/>
      </c>
      <c r="E3217" s="13"/>
      <c r="F3217" s="14"/>
      <c r="G3217" s="8" t="str">
        <f>IF(OR(B3217="",E3217=""),"",IF(E3217="No","Missed",IF(F3217="","",IF(F3217&lt;=Settings!$B$7,"On time","Late"))))</f>
        <v/>
      </c>
      <c r="H3217" s="15"/>
      <c r="I3217" s="16"/>
      <c r="J3217" s="16"/>
      <c r="K3217" s="17" t="str">
        <f>IF(J3217="","",ROUND(J3217*Settings!$B$8,2))</f>
        <v/>
      </c>
      <c r="L3217" s="16"/>
      <c r="M3217" s="8" t="str">
        <f t="shared" si="50"/>
        <v/>
      </c>
      <c r="N3217" s="9"/>
    </row>
    <row r="3218" spans="1:14" ht="15.75">
      <c r="A3218" s="11"/>
      <c r="B3218" s="9"/>
      <c r="C3218" s="12" t="str">
        <f>IF(B3218="","",IFERROR(INDEX('Cashier Roster'!$C$5:$C$64,MATCH(B3218,'Cashier Roster'!$B$5:$B$64,0)),"Not on roster"))</f>
        <v/>
      </c>
      <c r="D3218" s="12" t="str">
        <f>IF(B3218="","",IFERROR(INDEX('Cashier Roster'!$D$5:$D$64,MATCH(B3218,'Cashier Roster'!$B$5:$B$64,0)),""))</f>
        <v/>
      </c>
      <c r="E3218" s="13"/>
      <c r="F3218" s="14"/>
      <c r="G3218" s="8" t="str">
        <f>IF(OR(B3218="",E3218=""),"",IF(E3218="No","Missed",IF(F3218="","",IF(F3218&lt;=Settings!$B$7,"On time","Late"))))</f>
        <v/>
      </c>
      <c r="H3218" s="15"/>
      <c r="I3218" s="16"/>
      <c r="J3218" s="16"/>
      <c r="K3218" s="17" t="str">
        <f>IF(J3218="","",ROUND(J3218*Settings!$B$8,2))</f>
        <v/>
      </c>
      <c r="L3218" s="16"/>
      <c r="M3218" s="8" t="str">
        <f t="shared" si="50"/>
        <v/>
      </c>
      <c r="N3218" s="9"/>
    </row>
    <row r="3219" spans="1:14" ht="15.75">
      <c r="A3219" s="11"/>
      <c r="B3219" s="9"/>
      <c r="C3219" s="12" t="str">
        <f>IF(B3219="","",IFERROR(INDEX('Cashier Roster'!$C$5:$C$64,MATCH(B3219,'Cashier Roster'!$B$5:$B$64,0)),"Not on roster"))</f>
        <v/>
      </c>
      <c r="D3219" s="12" t="str">
        <f>IF(B3219="","",IFERROR(INDEX('Cashier Roster'!$D$5:$D$64,MATCH(B3219,'Cashier Roster'!$B$5:$B$64,0)),""))</f>
        <v/>
      </c>
      <c r="E3219" s="13"/>
      <c r="F3219" s="14"/>
      <c r="G3219" s="8" t="str">
        <f>IF(OR(B3219="",E3219=""),"",IF(E3219="No","Missed",IF(F3219="","",IF(F3219&lt;=Settings!$B$7,"On time","Late"))))</f>
        <v/>
      </c>
      <c r="H3219" s="15"/>
      <c r="I3219" s="16"/>
      <c r="J3219" s="16"/>
      <c r="K3219" s="17" t="str">
        <f>IF(J3219="","",ROUND(J3219*Settings!$B$8,2))</f>
        <v/>
      </c>
      <c r="L3219" s="16"/>
      <c r="M3219" s="8" t="str">
        <f t="shared" si="50"/>
        <v/>
      </c>
      <c r="N3219" s="9"/>
    </row>
    <row r="3220" spans="1:14" ht="15.75">
      <c r="A3220" s="11"/>
      <c r="B3220" s="9"/>
      <c r="C3220" s="12" t="str">
        <f>IF(B3220="","",IFERROR(INDEX('Cashier Roster'!$C$5:$C$64,MATCH(B3220,'Cashier Roster'!$B$5:$B$64,0)),"Not on roster"))</f>
        <v/>
      </c>
      <c r="D3220" s="12" t="str">
        <f>IF(B3220="","",IFERROR(INDEX('Cashier Roster'!$D$5:$D$64,MATCH(B3220,'Cashier Roster'!$B$5:$B$64,0)),""))</f>
        <v/>
      </c>
      <c r="E3220" s="13"/>
      <c r="F3220" s="14"/>
      <c r="G3220" s="8" t="str">
        <f>IF(OR(B3220="",E3220=""),"",IF(E3220="No","Missed",IF(F3220="","",IF(F3220&lt;=Settings!$B$7,"On time","Late"))))</f>
        <v/>
      </c>
      <c r="H3220" s="15"/>
      <c r="I3220" s="16"/>
      <c r="J3220" s="16"/>
      <c r="K3220" s="17" t="str">
        <f>IF(J3220="","",ROUND(J3220*Settings!$B$8,2))</f>
        <v/>
      </c>
      <c r="L3220" s="16"/>
      <c r="M3220" s="8" t="str">
        <f t="shared" si="50"/>
        <v/>
      </c>
      <c r="N3220" s="9"/>
    </row>
    <row r="3221" spans="1:14" ht="15.75">
      <c r="A3221" s="11"/>
      <c r="B3221" s="9"/>
      <c r="C3221" s="12" t="str">
        <f>IF(B3221="","",IFERROR(INDEX('Cashier Roster'!$C$5:$C$64,MATCH(B3221,'Cashier Roster'!$B$5:$B$64,0)),"Not on roster"))</f>
        <v/>
      </c>
      <c r="D3221" s="12" t="str">
        <f>IF(B3221="","",IFERROR(INDEX('Cashier Roster'!$D$5:$D$64,MATCH(B3221,'Cashier Roster'!$B$5:$B$64,0)),""))</f>
        <v/>
      </c>
      <c r="E3221" s="13"/>
      <c r="F3221" s="14"/>
      <c r="G3221" s="8" t="str">
        <f>IF(OR(B3221="",E3221=""),"",IF(E3221="No","Missed",IF(F3221="","",IF(F3221&lt;=Settings!$B$7,"On time","Late"))))</f>
        <v/>
      </c>
      <c r="H3221" s="15"/>
      <c r="I3221" s="16"/>
      <c r="J3221" s="16"/>
      <c r="K3221" s="17" t="str">
        <f>IF(J3221="","",ROUND(J3221*Settings!$B$8,2))</f>
        <v/>
      </c>
      <c r="L3221" s="16"/>
      <c r="M3221" s="8" t="str">
        <f t="shared" si="50"/>
        <v/>
      </c>
      <c r="N3221" s="9"/>
    </row>
    <row r="3222" spans="1:14" ht="15.75">
      <c r="A3222" s="11"/>
      <c r="B3222" s="9"/>
      <c r="C3222" s="12" t="str">
        <f>IF(B3222="","",IFERROR(INDEX('Cashier Roster'!$C$5:$C$64,MATCH(B3222,'Cashier Roster'!$B$5:$B$64,0)),"Not on roster"))</f>
        <v/>
      </c>
      <c r="D3222" s="12" t="str">
        <f>IF(B3222="","",IFERROR(INDEX('Cashier Roster'!$D$5:$D$64,MATCH(B3222,'Cashier Roster'!$B$5:$B$64,0)),""))</f>
        <v/>
      </c>
      <c r="E3222" s="13"/>
      <c r="F3222" s="14"/>
      <c r="G3222" s="8" t="str">
        <f>IF(OR(B3222="",E3222=""),"",IF(E3222="No","Missed",IF(F3222="","",IF(F3222&lt;=Settings!$B$7,"On time","Late"))))</f>
        <v/>
      </c>
      <c r="H3222" s="15"/>
      <c r="I3222" s="16"/>
      <c r="J3222" s="16"/>
      <c r="K3222" s="17" t="str">
        <f>IF(J3222="","",ROUND(J3222*Settings!$B$8,2))</f>
        <v/>
      </c>
      <c r="L3222" s="16"/>
      <c r="M3222" s="8" t="str">
        <f t="shared" si="50"/>
        <v/>
      </c>
      <c r="N3222" s="9"/>
    </row>
    <row r="3223" spans="1:14" ht="15.75">
      <c r="A3223" s="11"/>
      <c r="B3223" s="9"/>
      <c r="C3223" s="12" t="str">
        <f>IF(B3223="","",IFERROR(INDEX('Cashier Roster'!$C$5:$C$64,MATCH(B3223,'Cashier Roster'!$B$5:$B$64,0)),"Not on roster"))</f>
        <v/>
      </c>
      <c r="D3223" s="12" t="str">
        <f>IF(B3223="","",IFERROR(INDEX('Cashier Roster'!$D$5:$D$64,MATCH(B3223,'Cashier Roster'!$B$5:$B$64,0)),""))</f>
        <v/>
      </c>
      <c r="E3223" s="13"/>
      <c r="F3223" s="14"/>
      <c r="G3223" s="8" t="str">
        <f>IF(OR(B3223="",E3223=""),"",IF(E3223="No","Missed",IF(F3223="","",IF(F3223&lt;=Settings!$B$7,"On time","Late"))))</f>
        <v/>
      </c>
      <c r="H3223" s="15"/>
      <c r="I3223" s="16"/>
      <c r="J3223" s="16"/>
      <c r="K3223" s="17" t="str">
        <f>IF(J3223="","",ROUND(J3223*Settings!$B$8,2))</f>
        <v/>
      </c>
      <c r="L3223" s="16"/>
      <c r="M3223" s="8" t="str">
        <f t="shared" si="50"/>
        <v/>
      </c>
      <c r="N3223" s="9"/>
    </row>
    <row r="3224" spans="1:14" ht="15.75">
      <c r="A3224" s="11"/>
      <c r="B3224" s="9"/>
      <c r="C3224" s="12" t="str">
        <f>IF(B3224="","",IFERROR(INDEX('Cashier Roster'!$C$5:$C$64,MATCH(B3224,'Cashier Roster'!$B$5:$B$64,0)),"Not on roster"))</f>
        <v/>
      </c>
      <c r="D3224" s="12" t="str">
        <f>IF(B3224="","",IFERROR(INDEX('Cashier Roster'!$D$5:$D$64,MATCH(B3224,'Cashier Roster'!$B$5:$B$64,0)),""))</f>
        <v/>
      </c>
      <c r="E3224" s="13"/>
      <c r="F3224" s="14"/>
      <c r="G3224" s="8" t="str">
        <f>IF(OR(B3224="",E3224=""),"",IF(E3224="No","Missed",IF(F3224="","",IF(F3224&lt;=Settings!$B$7,"On time","Late"))))</f>
        <v/>
      </c>
      <c r="H3224" s="15"/>
      <c r="I3224" s="16"/>
      <c r="J3224" s="16"/>
      <c r="K3224" s="17" t="str">
        <f>IF(J3224="","",ROUND(J3224*Settings!$B$8,2))</f>
        <v/>
      </c>
      <c r="L3224" s="16"/>
      <c r="M3224" s="8" t="str">
        <f t="shared" si="50"/>
        <v/>
      </c>
      <c r="N3224" s="9"/>
    </row>
    <row r="3225" spans="1:14" ht="15.75">
      <c r="A3225" s="11"/>
      <c r="B3225" s="9"/>
      <c r="C3225" s="12" t="str">
        <f>IF(B3225="","",IFERROR(INDEX('Cashier Roster'!$C$5:$C$64,MATCH(B3225,'Cashier Roster'!$B$5:$B$64,0)),"Not on roster"))</f>
        <v/>
      </c>
      <c r="D3225" s="12" t="str">
        <f>IF(B3225="","",IFERROR(INDEX('Cashier Roster'!$D$5:$D$64,MATCH(B3225,'Cashier Roster'!$B$5:$B$64,0)),""))</f>
        <v/>
      </c>
      <c r="E3225" s="13"/>
      <c r="F3225" s="14"/>
      <c r="G3225" s="8" t="str">
        <f>IF(OR(B3225="",E3225=""),"",IF(E3225="No","Missed",IF(F3225="","",IF(F3225&lt;=Settings!$B$7,"On time","Late"))))</f>
        <v/>
      </c>
      <c r="H3225" s="15"/>
      <c r="I3225" s="16"/>
      <c r="J3225" s="16"/>
      <c r="K3225" s="17" t="str">
        <f>IF(J3225="","",ROUND(J3225*Settings!$B$8,2))</f>
        <v/>
      </c>
      <c r="L3225" s="16"/>
      <c r="M3225" s="8" t="str">
        <f t="shared" si="50"/>
        <v/>
      </c>
      <c r="N3225" s="9"/>
    </row>
    <row r="3226" spans="1:14" ht="15.75">
      <c r="A3226" s="11"/>
      <c r="B3226" s="9"/>
      <c r="C3226" s="12" t="str">
        <f>IF(B3226="","",IFERROR(INDEX('Cashier Roster'!$C$5:$C$64,MATCH(B3226,'Cashier Roster'!$B$5:$B$64,0)),"Not on roster"))</f>
        <v/>
      </c>
      <c r="D3226" s="12" t="str">
        <f>IF(B3226="","",IFERROR(INDEX('Cashier Roster'!$D$5:$D$64,MATCH(B3226,'Cashier Roster'!$B$5:$B$64,0)),""))</f>
        <v/>
      </c>
      <c r="E3226" s="13"/>
      <c r="F3226" s="14"/>
      <c r="G3226" s="8" t="str">
        <f>IF(OR(B3226="",E3226=""),"",IF(E3226="No","Missed",IF(F3226="","",IF(F3226&lt;=Settings!$B$7,"On time","Late"))))</f>
        <v/>
      </c>
      <c r="H3226" s="15"/>
      <c r="I3226" s="16"/>
      <c r="J3226" s="16"/>
      <c r="K3226" s="17" t="str">
        <f>IF(J3226="","",ROUND(J3226*Settings!$B$8,2))</f>
        <v/>
      </c>
      <c r="L3226" s="16"/>
      <c r="M3226" s="8" t="str">
        <f t="shared" si="50"/>
        <v/>
      </c>
      <c r="N3226" s="9"/>
    </row>
    <row r="3227" spans="1:14" ht="15.75">
      <c r="A3227" s="11"/>
      <c r="B3227" s="9"/>
      <c r="C3227" s="12" t="str">
        <f>IF(B3227="","",IFERROR(INDEX('Cashier Roster'!$C$5:$C$64,MATCH(B3227,'Cashier Roster'!$B$5:$B$64,0)),"Not on roster"))</f>
        <v/>
      </c>
      <c r="D3227" s="12" t="str">
        <f>IF(B3227="","",IFERROR(INDEX('Cashier Roster'!$D$5:$D$64,MATCH(B3227,'Cashier Roster'!$B$5:$B$64,0)),""))</f>
        <v/>
      </c>
      <c r="E3227" s="13"/>
      <c r="F3227" s="14"/>
      <c r="G3227" s="8" t="str">
        <f>IF(OR(B3227="",E3227=""),"",IF(E3227="No","Missed",IF(F3227="","",IF(F3227&lt;=Settings!$B$7,"On time","Late"))))</f>
        <v/>
      </c>
      <c r="H3227" s="15"/>
      <c r="I3227" s="16"/>
      <c r="J3227" s="16"/>
      <c r="K3227" s="17" t="str">
        <f>IF(J3227="","",ROUND(J3227*Settings!$B$8,2))</f>
        <v/>
      </c>
      <c r="L3227" s="16"/>
      <c r="M3227" s="8" t="str">
        <f t="shared" si="50"/>
        <v/>
      </c>
      <c r="N3227" s="9"/>
    </row>
    <row r="3228" spans="1:14" ht="15.75">
      <c r="A3228" s="11"/>
      <c r="B3228" s="9"/>
      <c r="C3228" s="12" t="str">
        <f>IF(B3228="","",IFERROR(INDEX('Cashier Roster'!$C$5:$C$64,MATCH(B3228,'Cashier Roster'!$B$5:$B$64,0)),"Not on roster"))</f>
        <v/>
      </c>
      <c r="D3228" s="12" t="str">
        <f>IF(B3228="","",IFERROR(INDEX('Cashier Roster'!$D$5:$D$64,MATCH(B3228,'Cashier Roster'!$B$5:$B$64,0)),""))</f>
        <v/>
      </c>
      <c r="E3228" s="13"/>
      <c r="F3228" s="14"/>
      <c r="G3228" s="8" t="str">
        <f>IF(OR(B3228="",E3228=""),"",IF(E3228="No","Missed",IF(F3228="","",IF(F3228&lt;=Settings!$B$7,"On time","Late"))))</f>
        <v/>
      </c>
      <c r="H3228" s="15"/>
      <c r="I3228" s="16"/>
      <c r="J3228" s="16"/>
      <c r="K3228" s="17" t="str">
        <f>IF(J3228="","",ROUND(J3228*Settings!$B$8,2))</f>
        <v/>
      </c>
      <c r="L3228" s="16"/>
      <c r="M3228" s="8" t="str">
        <f t="shared" si="50"/>
        <v/>
      </c>
      <c r="N3228" s="9"/>
    </row>
    <row r="3229" spans="1:14" ht="15.75">
      <c r="A3229" s="11"/>
      <c r="B3229" s="9"/>
      <c r="C3229" s="12" t="str">
        <f>IF(B3229="","",IFERROR(INDEX('Cashier Roster'!$C$5:$C$64,MATCH(B3229,'Cashier Roster'!$B$5:$B$64,0)),"Not on roster"))</f>
        <v/>
      </c>
      <c r="D3229" s="12" t="str">
        <f>IF(B3229="","",IFERROR(INDEX('Cashier Roster'!$D$5:$D$64,MATCH(B3229,'Cashier Roster'!$B$5:$B$64,0)),""))</f>
        <v/>
      </c>
      <c r="E3229" s="13"/>
      <c r="F3229" s="14"/>
      <c r="G3229" s="8" t="str">
        <f>IF(OR(B3229="",E3229=""),"",IF(E3229="No","Missed",IF(F3229="","",IF(F3229&lt;=Settings!$B$7,"On time","Late"))))</f>
        <v/>
      </c>
      <c r="H3229" s="15"/>
      <c r="I3229" s="16"/>
      <c r="J3229" s="16"/>
      <c r="K3229" s="17" t="str">
        <f>IF(J3229="","",ROUND(J3229*Settings!$B$8,2))</f>
        <v/>
      </c>
      <c r="L3229" s="16"/>
      <c r="M3229" s="8" t="str">
        <f t="shared" si="50"/>
        <v/>
      </c>
      <c r="N3229" s="9"/>
    </row>
    <row r="3230" spans="1:14" ht="15.75">
      <c r="A3230" s="11"/>
      <c r="B3230" s="9"/>
      <c r="C3230" s="12" t="str">
        <f>IF(B3230="","",IFERROR(INDEX('Cashier Roster'!$C$5:$C$64,MATCH(B3230,'Cashier Roster'!$B$5:$B$64,0)),"Not on roster"))</f>
        <v/>
      </c>
      <c r="D3230" s="12" t="str">
        <f>IF(B3230="","",IFERROR(INDEX('Cashier Roster'!$D$5:$D$64,MATCH(B3230,'Cashier Roster'!$B$5:$B$64,0)),""))</f>
        <v/>
      </c>
      <c r="E3230" s="13"/>
      <c r="F3230" s="14"/>
      <c r="G3230" s="8" t="str">
        <f>IF(OR(B3230="",E3230=""),"",IF(E3230="No","Missed",IF(F3230="","",IF(F3230&lt;=Settings!$B$7,"On time","Late"))))</f>
        <v/>
      </c>
      <c r="H3230" s="15"/>
      <c r="I3230" s="16"/>
      <c r="J3230" s="16"/>
      <c r="K3230" s="17" t="str">
        <f>IF(J3230="","",ROUND(J3230*Settings!$B$8,2))</f>
        <v/>
      </c>
      <c r="L3230" s="16"/>
      <c r="M3230" s="8" t="str">
        <f t="shared" si="50"/>
        <v/>
      </c>
      <c r="N3230" s="9"/>
    </row>
    <row r="3231" spans="1:14" ht="15.75">
      <c r="A3231" s="11"/>
      <c r="B3231" s="9"/>
      <c r="C3231" s="12" t="str">
        <f>IF(B3231="","",IFERROR(INDEX('Cashier Roster'!$C$5:$C$64,MATCH(B3231,'Cashier Roster'!$B$5:$B$64,0)),"Not on roster"))</f>
        <v/>
      </c>
      <c r="D3231" s="12" t="str">
        <f>IF(B3231="","",IFERROR(INDEX('Cashier Roster'!$D$5:$D$64,MATCH(B3231,'Cashier Roster'!$B$5:$B$64,0)),""))</f>
        <v/>
      </c>
      <c r="E3231" s="13"/>
      <c r="F3231" s="14"/>
      <c r="G3231" s="8" t="str">
        <f>IF(OR(B3231="",E3231=""),"",IF(E3231="No","Missed",IF(F3231="","",IF(F3231&lt;=Settings!$B$7,"On time","Late"))))</f>
        <v/>
      </c>
      <c r="H3231" s="15"/>
      <c r="I3231" s="16"/>
      <c r="J3231" s="16"/>
      <c r="K3231" s="17" t="str">
        <f>IF(J3231="","",ROUND(J3231*Settings!$B$8,2))</f>
        <v/>
      </c>
      <c r="L3231" s="16"/>
      <c r="M3231" s="8" t="str">
        <f t="shared" si="50"/>
        <v/>
      </c>
      <c r="N3231" s="9"/>
    </row>
    <row r="3232" spans="1:14" ht="15.75">
      <c r="A3232" s="11"/>
      <c r="B3232" s="9"/>
      <c r="C3232" s="12" t="str">
        <f>IF(B3232="","",IFERROR(INDEX('Cashier Roster'!$C$5:$C$64,MATCH(B3232,'Cashier Roster'!$B$5:$B$64,0)),"Not on roster"))</f>
        <v/>
      </c>
      <c r="D3232" s="12" t="str">
        <f>IF(B3232="","",IFERROR(INDEX('Cashier Roster'!$D$5:$D$64,MATCH(B3232,'Cashier Roster'!$B$5:$B$64,0)),""))</f>
        <v/>
      </c>
      <c r="E3232" s="13"/>
      <c r="F3232" s="14"/>
      <c r="G3232" s="8" t="str">
        <f>IF(OR(B3232="",E3232=""),"",IF(E3232="No","Missed",IF(F3232="","",IF(F3232&lt;=Settings!$B$7,"On time","Late"))))</f>
        <v/>
      </c>
      <c r="H3232" s="15"/>
      <c r="I3232" s="16"/>
      <c r="J3232" s="16"/>
      <c r="K3232" s="17" t="str">
        <f>IF(J3232="","",ROUND(J3232*Settings!$B$8,2))</f>
        <v/>
      </c>
      <c r="L3232" s="16"/>
      <c r="M3232" s="8" t="str">
        <f t="shared" si="50"/>
        <v/>
      </c>
      <c r="N3232" s="9"/>
    </row>
    <row r="3233" spans="1:14" ht="15.75">
      <c r="A3233" s="11"/>
      <c r="B3233" s="9"/>
      <c r="C3233" s="12" t="str">
        <f>IF(B3233="","",IFERROR(INDEX('Cashier Roster'!$C$5:$C$64,MATCH(B3233,'Cashier Roster'!$B$5:$B$64,0)),"Not on roster"))</f>
        <v/>
      </c>
      <c r="D3233" s="12" t="str">
        <f>IF(B3233="","",IFERROR(INDEX('Cashier Roster'!$D$5:$D$64,MATCH(B3233,'Cashier Roster'!$B$5:$B$64,0)),""))</f>
        <v/>
      </c>
      <c r="E3233" s="13"/>
      <c r="F3233" s="14"/>
      <c r="G3233" s="8" t="str">
        <f>IF(OR(B3233="",E3233=""),"",IF(E3233="No","Missed",IF(F3233="","",IF(F3233&lt;=Settings!$B$7,"On time","Late"))))</f>
        <v/>
      </c>
      <c r="H3233" s="15"/>
      <c r="I3233" s="16"/>
      <c r="J3233" s="16"/>
      <c r="K3233" s="17" t="str">
        <f>IF(J3233="","",ROUND(J3233*Settings!$B$8,2))</f>
        <v/>
      </c>
      <c r="L3233" s="16"/>
      <c r="M3233" s="8" t="str">
        <f t="shared" si="50"/>
        <v/>
      </c>
      <c r="N3233" s="9"/>
    </row>
    <row r="3234" spans="1:14" ht="15.75">
      <c r="A3234" s="11"/>
      <c r="B3234" s="9"/>
      <c r="C3234" s="12" t="str">
        <f>IF(B3234="","",IFERROR(INDEX('Cashier Roster'!$C$5:$C$64,MATCH(B3234,'Cashier Roster'!$B$5:$B$64,0)),"Not on roster"))</f>
        <v/>
      </c>
      <c r="D3234" s="12" t="str">
        <f>IF(B3234="","",IFERROR(INDEX('Cashier Roster'!$D$5:$D$64,MATCH(B3234,'Cashier Roster'!$B$5:$B$64,0)),""))</f>
        <v/>
      </c>
      <c r="E3234" s="13"/>
      <c r="F3234" s="14"/>
      <c r="G3234" s="8" t="str">
        <f>IF(OR(B3234="",E3234=""),"",IF(E3234="No","Missed",IF(F3234="","",IF(F3234&lt;=Settings!$B$7,"On time","Late"))))</f>
        <v/>
      </c>
      <c r="H3234" s="15"/>
      <c r="I3234" s="16"/>
      <c r="J3234" s="16"/>
      <c r="K3234" s="17" t="str">
        <f>IF(J3234="","",ROUND(J3234*Settings!$B$8,2))</f>
        <v/>
      </c>
      <c r="L3234" s="16"/>
      <c r="M3234" s="8" t="str">
        <f t="shared" si="50"/>
        <v/>
      </c>
      <c r="N3234" s="9"/>
    </row>
    <row r="3235" spans="1:14" ht="15.75">
      <c r="A3235" s="11"/>
      <c r="B3235" s="9"/>
      <c r="C3235" s="12" t="str">
        <f>IF(B3235="","",IFERROR(INDEX('Cashier Roster'!$C$5:$C$64,MATCH(B3235,'Cashier Roster'!$B$5:$B$64,0)),"Not on roster"))</f>
        <v/>
      </c>
      <c r="D3235" s="12" t="str">
        <f>IF(B3235="","",IFERROR(INDEX('Cashier Roster'!$D$5:$D$64,MATCH(B3235,'Cashier Roster'!$B$5:$B$64,0)),""))</f>
        <v/>
      </c>
      <c r="E3235" s="13"/>
      <c r="F3235" s="14"/>
      <c r="G3235" s="8" t="str">
        <f>IF(OR(B3235="",E3235=""),"",IF(E3235="No","Missed",IF(F3235="","",IF(F3235&lt;=Settings!$B$7,"On time","Late"))))</f>
        <v/>
      </c>
      <c r="H3235" s="15"/>
      <c r="I3235" s="16"/>
      <c r="J3235" s="16"/>
      <c r="K3235" s="17" t="str">
        <f>IF(J3235="","",ROUND(J3235*Settings!$B$8,2))</f>
        <v/>
      </c>
      <c r="L3235" s="16"/>
      <c r="M3235" s="8" t="str">
        <f t="shared" si="50"/>
        <v/>
      </c>
      <c r="N3235" s="9"/>
    </row>
    <row r="3236" spans="1:14" ht="15.75">
      <c r="A3236" s="11"/>
      <c r="B3236" s="9"/>
      <c r="C3236" s="12" t="str">
        <f>IF(B3236="","",IFERROR(INDEX('Cashier Roster'!$C$5:$C$64,MATCH(B3236,'Cashier Roster'!$B$5:$B$64,0)),"Not on roster"))</f>
        <v/>
      </c>
      <c r="D3236" s="12" t="str">
        <f>IF(B3236="","",IFERROR(INDEX('Cashier Roster'!$D$5:$D$64,MATCH(B3236,'Cashier Roster'!$B$5:$B$64,0)),""))</f>
        <v/>
      </c>
      <c r="E3236" s="13"/>
      <c r="F3236" s="14"/>
      <c r="G3236" s="8" t="str">
        <f>IF(OR(B3236="",E3236=""),"",IF(E3236="No","Missed",IF(F3236="","",IF(F3236&lt;=Settings!$B$7,"On time","Late"))))</f>
        <v/>
      </c>
      <c r="H3236" s="15"/>
      <c r="I3236" s="16"/>
      <c r="J3236" s="16"/>
      <c r="K3236" s="17" t="str">
        <f>IF(J3236="","",ROUND(J3236*Settings!$B$8,2))</f>
        <v/>
      </c>
      <c r="L3236" s="16"/>
      <c r="M3236" s="8" t="str">
        <f t="shared" si="50"/>
        <v/>
      </c>
      <c r="N3236" s="9"/>
    </row>
    <row r="3237" spans="1:14" ht="15.75">
      <c r="A3237" s="11"/>
      <c r="B3237" s="9"/>
      <c r="C3237" s="12" t="str">
        <f>IF(B3237="","",IFERROR(INDEX('Cashier Roster'!$C$5:$C$64,MATCH(B3237,'Cashier Roster'!$B$5:$B$64,0)),"Not on roster"))</f>
        <v/>
      </c>
      <c r="D3237" s="12" t="str">
        <f>IF(B3237="","",IFERROR(INDEX('Cashier Roster'!$D$5:$D$64,MATCH(B3237,'Cashier Roster'!$B$5:$B$64,0)),""))</f>
        <v/>
      </c>
      <c r="E3237" s="13"/>
      <c r="F3237" s="14"/>
      <c r="G3237" s="8" t="str">
        <f>IF(OR(B3237="",E3237=""),"",IF(E3237="No","Missed",IF(F3237="","",IF(F3237&lt;=Settings!$B$7,"On time","Late"))))</f>
        <v/>
      </c>
      <c r="H3237" s="15"/>
      <c r="I3237" s="16"/>
      <c r="J3237" s="16"/>
      <c r="K3237" s="17" t="str">
        <f>IF(J3237="","",ROUND(J3237*Settings!$B$8,2))</f>
        <v/>
      </c>
      <c r="L3237" s="16"/>
      <c r="M3237" s="8" t="str">
        <f t="shared" si="50"/>
        <v/>
      </c>
      <c r="N3237" s="9"/>
    </row>
    <row r="3238" spans="1:14" ht="15.75">
      <c r="A3238" s="11"/>
      <c r="B3238" s="9"/>
      <c r="C3238" s="12" t="str">
        <f>IF(B3238="","",IFERROR(INDEX('Cashier Roster'!$C$5:$C$64,MATCH(B3238,'Cashier Roster'!$B$5:$B$64,0)),"Not on roster"))</f>
        <v/>
      </c>
      <c r="D3238" s="12" t="str">
        <f>IF(B3238="","",IFERROR(INDEX('Cashier Roster'!$D$5:$D$64,MATCH(B3238,'Cashier Roster'!$B$5:$B$64,0)),""))</f>
        <v/>
      </c>
      <c r="E3238" s="13"/>
      <c r="F3238" s="14"/>
      <c r="G3238" s="8" t="str">
        <f>IF(OR(B3238="",E3238=""),"",IF(E3238="No","Missed",IF(F3238="","",IF(F3238&lt;=Settings!$B$7,"On time","Late"))))</f>
        <v/>
      </c>
      <c r="H3238" s="15"/>
      <c r="I3238" s="16"/>
      <c r="J3238" s="16"/>
      <c r="K3238" s="17" t="str">
        <f>IF(J3238="","",ROUND(J3238*Settings!$B$8,2))</f>
        <v/>
      </c>
      <c r="L3238" s="16"/>
      <c r="M3238" s="8" t="str">
        <f t="shared" si="50"/>
        <v/>
      </c>
      <c r="N3238" s="9"/>
    </row>
    <row r="3239" spans="1:14" ht="15.75">
      <c r="A3239" s="11"/>
      <c r="B3239" s="9"/>
      <c r="C3239" s="12" t="str">
        <f>IF(B3239="","",IFERROR(INDEX('Cashier Roster'!$C$5:$C$64,MATCH(B3239,'Cashier Roster'!$B$5:$B$64,0)),"Not on roster"))</f>
        <v/>
      </c>
      <c r="D3239" s="12" t="str">
        <f>IF(B3239="","",IFERROR(INDEX('Cashier Roster'!$D$5:$D$64,MATCH(B3239,'Cashier Roster'!$B$5:$B$64,0)),""))</f>
        <v/>
      </c>
      <c r="E3239" s="13"/>
      <c r="F3239" s="14"/>
      <c r="G3239" s="8" t="str">
        <f>IF(OR(B3239="",E3239=""),"",IF(E3239="No","Missed",IF(F3239="","",IF(F3239&lt;=Settings!$B$7,"On time","Late"))))</f>
        <v/>
      </c>
      <c r="H3239" s="15"/>
      <c r="I3239" s="16"/>
      <c r="J3239" s="16"/>
      <c r="K3239" s="17" t="str">
        <f>IF(J3239="","",ROUND(J3239*Settings!$B$8,2))</f>
        <v/>
      </c>
      <c r="L3239" s="16"/>
      <c r="M3239" s="8" t="str">
        <f t="shared" si="50"/>
        <v/>
      </c>
      <c r="N3239" s="9"/>
    </row>
    <row r="3240" spans="1:14" ht="15.75">
      <c r="A3240" s="11"/>
      <c r="B3240" s="9"/>
      <c r="C3240" s="12" t="str">
        <f>IF(B3240="","",IFERROR(INDEX('Cashier Roster'!$C$5:$C$64,MATCH(B3240,'Cashier Roster'!$B$5:$B$64,0)),"Not on roster"))</f>
        <v/>
      </c>
      <c r="D3240" s="12" t="str">
        <f>IF(B3240="","",IFERROR(INDEX('Cashier Roster'!$D$5:$D$64,MATCH(B3240,'Cashier Roster'!$B$5:$B$64,0)),""))</f>
        <v/>
      </c>
      <c r="E3240" s="13"/>
      <c r="F3240" s="14"/>
      <c r="G3240" s="8" t="str">
        <f>IF(OR(B3240="",E3240=""),"",IF(E3240="No","Missed",IF(F3240="","",IF(F3240&lt;=Settings!$B$7,"On time","Late"))))</f>
        <v/>
      </c>
      <c r="H3240" s="15"/>
      <c r="I3240" s="16"/>
      <c r="J3240" s="16"/>
      <c r="K3240" s="17" t="str">
        <f>IF(J3240="","",ROUND(J3240*Settings!$B$8,2))</f>
        <v/>
      </c>
      <c r="L3240" s="16"/>
      <c r="M3240" s="8" t="str">
        <f t="shared" si="50"/>
        <v/>
      </c>
      <c r="N3240" s="9"/>
    </row>
    <row r="3241" spans="1:14" ht="15.75">
      <c r="A3241" s="11"/>
      <c r="B3241" s="9"/>
      <c r="C3241" s="12" t="str">
        <f>IF(B3241="","",IFERROR(INDEX('Cashier Roster'!$C$5:$C$64,MATCH(B3241,'Cashier Roster'!$B$5:$B$64,0)),"Not on roster"))</f>
        <v/>
      </c>
      <c r="D3241" s="12" t="str">
        <f>IF(B3241="","",IFERROR(INDEX('Cashier Roster'!$D$5:$D$64,MATCH(B3241,'Cashier Roster'!$B$5:$B$64,0)),""))</f>
        <v/>
      </c>
      <c r="E3241" s="13"/>
      <c r="F3241" s="14"/>
      <c r="G3241" s="8" t="str">
        <f>IF(OR(B3241="",E3241=""),"",IF(E3241="No","Missed",IF(F3241="","",IF(F3241&lt;=Settings!$B$7,"On time","Late"))))</f>
        <v/>
      </c>
      <c r="H3241" s="15"/>
      <c r="I3241" s="16"/>
      <c r="J3241" s="16"/>
      <c r="K3241" s="17" t="str">
        <f>IF(J3241="","",ROUND(J3241*Settings!$B$8,2))</f>
        <v/>
      </c>
      <c r="L3241" s="16"/>
      <c r="M3241" s="8" t="str">
        <f t="shared" si="50"/>
        <v/>
      </c>
      <c r="N3241" s="9"/>
    </row>
    <row r="3242" spans="1:14" ht="15.75">
      <c r="A3242" s="11"/>
      <c r="B3242" s="9"/>
      <c r="C3242" s="12" t="str">
        <f>IF(B3242="","",IFERROR(INDEX('Cashier Roster'!$C$5:$C$64,MATCH(B3242,'Cashier Roster'!$B$5:$B$64,0)),"Not on roster"))</f>
        <v/>
      </c>
      <c r="D3242" s="12" t="str">
        <f>IF(B3242="","",IFERROR(INDEX('Cashier Roster'!$D$5:$D$64,MATCH(B3242,'Cashier Roster'!$B$5:$B$64,0)),""))</f>
        <v/>
      </c>
      <c r="E3242" s="13"/>
      <c r="F3242" s="14"/>
      <c r="G3242" s="8" t="str">
        <f>IF(OR(B3242="",E3242=""),"",IF(E3242="No","Missed",IF(F3242="","",IF(F3242&lt;=Settings!$B$7,"On time","Late"))))</f>
        <v/>
      </c>
      <c r="H3242" s="15"/>
      <c r="I3242" s="16"/>
      <c r="J3242" s="16"/>
      <c r="K3242" s="17" t="str">
        <f>IF(J3242="","",ROUND(J3242*Settings!$B$8,2))</f>
        <v/>
      </c>
      <c r="L3242" s="16"/>
      <c r="M3242" s="8" t="str">
        <f t="shared" si="50"/>
        <v/>
      </c>
      <c r="N3242" s="9"/>
    </row>
    <row r="3243" spans="1:14" ht="15.75">
      <c r="A3243" s="11"/>
      <c r="B3243" s="9"/>
      <c r="C3243" s="12" t="str">
        <f>IF(B3243="","",IFERROR(INDEX('Cashier Roster'!$C$5:$C$64,MATCH(B3243,'Cashier Roster'!$B$5:$B$64,0)),"Not on roster"))</f>
        <v/>
      </c>
      <c r="D3243" s="12" t="str">
        <f>IF(B3243="","",IFERROR(INDEX('Cashier Roster'!$D$5:$D$64,MATCH(B3243,'Cashier Roster'!$B$5:$B$64,0)),""))</f>
        <v/>
      </c>
      <c r="E3243" s="13"/>
      <c r="F3243" s="14"/>
      <c r="G3243" s="8" t="str">
        <f>IF(OR(B3243="",E3243=""),"",IF(E3243="No","Missed",IF(F3243="","",IF(F3243&lt;=Settings!$B$7,"On time","Late"))))</f>
        <v/>
      </c>
      <c r="H3243" s="15"/>
      <c r="I3243" s="16"/>
      <c r="J3243" s="16"/>
      <c r="K3243" s="17" t="str">
        <f>IF(J3243="","",ROUND(J3243*Settings!$B$8,2))</f>
        <v/>
      </c>
      <c r="L3243" s="16"/>
      <c r="M3243" s="8" t="str">
        <f t="shared" si="50"/>
        <v/>
      </c>
      <c r="N3243" s="9"/>
    </row>
    <row r="3244" spans="1:14" ht="15.75">
      <c r="A3244" s="11"/>
      <c r="B3244" s="9"/>
      <c r="C3244" s="12" t="str">
        <f>IF(B3244="","",IFERROR(INDEX('Cashier Roster'!$C$5:$C$64,MATCH(B3244,'Cashier Roster'!$B$5:$B$64,0)),"Not on roster"))</f>
        <v/>
      </c>
      <c r="D3244" s="12" t="str">
        <f>IF(B3244="","",IFERROR(INDEX('Cashier Roster'!$D$5:$D$64,MATCH(B3244,'Cashier Roster'!$B$5:$B$64,0)),""))</f>
        <v/>
      </c>
      <c r="E3244" s="13"/>
      <c r="F3244" s="14"/>
      <c r="G3244" s="8" t="str">
        <f>IF(OR(B3244="",E3244=""),"",IF(E3244="No","Missed",IF(F3244="","",IF(F3244&lt;=Settings!$B$7,"On time","Late"))))</f>
        <v/>
      </c>
      <c r="H3244" s="15"/>
      <c r="I3244" s="16"/>
      <c r="J3244" s="16"/>
      <c r="K3244" s="17" t="str">
        <f>IF(J3244="","",ROUND(J3244*Settings!$B$8,2))</f>
        <v/>
      </c>
      <c r="L3244" s="16"/>
      <c r="M3244" s="8" t="str">
        <f t="shared" si="50"/>
        <v/>
      </c>
      <c r="N3244" s="9"/>
    </row>
    <row r="3245" spans="1:14" ht="15.75">
      <c r="A3245" s="11"/>
      <c r="B3245" s="9"/>
      <c r="C3245" s="12" t="str">
        <f>IF(B3245="","",IFERROR(INDEX('Cashier Roster'!$C$5:$C$64,MATCH(B3245,'Cashier Roster'!$B$5:$B$64,0)),"Not on roster"))</f>
        <v/>
      </c>
      <c r="D3245" s="12" t="str">
        <f>IF(B3245="","",IFERROR(INDEX('Cashier Roster'!$D$5:$D$64,MATCH(B3245,'Cashier Roster'!$B$5:$B$64,0)),""))</f>
        <v/>
      </c>
      <c r="E3245" s="13"/>
      <c r="F3245" s="14"/>
      <c r="G3245" s="8" t="str">
        <f>IF(OR(B3245="",E3245=""),"",IF(E3245="No","Missed",IF(F3245="","",IF(F3245&lt;=Settings!$B$7,"On time","Late"))))</f>
        <v/>
      </c>
      <c r="H3245" s="15"/>
      <c r="I3245" s="16"/>
      <c r="J3245" s="16"/>
      <c r="K3245" s="17" t="str">
        <f>IF(J3245="","",ROUND(J3245*Settings!$B$8,2))</f>
        <v/>
      </c>
      <c r="L3245" s="16"/>
      <c r="M3245" s="8" t="str">
        <f t="shared" si="50"/>
        <v/>
      </c>
      <c r="N3245" s="9"/>
    </row>
    <row r="3246" spans="1:14" ht="15.75">
      <c r="A3246" s="11"/>
      <c r="B3246" s="9"/>
      <c r="C3246" s="12" t="str">
        <f>IF(B3246="","",IFERROR(INDEX('Cashier Roster'!$C$5:$C$64,MATCH(B3246,'Cashier Roster'!$B$5:$B$64,0)),"Not on roster"))</f>
        <v/>
      </c>
      <c r="D3246" s="12" t="str">
        <f>IF(B3246="","",IFERROR(INDEX('Cashier Roster'!$D$5:$D$64,MATCH(B3246,'Cashier Roster'!$B$5:$B$64,0)),""))</f>
        <v/>
      </c>
      <c r="E3246" s="13"/>
      <c r="F3246" s="14"/>
      <c r="G3246" s="8" t="str">
        <f>IF(OR(B3246="",E3246=""),"",IF(E3246="No","Missed",IF(F3246="","",IF(F3246&lt;=Settings!$B$7,"On time","Late"))))</f>
        <v/>
      </c>
      <c r="H3246" s="15"/>
      <c r="I3246" s="16"/>
      <c r="J3246" s="16"/>
      <c r="K3246" s="17" t="str">
        <f>IF(J3246="","",ROUND(J3246*Settings!$B$8,2))</f>
        <v/>
      </c>
      <c r="L3246" s="16"/>
      <c r="M3246" s="8" t="str">
        <f t="shared" si="50"/>
        <v/>
      </c>
      <c r="N3246" s="9"/>
    </row>
    <row r="3247" spans="1:14" ht="15.75">
      <c r="A3247" s="11"/>
      <c r="B3247" s="9"/>
      <c r="C3247" s="12" t="str">
        <f>IF(B3247="","",IFERROR(INDEX('Cashier Roster'!$C$5:$C$64,MATCH(B3247,'Cashier Roster'!$B$5:$B$64,0)),"Not on roster"))</f>
        <v/>
      </c>
      <c r="D3247" s="12" t="str">
        <f>IF(B3247="","",IFERROR(INDEX('Cashier Roster'!$D$5:$D$64,MATCH(B3247,'Cashier Roster'!$B$5:$B$64,0)),""))</f>
        <v/>
      </c>
      <c r="E3247" s="13"/>
      <c r="F3247" s="14"/>
      <c r="G3247" s="8" t="str">
        <f>IF(OR(B3247="",E3247=""),"",IF(E3247="No","Missed",IF(F3247="","",IF(F3247&lt;=Settings!$B$7,"On time","Late"))))</f>
        <v/>
      </c>
      <c r="H3247" s="15"/>
      <c r="I3247" s="16"/>
      <c r="J3247" s="16"/>
      <c r="K3247" s="17" t="str">
        <f>IF(J3247="","",ROUND(J3247*Settings!$B$8,2))</f>
        <v/>
      </c>
      <c r="L3247" s="16"/>
      <c r="M3247" s="8" t="str">
        <f t="shared" si="50"/>
        <v/>
      </c>
      <c r="N3247" s="9"/>
    </row>
    <row r="3248" spans="1:14" ht="15.75">
      <c r="A3248" s="11"/>
      <c r="B3248" s="9"/>
      <c r="C3248" s="12" t="str">
        <f>IF(B3248="","",IFERROR(INDEX('Cashier Roster'!$C$5:$C$64,MATCH(B3248,'Cashier Roster'!$B$5:$B$64,0)),"Not on roster"))</f>
        <v/>
      </c>
      <c r="D3248" s="12" t="str">
        <f>IF(B3248="","",IFERROR(INDEX('Cashier Roster'!$D$5:$D$64,MATCH(B3248,'Cashier Roster'!$B$5:$B$64,0)),""))</f>
        <v/>
      </c>
      <c r="E3248" s="13"/>
      <c r="F3248" s="14"/>
      <c r="G3248" s="8" t="str">
        <f>IF(OR(B3248="",E3248=""),"",IF(E3248="No","Missed",IF(F3248="","",IF(F3248&lt;=Settings!$B$7,"On time","Late"))))</f>
        <v/>
      </c>
      <c r="H3248" s="15"/>
      <c r="I3248" s="16"/>
      <c r="J3248" s="16"/>
      <c r="K3248" s="17" t="str">
        <f>IF(J3248="","",ROUND(J3248*Settings!$B$8,2))</f>
        <v/>
      </c>
      <c r="L3248" s="16"/>
      <c r="M3248" s="8" t="str">
        <f t="shared" si="50"/>
        <v/>
      </c>
      <c r="N3248" s="9"/>
    </row>
    <row r="3249" spans="1:14" ht="15.75">
      <c r="A3249" s="11"/>
      <c r="B3249" s="9"/>
      <c r="C3249" s="12" t="str">
        <f>IF(B3249="","",IFERROR(INDEX('Cashier Roster'!$C$5:$C$64,MATCH(B3249,'Cashier Roster'!$B$5:$B$64,0)),"Not on roster"))</f>
        <v/>
      </c>
      <c r="D3249" s="12" t="str">
        <f>IF(B3249="","",IFERROR(INDEX('Cashier Roster'!$D$5:$D$64,MATCH(B3249,'Cashier Roster'!$B$5:$B$64,0)),""))</f>
        <v/>
      </c>
      <c r="E3249" s="13"/>
      <c r="F3249" s="14"/>
      <c r="G3249" s="8" t="str">
        <f>IF(OR(B3249="",E3249=""),"",IF(E3249="No","Missed",IF(F3249="","",IF(F3249&lt;=Settings!$B$7,"On time","Late"))))</f>
        <v/>
      </c>
      <c r="H3249" s="15"/>
      <c r="I3249" s="16"/>
      <c r="J3249" s="16"/>
      <c r="K3249" s="17" t="str">
        <f>IF(J3249="","",ROUND(J3249*Settings!$B$8,2))</f>
        <v/>
      </c>
      <c r="L3249" s="16"/>
      <c r="M3249" s="8" t="str">
        <f t="shared" si="50"/>
        <v/>
      </c>
      <c r="N3249" s="9"/>
    </row>
    <row r="3250" spans="1:14" ht="15.75">
      <c r="A3250" s="11"/>
      <c r="B3250" s="9"/>
      <c r="C3250" s="12" t="str">
        <f>IF(B3250="","",IFERROR(INDEX('Cashier Roster'!$C$5:$C$64,MATCH(B3250,'Cashier Roster'!$B$5:$B$64,0)),"Not on roster"))</f>
        <v/>
      </c>
      <c r="D3250" s="12" t="str">
        <f>IF(B3250="","",IFERROR(INDEX('Cashier Roster'!$D$5:$D$64,MATCH(B3250,'Cashier Roster'!$B$5:$B$64,0)),""))</f>
        <v/>
      </c>
      <c r="E3250" s="13"/>
      <c r="F3250" s="14"/>
      <c r="G3250" s="8" t="str">
        <f>IF(OR(B3250="",E3250=""),"",IF(E3250="No","Missed",IF(F3250="","",IF(F3250&lt;=Settings!$B$7,"On time","Late"))))</f>
        <v/>
      </c>
      <c r="H3250" s="15"/>
      <c r="I3250" s="16"/>
      <c r="J3250" s="16"/>
      <c r="K3250" s="17" t="str">
        <f>IF(J3250="","",ROUND(J3250*Settings!$B$8,2))</f>
        <v/>
      </c>
      <c r="L3250" s="16"/>
      <c r="M3250" s="8" t="str">
        <f t="shared" si="50"/>
        <v/>
      </c>
      <c r="N3250" s="9"/>
    </row>
    <row r="3251" spans="1:14" ht="15.75">
      <c r="A3251" s="11"/>
      <c r="B3251" s="9"/>
      <c r="C3251" s="12" t="str">
        <f>IF(B3251="","",IFERROR(INDEX('Cashier Roster'!$C$5:$C$64,MATCH(B3251,'Cashier Roster'!$B$5:$B$64,0)),"Not on roster"))</f>
        <v/>
      </c>
      <c r="D3251" s="12" t="str">
        <f>IF(B3251="","",IFERROR(INDEX('Cashier Roster'!$D$5:$D$64,MATCH(B3251,'Cashier Roster'!$B$5:$B$64,0)),""))</f>
        <v/>
      </c>
      <c r="E3251" s="13"/>
      <c r="F3251" s="14"/>
      <c r="G3251" s="8" t="str">
        <f>IF(OR(B3251="",E3251=""),"",IF(E3251="No","Missed",IF(F3251="","",IF(F3251&lt;=Settings!$B$7,"On time","Late"))))</f>
        <v/>
      </c>
      <c r="H3251" s="15"/>
      <c r="I3251" s="16"/>
      <c r="J3251" s="16"/>
      <c r="K3251" s="17" t="str">
        <f>IF(J3251="","",ROUND(J3251*Settings!$B$8,2))</f>
        <v/>
      </c>
      <c r="L3251" s="16"/>
      <c r="M3251" s="8" t="str">
        <f t="shared" si="50"/>
        <v/>
      </c>
      <c r="N3251" s="9"/>
    </row>
    <row r="3252" spans="1:14" ht="15.75">
      <c r="A3252" s="11"/>
      <c r="B3252" s="9"/>
      <c r="C3252" s="12" t="str">
        <f>IF(B3252="","",IFERROR(INDEX('Cashier Roster'!$C$5:$C$64,MATCH(B3252,'Cashier Roster'!$B$5:$B$64,0)),"Not on roster"))</f>
        <v/>
      </c>
      <c r="D3252" s="12" t="str">
        <f>IF(B3252="","",IFERROR(INDEX('Cashier Roster'!$D$5:$D$64,MATCH(B3252,'Cashier Roster'!$B$5:$B$64,0)),""))</f>
        <v/>
      </c>
      <c r="E3252" s="13"/>
      <c r="F3252" s="14"/>
      <c r="G3252" s="8" t="str">
        <f>IF(OR(B3252="",E3252=""),"",IF(E3252="No","Missed",IF(F3252="","",IF(F3252&lt;=Settings!$B$7,"On time","Late"))))</f>
        <v/>
      </c>
      <c r="H3252" s="15"/>
      <c r="I3252" s="16"/>
      <c r="J3252" s="16"/>
      <c r="K3252" s="17" t="str">
        <f>IF(J3252="","",ROUND(J3252*Settings!$B$8,2))</f>
        <v/>
      </c>
      <c r="L3252" s="16"/>
      <c r="M3252" s="8" t="str">
        <f t="shared" si="50"/>
        <v/>
      </c>
      <c r="N3252" s="9"/>
    </row>
    <row r="3253" spans="1:14" ht="15.75">
      <c r="A3253" s="11"/>
      <c r="B3253" s="9"/>
      <c r="C3253" s="12" t="str">
        <f>IF(B3253="","",IFERROR(INDEX('Cashier Roster'!$C$5:$C$64,MATCH(B3253,'Cashier Roster'!$B$5:$B$64,0)),"Not on roster"))</f>
        <v/>
      </c>
      <c r="D3253" s="12" t="str">
        <f>IF(B3253="","",IFERROR(INDEX('Cashier Roster'!$D$5:$D$64,MATCH(B3253,'Cashier Roster'!$B$5:$B$64,0)),""))</f>
        <v/>
      </c>
      <c r="E3253" s="13"/>
      <c r="F3253" s="14"/>
      <c r="G3253" s="8" t="str">
        <f>IF(OR(B3253="",E3253=""),"",IF(E3253="No","Missed",IF(F3253="","",IF(F3253&lt;=Settings!$B$7,"On time","Late"))))</f>
        <v/>
      </c>
      <c r="H3253" s="15"/>
      <c r="I3253" s="16"/>
      <c r="J3253" s="16"/>
      <c r="K3253" s="17" t="str">
        <f>IF(J3253="","",ROUND(J3253*Settings!$B$8,2))</f>
        <v/>
      </c>
      <c r="L3253" s="16"/>
      <c r="M3253" s="8" t="str">
        <f t="shared" si="50"/>
        <v/>
      </c>
      <c r="N3253" s="9"/>
    </row>
    <row r="3254" spans="1:14" ht="15.75">
      <c r="A3254" s="11"/>
      <c r="B3254" s="9"/>
      <c r="C3254" s="12" t="str">
        <f>IF(B3254="","",IFERROR(INDEX('Cashier Roster'!$C$5:$C$64,MATCH(B3254,'Cashier Roster'!$B$5:$B$64,0)),"Not on roster"))</f>
        <v/>
      </c>
      <c r="D3254" s="12" t="str">
        <f>IF(B3254="","",IFERROR(INDEX('Cashier Roster'!$D$5:$D$64,MATCH(B3254,'Cashier Roster'!$B$5:$B$64,0)),""))</f>
        <v/>
      </c>
      <c r="E3254" s="13"/>
      <c r="F3254" s="14"/>
      <c r="G3254" s="8" t="str">
        <f>IF(OR(B3254="",E3254=""),"",IF(E3254="No","Missed",IF(F3254="","",IF(F3254&lt;=Settings!$B$7,"On time","Late"))))</f>
        <v/>
      </c>
      <c r="H3254" s="15"/>
      <c r="I3254" s="16"/>
      <c r="J3254" s="16"/>
      <c r="K3254" s="17" t="str">
        <f>IF(J3254="","",ROUND(J3254*Settings!$B$8,2))</f>
        <v/>
      </c>
      <c r="L3254" s="16"/>
      <c r="M3254" s="8" t="str">
        <f t="shared" si="50"/>
        <v/>
      </c>
      <c r="N3254" s="9"/>
    </row>
    <row r="3255" spans="1:14" ht="15.75">
      <c r="A3255" s="11"/>
      <c r="B3255" s="9"/>
      <c r="C3255" s="12" t="str">
        <f>IF(B3255="","",IFERROR(INDEX('Cashier Roster'!$C$5:$C$64,MATCH(B3255,'Cashier Roster'!$B$5:$B$64,0)),"Not on roster"))</f>
        <v/>
      </c>
      <c r="D3255" s="12" t="str">
        <f>IF(B3255="","",IFERROR(INDEX('Cashier Roster'!$D$5:$D$64,MATCH(B3255,'Cashier Roster'!$B$5:$B$64,0)),""))</f>
        <v/>
      </c>
      <c r="E3255" s="13"/>
      <c r="F3255" s="14"/>
      <c r="G3255" s="8" t="str">
        <f>IF(OR(B3255="",E3255=""),"",IF(E3255="No","Missed",IF(F3255="","",IF(F3255&lt;=Settings!$B$7,"On time","Late"))))</f>
        <v/>
      </c>
      <c r="H3255" s="15"/>
      <c r="I3255" s="16"/>
      <c r="J3255" s="16"/>
      <c r="K3255" s="17" t="str">
        <f>IF(J3255="","",ROUND(J3255*Settings!$B$8,2))</f>
        <v/>
      </c>
      <c r="L3255" s="16"/>
      <c r="M3255" s="8" t="str">
        <f t="shared" si="50"/>
        <v/>
      </c>
      <c r="N3255" s="9"/>
    </row>
    <row r="3256" spans="1:14" ht="15.75">
      <c r="A3256" s="11"/>
      <c r="B3256" s="9"/>
      <c r="C3256" s="12" t="str">
        <f>IF(B3256="","",IFERROR(INDEX('Cashier Roster'!$C$5:$C$64,MATCH(B3256,'Cashier Roster'!$B$5:$B$64,0)),"Not on roster"))</f>
        <v/>
      </c>
      <c r="D3256" s="12" t="str">
        <f>IF(B3256="","",IFERROR(INDEX('Cashier Roster'!$D$5:$D$64,MATCH(B3256,'Cashier Roster'!$B$5:$B$64,0)),""))</f>
        <v/>
      </c>
      <c r="E3256" s="13"/>
      <c r="F3256" s="14"/>
      <c r="G3256" s="8" t="str">
        <f>IF(OR(B3256="",E3256=""),"",IF(E3256="No","Missed",IF(F3256="","",IF(F3256&lt;=Settings!$B$7,"On time","Late"))))</f>
        <v/>
      </c>
      <c r="H3256" s="15"/>
      <c r="I3256" s="16"/>
      <c r="J3256" s="16"/>
      <c r="K3256" s="17" t="str">
        <f>IF(J3256="","",ROUND(J3256*Settings!$B$8,2))</f>
        <v/>
      </c>
      <c r="L3256" s="16"/>
      <c r="M3256" s="8" t="str">
        <f t="shared" si="50"/>
        <v/>
      </c>
      <c r="N3256" s="9"/>
    </row>
    <row r="3257" spans="1:14" ht="15.75">
      <c r="A3257" s="11"/>
      <c r="B3257" s="9"/>
      <c r="C3257" s="12" t="str">
        <f>IF(B3257="","",IFERROR(INDEX('Cashier Roster'!$C$5:$C$64,MATCH(B3257,'Cashier Roster'!$B$5:$B$64,0)),"Not on roster"))</f>
        <v/>
      </c>
      <c r="D3257" s="12" t="str">
        <f>IF(B3257="","",IFERROR(INDEX('Cashier Roster'!$D$5:$D$64,MATCH(B3257,'Cashier Roster'!$B$5:$B$64,0)),""))</f>
        <v/>
      </c>
      <c r="E3257" s="13"/>
      <c r="F3257" s="14"/>
      <c r="G3257" s="8" t="str">
        <f>IF(OR(B3257="",E3257=""),"",IF(E3257="No","Missed",IF(F3257="","",IF(F3257&lt;=Settings!$B$7,"On time","Late"))))</f>
        <v/>
      </c>
      <c r="H3257" s="15"/>
      <c r="I3257" s="16"/>
      <c r="J3257" s="16"/>
      <c r="K3257" s="17" t="str">
        <f>IF(J3257="","",ROUND(J3257*Settings!$B$8,2))</f>
        <v/>
      </c>
      <c r="L3257" s="16"/>
      <c r="M3257" s="8" t="str">
        <f t="shared" si="50"/>
        <v/>
      </c>
      <c r="N3257" s="9"/>
    </row>
    <row r="3258" spans="1:14" ht="15.75">
      <c r="A3258" s="11"/>
      <c r="B3258" s="9"/>
      <c r="C3258" s="12" t="str">
        <f>IF(B3258="","",IFERROR(INDEX('Cashier Roster'!$C$5:$C$64,MATCH(B3258,'Cashier Roster'!$B$5:$B$64,0)),"Not on roster"))</f>
        <v/>
      </c>
      <c r="D3258" s="12" t="str">
        <f>IF(B3258="","",IFERROR(INDEX('Cashier Roster'!$D$5:$D$64,MATCH(B3258,'Cashier Roster'!$B$5:$B$64,0)),""))</f>
        <v/>
      </c>
      <c r="E3258" s="13"/>
      <c r="F3258" s="14"/>
      <c r="G3258" s="8" t="str">
        <f>IF(OR(B3258="",E3258=""),"",IF(E3258="No","Missed",IF(F3258="","",IF(F3258&lt;=Settings!$B$7,"On time","Late"))))</f>
        <v/>
      </c>
      <c r="H3258" s="15"/>
      <c r="I3258" s="16"/>
      <c r="J3258" s="16"/>
      <c r="K3258" s="17" t="str">
        <f>IF(J3258="","",ROUND(J3258*Settings!$B$8,2))</f>
        <v/>
      </c>
      <c r="L3258" s="16"/>
      <c r="M3258" s="8" t="str">
        <f t="shared" si="50"/>
        <v/>
      </c>
      <c r="N3258" s="9"/>
    </row>
    <row r="3259" spans="1:14" ht="15.75">
      <c r="A3259" s="11"/>
      <c r="B3259" s="9"/>
      <c r="C3259" s="12" t="str">
        <f>IF(B3259="","",IFERROR(INDEX('Cashier Roster'!$C$5:$C$64,MATCH(B3259,'Cashier Roster'!$B$5:$B$64,0)),"Not on roster"))</f>
        <v/>
      </c>
      <c r="D3259" s="12" t="str">
        <f>IF(B3259="","",IFERROR(INDEX('Cashier Roster'!$D$5:$D$64,MATCH(B3259,'Cashier Roster'!$B$5:$B$64,0)),""))</f>
        <v/>
      </c>
      <c r="E3259" s="13"/>
      <c r="F3259" s="14"/>
      <c r="G3259" s="8" t="str">
        <f>IF(OR(B3259="",E3259=""),"",IF(E3259="No","Missed",IF(F3259="","",IF(F3259&lt;=Settings!$B$7,"On time","Late"))))</f>
        <v/>
      </c>
      <c r="H3259" s="15"/>
      <c r="I3259" s="16"/>
      <c r="J3259" s="16"/>
      <c r="K3259" s="17" t="str">
        <f>IF(J3259="","",ROUND(J3259*Settings!$B$8,2))</f>
        <v/>
      </c>
      <c r="L3259" s="16"/>
      <c r="M3259" s="8" t="str">
        <f t="shared" si="50"/>
        <v/>
      </c>
      <c r="N3259" s="9"/>
    </row>
    <row r="3260" spans="1:14" ht="15.75">
      <c r="A3260" s="11"/>
      <c r="B3260" s="9"/>
      <c r="C3260" s="12" t="str">
        <f>IF(B3260="","",IFERROR(INDEX('Cashier Roster'!$C$5:$C$64,MATCH(B3260,'Cashier Roster'!$B$5:$B$64,0)),"Not on roster"))</f>
        <v/>
      </c>
      <c r="D3260" s="12" t="str">
        <f>IF(B3260="","",IFERROR(INDEX('Cashier Roster'!$D$5:$D$64,MATCH(B3260,'Cashier Roster'!$B$5:$B$64,0)),""))</f>
        <v/>
      </c>
      <c r="E3260" s="13"/>
      <c r="F3260" s="14"/>
      <c r="G3260" s="8" t="str">
        <f>IF(OR(B3260="",E3260=""),"",IF(E3260="No","Missed",IF(F3260="","",IF(F3260&lt;=Settings!$B$7,"On time","Late"))))</f>
        <v/>
      </c>
      <c r="H3260" s="15"/>
      <c r="I3260" s="16"/>
      <c r="J3260" s="16"/>
      <c r="K3260" s="17" t="str">
        <f>IF(J3260="","",ROUND(J3260*Settings!$B$8,2))</f>
        <v/>
      </c>
      <c r="L3260" s="16"/>
      <c r="M3260" s="8" t="str">
        <f t="shared" si="50"/>
        <v/>
      </c>
      <c r="N3260" s="9"/>
    </row>
    <row r="3261" spans="1:14" ht="15.75">
      <c r="A3261" s="11"/>
      <c r="B3261" s="9"/>
      <c r="C3261" s="12" t="str">
        <f>IF(B3261="","",IFERROR(INDEX('Cashier Roster'!$C$5:$C$64,MATCH(B3261,'Cashier Roster'!$B$5:$B$64,0)),"Not on roster"))</f>
        <v/>
      </c>
      <c r="D3261" s="12" t="str">
        <f>IF(B3261="","",IFERROR(INDEX('Cashier Roster'!$D$5:$D$64,MATCH(B3261,'Cashier Roster'!$B$5:$B$64,0)),""))</f>
        <v/>
      </c>
      <c r="E3261" s="13"/>
      <c r="F3261" s="14"/>
      <c r="G3261" s="8" t="str">
        <f>IF(OR(B3261="",E3261=""),"",IF(E3261="No","Missed",IF(F3261="","",IF(F3261&lt;=Settings!$B$7,"On time","Late"))))</f>
        <v/>
      </c>
      <c r="H3261" s="15"/>
      <c r="I3261" s="16"/>
      <c r="J3261" s="16"/>
      <c r="K3261" s="17" t="str">
        <f>IF(J3261="","",ROUND(J3261*Settings!$B$8,2))</f>
        <v/>
      </c>
      <c r="L3261" s="16"/>
      <c r="M3261" s="8" t="str">
        <f t="shared" si="50"/>
        <v/>
      </c>
      <c r="N3261" s="9"/>
    </row>
    <row r="3262" spans="1:14" ht="15.75">
      <c r="A3262" s="11"/>
      <c r="B3262" s="9"/>
      <c r="C3262" s="12" t="str">
        <f>IF(B3262="","",IFERROR(INDEX('Cashier Roster'!$C$5:$C$64,MATCH(B3262,'Cashier Roster'!$B$5:$B$64,0)),"Not on roster"))</f>
        <v/>
      </c>
      <c r="D3262" s="12" t="str">
        <f>IF(B3262="","",IFERROR(INDEX('Cashier Roster'!$D$5:$D$64,MATCH(B3262,'Cashier Roster'!$B$5:$B$64,0)),""))</f>
        <v/>
      </c>
      <c r="E3262" s="13"/>
      <c r="F3262" s="14"/>
      <c r="G3262" s="8" t="str">
        <f>IF(OR(B3262="",E3262=""),"",IF(E3262="No","Missed",IF(F3262="","",IF(F3262&lt;=Settings!$B$7,"On time","Late"))))</f>
        <v/>
      </c>
      <c r="H3262" s="15"/>
      <c r="I3262" s="16"/>
      <c r="J3262" s="16"/>
      <c r="K3262" s="17" t="str">
        <f>IF(J3262="","",ROUND(J3262*Settings!$B$8,2))</f>
        <v/>
      </c>
      <c r="L3262" s="16"/>
      <c r="M3262" s="8" t="str">
        <f t="shared" si="50"/>
        <v/>
      </c>
      <c r="N3262" s="9"/>
    </row>
    <row r="3263" spans="1:14" ht="15.75">
      <c r="A3263" s="11"/>
      <c r="B3263" s="9"/>
      <c r="C3263" s="12" t="str">
        <f>IF(B3263="","",IFERROR(INDEX('Cashier Roster'!$C$5:$C$64,MATCH(B3263,'Cashier Roster'!$B$5:$B$64,0)),"Not on roster"))</f>
        <v/>
      </c>
      <c r="D3263" s="12" t="str">
        <f>IF(B3263="","",IFERROR(INDEX('Cashier Roster'!$D$5:$D$64,MATCH(B3263,'Cashier Roster'!$B$5:$B$64,0)),""))</f>
        <v/>
      </c>
      <c r="E3263" s="13"/>
      <c r="F3263" s="14"/>
      <c r="G3263" s="8" t="str">
        <f>IF(OR(B3263="",E3263=""),"",IF(E3263="No","Missed",IF(F3263="","",IF(F3263&lt;=Settings!$B$7,"On time","Late"))))</f>
        <v/>
      </c>
      <c r="H3263" s="15"/>
      <c r="I3263" s="16"/>
      <c r="J3263" s="16"/>
      <c r="K3263" s="17" t="str">
        <f>IF(J3263="","",ROUND(J3263*Settings!$B$8,2))</f>
        <v/>
      </c>
      <c r="L3263" s="16"/>
      <c r="M3263" s="8" t="str">
        <f t="shared" si="50"/>
        <v/>
      </c>
      <c r="N3263" s="9"/>
    </row>
    <row r="3264" spans="1:14" ht="15.75">
      <c r="A3264" s="11"/>
      <c r="B3264" s="9"/>
      <c r="C3264" s="12" t="str">
        <f>IF(B3264="","",IFERROR(INDEX('Cashier Roster'!$C$5:$C$64,MATCH(B3264,'Cashier Roster'!$B$5:$B$64,0)),"Not on roster"))</f>
        <v/>
      </c>
      <c r="D3264" s="12" t="str">
        <f>IF(B3264="","",IFERROR(INDEX('Cashier Roster'!$D$5:$D$64,MATCH(B3264,'Cashier Roster'!$B$5:$B$64,0)),""))</f>
        <v/>
      </c>
      <c r="E3264" s="13"/>
      <c r="F3264" s="14"/>
      <c r="G3264" s="8" t="str">
        <f>IF(OR(B3264="",E3264=""),"",IF(E3264="No","Missed",IF(F3264="","",IF(F3264&lt;=Settings!$B$7,"On time","Late"))))</f>
        <v/>
      </c>
      <c r="H3264" s="15"/>
      <c r="I3264" s="16"/>
      <c r="J3264" s="16"/>
      <c r="K3264" s="17" t="str">
        <f>IF(J3264="","",ROUND(J3264*Settings!$B$8,2))</f>
        <v/>
      </c>
      <c r="L3264" s="16"/>
      <c r="M3264" s="8" t="str">
        <f t="shared" si="50"/>
        <v/>
      </c>
      <c r="N3264" s="9"/>
    </row>
    <row r="3265" spans="1:14" ht="15.75">
      <c r="A3265" s="11"/>
      <c r="B3265" s="9"/>
      <c r="C3265" s="12" t="str">
        <f>IF(B3265="","",IFERROR(INDEX('Cashier Roster'!$C$5:$C$64,MATCH(B3265,'Cashier Roster'!$B$5:$B$64,0)),"Not on roster"))</f>
        <v/>
      </c>
      <c r="D3265" s="12" t="str">
        <f>IF(B3265="","",IFERROR(INDEX('Cashier Roster'!$D$5:$D$64,MATCH(B3265,'Cashier Roster'!$B$5:$B$64,0)),""))</f>
        <v/>
      </c>
      <c r="E3265" s="13"/>
      <c r="F3265" s="14"/>
      <c r="G3265" s="8" t="str">
        <f>IF(OR(B3265="",E3265=""),"",IF(E3265="No","Missed",IF(F3265="","",IF(F3265&lt;=Settings!$B$7,"On time","Late"))))</f>
        <v/>
      </c>
      <c r="H3265" s="15"/>
      <c r="I3265" s="16"/>
      <c r="J3265" s="16"/>
      <c r="K3265" s="17" t="str">
        <f>IF(J3265="","",ROUND(J3265*Settings!$B$8,2))</f>
        <v/>
      </c>
      <c r="L3265" s="16"/>
      <c r="M3265" s="8" t="str">
        <f t="shared" si="50"/>
        <v/>
      </c>
      <c r="N3265" s="9"/>
    </row>
    <row r="3266" spans="1:14" ht="15.75">
      <c r="A3266" s="11"/>
      <c r="B3266" s="9"/>
      <c r="C3266" s="12" t="str">
        <f>IF(B3266="","",IFERROR(INDEX('Cashier Roster'!$C$5:$C$64,MATCH(B3266,'Cashier Roster'!$B$5:$B$64,0)),"Not on roster"))</f>
        <v/>
      </c>
      <c r="D3266" s="12" t="str">
        <f>IF(B3266="","",IFERROR(INDEX('Cashier Roster'!$D$5:$D$64,MATCH(B3266,'Cashier Roster'!$B$5:$B$64,0)),""))</f>
        <v/>
      </c>
      <c r="E3266" s="13"/>
      <c r="F3266" s="14"/>
      <c r="G3266" s="8" t="str">
        <f>IF(OR(B3266="",E3266=""),"",IF(E3266="No","Missed",IF(F3266="","",IF(F3266&lt;=Settings!$B$7,"On time","Late"))))</f>
        <v/>
      </c>
      <c r="H3266" s="15"/>
      <c r="I3266" s="16"/>
      <c r="J3266" s="16"/>
      <c r="K3266" s="17" t="str">
        <f>IF(J3266="","",ROUND(J3266*Settings!$B$8,2))</f>
        <v/>
      </c>
      <c r="L3266" s="16"/>
      <c r="M3266" s="8" t="str">
        <f t="shared" si="50"/>
        <v/>
      </c>
      <c r="N3266" s="9"/>
    </row>
    <row r="3267" spans="1:14" ht="15.75">
      <c r="A3267" s="11"/>
      <c r="B3267" s="9"/>
      <c r="C3267" s="12" t="str">
        <f>IF(B3267="","",IFERROR(INDEX('Cashier Roster'!$C$5:$C$64,MATCH(B3267,'Cashier Roster'!$B$5:$B$64,0)),"Not on roster"))</f>
        <v/>
      </c>
      <c r="D3267" s="12" t="str">
        <f>IF(B3267="","",IFERROR(INDEX('Cashier Roster'!$D$5:$D$64,MATCH(B3267,'Cashier Roster'!$B$5:$B$64,0)),""))</f>
        <v/>
      </c>
      <c r="E3267" s="13"/>
      <c r="F3267" s="14"/>
      <c r="G3267" s="8" t="str">
        <f>IF(OR(B3267="",E3267=""),"",IF(E3267="No","Missed",IF(F3267="","",IF(F3267&lt;=Settings!$B$7,"On time","Late"))))</f>
        <v/>
      </c>
      <c r="H3267" s="15"/>
      <c r="I3267" s="16"/>
      <c r="J3267" s="16"/>
      <c r="K3267" s="17" t="str">
        <f>IF(J3267="","",ROUND(J3267*Settings!$B$8,2))</f>
        <v/>
      </c>
      <c r="L3267" s="16"/>
      <c r="M3267" s="8" t="str">
        <f t="shared" si="50"/>
        <v/>
      </c>
      <c r="N3267" s="9"/>
    </row>
    <row r="3268" spans="1:14" ht="15.75">
      <c r="A3268" s="11"/>
      <c r="B3268" s="9"/>
      <c r="C3268" s="12" t="str">
        <f>IF(B3268="","",IFERROR(INDEX('Cashier Roster'!$C$5:$C$64,MATCH(B3268,'Cashier Roster'!$B$5:$B$64,0)),"Not on roster"))</f>
        <v/>
      </c>
      <c r="D3268" s="12" t="str">
        <f>IF(B3268="","",IFERROR(INDEX('Cashier Roster'!$D$5:$D$64,MATCH(B3268,'Cashier Roster'!$B$5:$B$64,0)),""))</f>
        <v/>
      </c>
      <c r="E3268" s="13"/>
      <c r="F3268" s="14"/>
      <c r="G3268" s="8" t="str">
        <f>IF(OR(B3268="",E3268=""),"",IF(E3268="No","Missed",IF(F3268="","",IF(F3268&lt;=Settings!$B$7,"On time","Late"))))</f>
        <v/>
      </c>
      <c r="H3268" s="15"/>
      <c r="I3268" s="16"/>
      <c r="J3268" s="16"/>
      <c r="K3268" s="17" t="str">
        <f>IF(J3268="","",ROUND(J3268*Settings!$B$8,2))</f>
        <v/>
      </c>
      <c r="L3268" s="16"/>
      <c r="M3268" s="8" t="str">
        <f t="shared" si="50"/>
        <v/>
      </c>
      <c r="N3268" s="9"/>
    </row>
    <row r="3269" spans="1:14" ht="15.75">
      <c r="A3269" s="11"/>
      <c r="B3269" s="9"/>
      <c r="C3269" s="12" t="str">
        <f>IF(B3269="","",IFERROR(INDEX('Cashier Roster'!$C$5:$C$64,MATCH(B3269,'Cashier Roster'!$B$5:$B$64,0)),"Not on roster"))</f>
        <v/>
      </c>
      <c r="D3269" s="12" t="str">
        <f>IF(B3269="","",IFERROR(INDEX('Cashier Roster'!$D$5:$D$64,MATCH(B3269,'Cashier Roster'!$B$5:$B$64,0)),""))</f>
        <v/>
      </c>
      <c r="E3269" s="13"/>
      <c r="F3269" s="14"/>
      <c r="G3269" s="8" t="str">
        <f>IF(OR(B3269="",E3269=""),"",IF(E3269="No","Missed",IF(F3269="","",IF(F3269&lt;=Settings!$B$7,"On time","Late"))))</f>
        <v/>
      </c>
      <c r="H3269" s="15"/>
      <c r="I3269" s="16"/>
      <c r="J3269" s="16"/>
      <c r="K3269" s="17" t="str">
        <f>IF(J3269="","",ROUND(J3269*Settings!$B$8,2))</f>
        <v/>
      </c>
      <c r="L3269" s="16"/>
      <c r="M3269" s="8" t="str">
        <f t="shared" ref="M3269:M3332" si="51">IF(L3269="","",IF(L3269&lt;=0,"Yes","No"))</f>
        <v/>
      </c>
      <c r="N3269" s="9"/>
    </row>
    <row r="3270" spans="1:14" ht="15.75">
      <c r="A3270" s="11"/>
      <c r="B3270" s="9"/>
      <c r="C3270" s="12" t="str">
        <f>IF(B3270="","",IFERROR(INDEX('Cashier Roster'!$C$5:$C$64,MATCH(B3270,'Cashier Roster'!$B$5:$B$64,0)),"Not on roster"))</f>
        <v/>
      </c>
      <c r="D3270" s="12" t="str">
        <f>IF(B3270="","",IFERROR(INDEX('Cashier Roster'!$D$5:$D$64,MATCH(B3270,'Cashier Roster'!$B$5:$B$64,0)),""))</f>
        <v/>
      </c>
      <c r="E3270" s="13"/>
      <c r="F3270" s="14"/>
      <c r="G3270" s="8" t="str">
        <f>IF(OR(B3270="",E3270=""),"",IF(E3270="No","Missed",IF(F3270="","",IF(F3270&lt;=Settings!$B$7,"On time","Late"))))</f>
        <v/>
      </c>
      <c r="H3270" s="15"/>
      <c r="I3270" s="16"/>
      <c r="J3270" s="16"/>
      <c r="K3270" s="17" t="str">
        <f>IF(J3270="","",ROUND(J3270*Settings!$B$8,2))</f>
        <v/>
      </c>
      <c r="L3270" s="16"/>
      <c r="M3270" s="8" t="str">
        <f t="shared" si="51"/>
        <v/>
      </c>
      <c r="N3270" s="9"/>
    </row>
    <row r="3271" spans="1:14" ht="15.75">
      <c r="A3271" s="11"/>
      <c r="B3271" s="9"/>
      <c r="C3271" s="12" t="str">
        <f>IF(B3271="","",IFERROR(INDEX('Cashier Roster'!$C$5:$C$64,MATCH(B3271,'Cashier Roster'!$B$5:$B$64,0)),"Not on roster"))</f>
        <v/>
      </c>
      <c r="D3271" s="12" t="str">
        <f>IF(B3271="","",IFERROR(INDEX('Cashier Roster'!$D$5:$D$64,MATCH(B3271,'Cashier Roster'!$B$5:$B$64,0)),""))</f>
        <v/>
      </c>
      <c r="E3271" s="13"/>
      <c r="F3271" s="14"/>
      <c r="G3271" s="8" t="str">
        <f>IF(OR(B3271="",E3271=""),"",IF(E3271="No","Missed",IF(F3271="","",IF(F3271&lt;=Settings!$B$7,"On time","Late"))))</f>
        <v/>
      </c>
      <c r="H3271" s="15"/>
      <c r="I3271" s="16"/>
      <c r="J3271" s="16"/>
      <c r="K3271" s="17" t="str">
        <f>IF(J3271="","",ROUND(J3271*Settings!$B$8,2))</f>
        <v/>
      </c>
      <c r="L3271" s="16"/>
      <c r="M3271" s="8" t="str">
        <f t="shared" si="51"/>
        <v/>
      </c>
      <c r="N3271" s="9"/>
    </row>
    <row r="3272" spans="1:14" ht="15.75">
      <c r="A3272" s="11"/>
      <c r="B3272" s="9"/>
      <c r="C3272" s="12" t="str">
        <f>IF(B3272="","",IFERROR(INDEX('Cashier Roster'!$C$5:$C$64,MATCH(B3272,'Cashier Roster'!$B$5:$B$64,0)),"Not on roster"))</f>
        <v/>
      </c>
      <c r="D3272" s="12" t="str">
        <f>IF(B3272="","",IFERROR(INDEX('Cashier Roster'!$D$5:$D$64,MATCH(B3272,'Cashier Roster'!$B$5:$B$64,0)),""))</f>
        <v/>
      </c>
      <c r="E3272" s="13"/>
      <c r="F3272" s="14"/>
      <c r="G3272" s="8" t="str">
        <f>IF(OR(B3272="",E3272=""),"",IF(E3272="No","Missed",IF(F3272="","",IF(F3272&lt;=Settings!$B$7,"On time","Late"))))</f>
        <v/>
      </c>
      <c r="H3272" s="15"/>
      <c r="I3272" s="16"/>
      <c r="J3272" s="16"/>
      <c r="K3272" s="17" t="str">
        <f>IF(J3272="","",ROUND(J3272*Settings!$B$8,2))</f>
        <v/>
      </c>
      <c r="L3272" s="16"/>
      <c r="M3272" s="8" t="str">
        <f t="shared" si="51"/>
        <v/>
      </c>
      <c r="N3272" s="9"/>
    </row>
    <row r="3273" spans="1:14" ht="15.75">
      <c r="A3273" s="11"/>
      <c r="B3273" s="9"/>
      <c r="C3273" s="12" t="str">
        <f>IF(B3273="","",IFERROR(INDEX('Cashier Roster'!$C$5:$C$64,MATCH(B3273,'Cashier Roster'!$B$5:$B$64,0)),"Not on roster"))</f>
        <v/>
      </c>
      <c r="D3273" s="12" t="str">
        <f>IF(B3273="","",IFERROR(INDEX('Cashier Roster'!$D$5:$D$64,MATCH(B3273,'Cashier Roster'!$B$5:$B$64,0)),""))</f>
        <v/>
      </c>
      <c r="E3273" s="13"/>
      <c r="F3273" s="14"/>
      <c r="G3273" s="8" t="str">
        <f>IF(OR(B3273="",E3273=""),"",IF(E3273="No","Missed",IF(F3273="","",IF(F3273&lt;=Settings!$B$7,"On time","Late"))))</f>
        <v/>
      </c>
      <c r="H3273" s="15"/>
      <c r="I3273" s="16"/>
      <c r="J3273" s="16"/>
      <c r="K3273" s="17" t="str">
        <f>IF(J3273="","",ROUND(J3273*Settings!$B$8,2))</f>
        <v/>
      </c>
      <c r="L3273" s="16"/>
      <c r="M3273" s="8" t="str">
        <f t="shared" si="51"/>
        <v/>
      </c>
      <c r="N3273" s="9"/>
    </row>
    <row r="3274" spans="1:14" ht="15.75">
      <c r="A3274" s="11"/>
      <c r="B3274" s="9"/>
      <c r="C3274" s="12" t="str">
        <f>IF(B3274="","",IFERROR(INDEX('Cashier Roster'!$C$5:$C$64,MATCH(B3274,'Cashier Roster'!$B$5:$B$64,0)),"Not on roster"))</f>
        <v/>
      </c>
      <c r="D3274" s="12" t="str">
        <f>IF(B3274="","",IFERROR(INDEX('Cashier Roster'!$D$5:$D$64,MATCH(B3274,'Cashier Roster'!$B$5:$B$64,0)),""))</f>
        <v/>
      </c>
      <c r="E3274" s="13"/>
      <c r="F3274" s="14"/>
      <c r="G3274" s="8" t="str">
        <f>IF(OR(B3274="",E3274=""),"",IF(E3274="No","Missed",IF(F3274="","",IF(F3274&lt;=Settings!$B$7,"On time","Late"))))</f>
        <v/>
      </c>
      <c r="H3274" s="15"/>
      <c r="I3274" s="16"/>
      <c r="J3274" s="16"/>
      <c r="K3274" s="17" t="str">
        <f>IF(J3274="","",ROUND(J3274*Settings!$B$8,2))</f>
        <v/>
      </c>
      <c r="L3274" s="16"/>
      <c r="M3274" s="8" t="str">
        <f t="shared" si="51"/>
        <v/>
      </c>
      <c r="N3274" s="9"/>
    </row>
    <row r="3275" spans="1:14" ht="15.75">
      <c r="A3275" s="11"/>
      <c r="B3275" s="9"/>
      <c r="C3275" s="12" t="str">
        <f>IF(B3275="","",IFERROR(INDEX('Cashier Roster'!$C$5:$C$64,MATCH(B3275,'Cashier Roster'!$B$5:$B$64,0)),"Not on roster"))</f>
        <v/>
      </c>
      <c r="D3275" s="12" t="str">
        <f>IF(B3275="","",IFERROR(INDEX('Cashier Roster'!$D$5:$D$64,MATCH(B3275,'Cashier Roster'!$B$5:$B$64,0)),""))</f>
        <v/>
      </c>
      <c r="E3275" s="13"/>
      <c r="F3275" s="14"/>
      <c r="G3275" s="8" t="str">
        <f>IF(OR(B3275="",E3275=""),"",IF(E3275="No","Missed",IF(F3275="","",IF(F3275&lt;=Settings!$B$7,"On time","Late"))))</f>
        <v/>
      </c>
      <c r="H3275" s="15"/>
      <c r="I3275" s="16"/>
      <c r="J3275" s="16"/>
      <c r="K3275" s="17" t="str">
        <f>IF(J3275="","",ROUND(J3275*Settings!$B$8,2))</f>
        <v/>
      </c>
      <c r="L3275" s="16"/>
      <c r="M3275" s="8" t="str">
        <f t="shared" si="51"/>
        <v/>
      </c>
      <c r="N3275" s="9"/>
    </row>
    <row r="3276" spans="1:14" ht="15.75">
      <c r="A3276" s="11"/>
      <c r="B3276" s="9"/>
      <c r="C3276" s="12" t="str">
        <f>IF(B3276="","",IFERROR(INDEX('Cashier Roster'!$C$5:$C$64,MATCH(B3276,'Cashier Roster'!$B$5:$B$64,0)),"Not on roster"))</f>
        <v/>
      </c>
      <c r="D3276" s="12" t="str">
        <f>IF(B3276="","",IFERROR(INDEX('Cashier Roster'!$D$5:$D$64,MATCH(B3276,'Cashier Roster'!$B$5:$B$64,0)),""))</f>
        <v/>
      </c>
      <c r="E3276" s="13"/>
      <c r="F3276" s="14"/>
      <c r="G3276" s="8" t="str">
        <f>IF(OR(B3276="",E3276=""),"",IF(E3276="No","Missed",IF(F3276="","",IF(F3276&lt;=Settings!$B$7,"On time","Late"))))</f>
        <v/>
      </c>
      <c r="H3276" s="15"/>
      <c r="I3276" s="16"/>
      <c r="J3276" s="16"/>
      <c r="K3276" s="17" t="str">
        <f>IF(J3276="","",ROUND(J3276*Settings!$B$8,2))</f>
        <v/>
      </c>
      <c r="L3276" s="16"/>
      <c r="M3276" s="8" t="str">
        <f t="shared" si="51"/>
        <v/>
      </c>
      <c r="N3276" s="9"/>
    </row>
    <row r="3277" spans="1:14" ht="15.75">
      <c r="A3277" s="11"/>
      <c r="B3277" s="9"/>
      <c r="C3277" s="12" t="str">
        <f>IF(B3277="","",IFERROR(INDEX('Cashier Roster'!$C$5:$C$64,MATCH(B3277,'Cashier Roster'!$B$5:$B$64,0)),"Not on roster"))</f>
        <v/>
      </c>
      <c r="D3277" s="12" t="str">
        <f>IF(B3277="","",IFERROR(INDEX('Cashier Roster'!$D$5:$D$64,MATCH(B3277,'Cashier Roster'!$B$5:$B$64,0)),""))</f>
        <v/>
      </c>
      <c r="E3277" s="13"/>
      <c r="F3277" s="14"/>
      <c r="G3277" s="8" t="str">
        <f>IF(OR(B3277="",E3277=""),"",IF(E3277="No","Missed",IF(F3277="","",IF(F3277&lt;=Settings!$B$7,"On time","Late"))))</f>
        <v/>
      </c>
      <c r="H3277" s="15"/>
      <c r="I3277" s="16"/>
      <c r="J3277" s="16"/>
      <c r="K3277" s="17" t="str">
        <f>IF(J3277="","",ROUND(J3277*Settings!$B$8,2))</f>
        <v/>
      </c>
      <c r="L3277" s="16"/>
      <c r="M3277" s="8" t="str">
        <f t="shared" si="51"/>
        <v/>
      </c>
      <c r="N3277" s="9"/>
    </row>
    <row r="3278" spans="1:14" ht="15.75">
      <c r="A3278" s="11"/>
      <c r="B3278" s="9"/>
      <c r="C3278" s="12" t="str">
        <f>IF(B3278="","",IFERROR(INDEX('Cashier Roster'!$C$5:$C$64,MATCH(B3278,'Cashier Roster'!$B$5:$B$64,0)),"Not on roster"))</f>
        <v/>
      </c>
      <c r="D3278" s="12" t="str">
        <f>IF(B3278="","",IFERROR(INDEX('Cashier Roster'!$D$5:$D$64,MATCH(B3278,'Cashier Roster'!$B$5:$B$64,0)),""))</f>
        <v/>
      </c>
      <c r="E3278" s="13"/>
      <c r="F3278" s="14"/>
      <c r="G3278" s="8" t="str">
        <f>IF(OR(B3278="",E3278=""),"",IF(E3278="No","Missed",IF(F3278="","",IF(F3278&lt;=Settings!$B$7,"On time","Late"))))</f>
        <v/>
      </c>
      <c r="H3278" s="15"/>
      <c r="I3278" s="16"/>
      <c r="J3278" s="16"/>
      <c r="K3278" s="17" t="str">
        <f>IF(J3278="","",ROUND(J3278*Settings!$B$8,2))</f>
        <v/>
      </c>
      <c r="L3278" s="16"/>
      <c r="M3278" s="8" t="str">
        <f t="shared" si="51"/>
        <v/>
      </c>
      <c r="N3278" s="9"/>
    </row>
    <row r="3279" spans="1:14" ht="15.75">
      <c r="A3279" s="11"/>
      <c r="B3279" s="9"/>
      <c r="C3279" s="12" t="str">
        <f>IF(B3279="","",IFERROR(INDEX('Cashier Roster'!$C$5:$C$64,MATCH(B3279,'Cashier Roster'!$B$5:$B$64,0)),"Not on roster"))</f>
        <v/>
      </c>
      <c r="D3279" s="12" t="str">
        <f>IF(B3279="","",IFERROR(INDEX('Cashier Roster'!$D$5:$D$64,MATCH(B3279,'Cashier Roster'!$B$5:$B$64,0)),""))</f>
        <v/>
      </c>
      <c r="E3279" s="13"/>
      <c r="F3279" s="14"/>
      <c r="G3279" s="8" t="str">
        <f>IF(OR(B3279="",E3279=""),"",IF(E3279="No","Missed",IF(F3279="","",IF(F3279&lt;=Settings!$B$7,"On time","Late"))))</f>
        <v/>
      </c>
      <c r="H3279" s="15"/>
      <c r="I3279" s="16"/>
      <c r="J3279" s="16"/>
      <c r="K3279" s="17" t="str">
        <f>IF(J3279="","",ROUND(J3279*Settings!$B$8,2))</f>
        <v/>
      </c>
      <c r="L3279" s="16"/>
      <c r="M3279" s="8" t="str">
        <f t="shared" si="51"/>
        <v/>
      </c>
      <c r="N3279" s="9"/>
    </row>
    <row r="3280" spans="1:14" ht="15.75">
      <c r="A3280" s="11"/>
      <c r="B3280" s="9"/>
      <c r="C3280" s="12" t="str">
        <f>IF(B3280="","",IFERROR(INDEX('Cashier Roster'!$C$5:$C$64,MATCH(B3280,'Cashier Roster'!$B$5:$B$64,0)),"Not on roster"))</f>
        <v/>
      </c>
      <c r="D3280" s="12" t="str">
        <f>IF(B3280="","",IFERROR(INDEX('Cashier Roster'!$D$5:$D$64,MATCH(B3280,'Cashier Roster'!$B$5:$B$64,0)),""))</f>
        <v/>
      </c>
      <c r="E3280" s="13"/>
      <c r="F3280" s="14"/>
      <c r="G3280" s="8" t="str">
        <f>IF(OR(B3280="",E3280=""),"",IF(E3280="No","Missed",IF(F3280="","",IF(F3280&lt;=Settings!$B$7,"On time","Late"))))</f>
        <v/>
      </c>
      <c r="H3280" s="15"/>
      <c r="I3280" s="16"/>
      <c r="J3280" s="16"/>
      <c r="K3280" s="17" t="str">
        <f>IF(J3280="","",ROUND(J3280*Settings!$B$8,2))</f>
        <v/>
      </c>
      <c r="L3280" s="16"/>
      <c r="M3280" s="8" t="str">
        <f t="shared" si="51"/>
        <v/>
      </c>
      <c r="N3280" s="9"/>
    </row>
    <row r="3281" spans="1:14" ht="15.75">
      <c r="A3281" s="11"/>
      <c r="B3281" s="9"/>
      <c r="C3281" s="12" t="str">
        <f>IF(B3281="","",IFERROR(INDEX('Cashier Roster'!$C$5:$C$64,MATCH(B3281,'Cashier Roster'!$B$5:$B$64,0)),"Not on roster"))</f>
        <v/>
      </c>
      <c r="D3281" s="12" t="str">
        <f>IF(B3281="","",IFERROR(INDEX('Cashier Roster'!$D$5:$D$64,MATCH(B3281,'Cashier Roster'!$B$5:$B$64,0)),""))</f>
        <v/>
      </c>
      <c r="E3281" s="13"/>
      <c r="F3281" s="14"/>
      <c r="G3281" s="8" t="str">
        <f>IF(OR(B3281="",E3281=""),"",IF(E3281="No","Missed",IF(F3281="","",IF(F3281&lt;=Settings!$B$7,"On time","Late"))))</f>
        <v/>
      </c>
      <c r="H3281" s="15"/>
      <c r="I3281" s="16"/>
      <c r="J3281" s="16"/>
      <c r="K3281" s="17" t="str">
        <f>IF(J3281="","",ROUND(J3281*Settings!$B$8,2))</f>
        <v/>
      </c>
      <c r="L3281" s="16"/>
      <c r="M3281" s="8" t="str">
        <f t="shared" si="51"/>
        <v/>
      </c>
      <c r="N3281" s="9"/>
    </row>
    <row r="3282" spans="1:14" ht="15.75">
      <c r="A3282" s="11"/>
      <c r="B3282" s="9"/>
      <c r="C3282" s="12" t="str">
        <f>IF(B3282="","",IFERROR(INDEX('Cashier Roster'!$C$5:$C$64,MATCH(B3282,'Cashier Roster'!$B$5:$B$64,0)),"Not on roster"))</f>
        <v/>
      </c>
      <c r="D3282" s="12" t="str">
        <f>IF(B3282="","",IFERROR(INDEX('Cashier Roster'!$D$5:$D$64,MATCH(B3282,'Cashier Roster'!$B$5:$B$64,0)),""))</f>
        <v/>
      </c>
      <c r="E3282" s="13"/>
      <c r="F3282" s="14"/>
      <c r="G3282" s="8" t="str">
        <f>IF(OR(B3282="",E3282=""),"",IF(E3282="No","Missed",IF(F3282="","",IF(F3282&lt;=Settings!$B$7,"On time","Late"))))</f>
        <v/>
      </c>
      <c r="H3282" s="15"/>
      <c r="I3282" s="16"/>
      <c r="J3282" s="16"/>
      <c r="K3282" s="17" t="str">
        <f>IF(J3282="","",ROUND(J3282*Settings!$B$8,2))</f>
        <v/>
      </c>
      <c r="L3282" s="16"/>
      <c r="M3282" s="8" t="str">
        <f t="shared" si="51"/>
        <v/>
      </c>
      <c r="N3282" s="9"/>
    </row>
    <row r="3283" spans="1:14" ht="15.75">
      <c r="A3283" s="11"/>
      <c r="B3283" s="9"/>
      <c r="C3283" s="12" t="str">
        <f>IF(B3283="","",IFERROR(INDEX('Cashier Roster'!$C$5:$C$64,MATCH(B3283,'Cashier Roster'!$B$5:$B$64,0)),"Not on roster"))</f>
        <v/>
      </c>
      <c r="D3283" s="12" t="str">
        <f>IF(B3283="","",IFERROR(INDEX('Cashier Roster'!$D$5:$D$64,MATCH(B3283,'Cashier Roster'!$B$5:$B$64,0)),""))</f>
        <v/>
      </c>
      <c r="E3283" s="13"/>
      <c r="F3283" s="14"/>
      <c r="G3283" s="8" t="str">
        <f>IF(OR(B3283="",E3283=""),"",IF(E3283="No","Missed",IF(F3283="","",IF(F3283&lt;=Settings!$B$7,"On time","Late"))))</f>
        <v/>
      </c>
      <c r="H3283" s="15"/>
      <c r="I3283" s="16"/>
      <c r="J3283" s="16"/>
      <c r="K3283" s="17" t="str">
        <f>IF(J3283="","",ROUND(J3283*Settings!$B$8,2))</f>
        <v/>
      </c>
      <c r="L3283" s="16"/>
      <c r="M3283" s="8" t="str">
        <f t="shared" si="51"/>
        <v/>
      </c>
      <c r="N3283" s="9"/>
    </row>
    <row r="3284" spans="1:14" ht="15.75">
      <c r="A3284" s="11"/>
      <c r="B3284" s="9"/>
      <c r="C3284" s="12" t="str">
        <f>IF(B3284="","",IFERROR(INDEX('Cashier Roster'!$C$5:$C$64,MATCH(B3284,'Cashier Roster'!$B$5:$B$64,0)),"Not on roster"))</f>
        <v/>
      </c>
      <c r="D3284" s="12" t="str">
        <f>IF(B3284="","",IFERROR(INDEX('Cashier Roster'!$D$5:$D$64,MATCH(B3284,'Cashier Roster'!$B$5:$B$64,0)),""))</f>
        <v/>
      </c>
      <c r="E3284" s="13"/>
      <c r="F3284" s="14"/>
      <c r="G3284" s="8" t="str">
        <f>IF(OR(B3284="",E3284=""),"",IF(E3284="No","Missed",IF(F3284="","",IF(F3284&lt;=Settings!$B$7,"On time","Late"))))</f>
        <v/>
      </c>
      <c r="H3284" s="15"/>
      <c r="I3284" s="16"/>
      <c r="J3284" s="16"/>
      <c r="K3284" s="17" t="str">
        <f>IF(J3284="","",ROUND(J3284*Settings!$B$8,2))</f>
        <v/>
      </c>
      <c r="L3284" s="16"/>
      <c r="M3284" s="8" t="str">
        <f t="shared" si="51"/>
        <v/>
      </c>
      <c r="N3284" s="9"/>
    </row>
    <row r="3285" spans="1:14" ht="15.75">
      <c r="A3285" s="11"/>
      <c r="B3285" s="9"/>
      <c r="C3285" s="12" t="str">
        <f>IF(B3285="","",IFERROR(INDEX('Cashier Roster'!$C$5:$C$64,MATCH(B3285,'Cashier Roster'!$B$5:$B$64,0)),"Not on roster"))</f>
        <v/>
      </c>
      <c r="D3285" s="12" t="str">
        <f>IF(B3285="","",IFERROR(INDEX('Cashier Roster'!$D$5:$D$64,MATCH(B3285,'Cashier Roster'!$B$5:$B$64,0)),""))</f>
        <v/>
      </c>
      <c r="E3285" s="13"/>
      <c r="F3285" s="14"/>
      <c r="G3285" s="8" t="str">
        <f>IF(OR(B3285="",E3285=""),"",IF(E3285="No","Missed",IF(F3285="","",IF(F3285&lt;=Settings!$B$7,"On time","Late"))))</f>
        <v/>
      </c>
      <c r="H3285" s="15"/>
      <c r="I3285" s="16"/>
      <c r="J3285" s="16"/>
      <c r="K3285" s="17" t="str">
        <f>IF(J3285="","",ROUND(J3285*Settings!$B$8,2))</f>
        <v/>
      </c>
      <c r="L3285" s="16"/>
      <c r="M3285" s="8" t="str">
        <f t="shared" si="51"/>
        <v/>
      </c>
      <c r="N3285" s="9"/>
    </row>
    <row r="3286" spans="1:14" ht="15.75">
      <c r="A3286" s="11"/>
      <c r="B3286" s="9"/>
      <c r="C3286" s="12" t="str">
        <f>IF(B3286="","",IFERROR(INDEX('Cashier Roster'!$C$5:$C$64,MATCH(B3286,'Cashier Roster'!$B$5:$B$64,0)),"Not on roster"))</f>
        <v/>
      </c>
      <c r="D3286" s="12" t="str">
        <f>IF(B3286="","",IFERROR(INDEX('Cashier Roster'!$D$5:$D$64,MATCH(B3286,'Cashier Roster'!$B$5:$B$64,0)),""))</f>
        <v/>
      </c>
      <c r="E3286" s="13"/>
      <c r="F3286" s="14"/>
      <c r="G3286" s="8" t="str">
        <f>IF(OR(B3286="",E3286=""),"",IF(E3286="No","Missed",IF(F3286="","",IF(F3286&lt;=Settings!$B$7,"On time","Late"))))</f>
        <v/>
      </c>
      <c r="H3286" s="15"/>
      <c r="I3286" s="16"/>
      <c r="J3286" s="16"/>
      <c r="K3286" s="17" t="str">
        <f>IF(J3286="","",ROUND(J3286*Settings!$B$8,2))</f>
        <v/>
      </c>
      <c r="L3286" s="16"/>
      <c r="M3286" s="8" t="str">
        <f t="shared" si="51"/>
        <v/>
      </c>
      <c r="N3286" s="9"/>
    </row>
    <row r="3287" spans="1:14" ht="15.75">
      <c r="A3287" s="11"/>
      <c r="B3287" s="9"/>
      <c r="C3287" s="12" t="str">
        <f>IF(B3287="","",IFERROR(INDEX('Cashier Roster'!$C$5:$C$64,MATCH(B3287,'Cashier Roster'!$B$5:$B$64,0)),"Not on roster"))</f>
        <v/>
      </c>
      <c r="D3287" s="12" t="str">
        <f>IF(B3287="","",IFERROR(INDEX('Cashier Roster'!$D$5:$D$64,MATCH(B3287,'Cashier Roster'!$B$5:$B$64,0)),""))</f>
        <v/>
      </c>
      <c r="E3287" s="13"/>
      <c r="F3287" s="14"/>
      <c r="G3287" s="8" t="str">
        <f>IF(OR(B3287="",E3287=""),"",IF(E3287="No","Missed",IF(F3287="","",IF(F3287&lt;=Settings!$B$7,"On time","Late"))))</f>
        <v/>
      </c>
      <c r="H3287" s="15"/>
      <c r="I3287" s="16"/>
      <c r="J3287" s="16"/>
      <c r="K3287" s="17" t="str">
        <f>IF(J3287="","",ROUND(J3287*Settings!$B$8,2))</f>
        <v/>
      </c>
      <c r="L3287" s="16"/>
      <c r="M3287" s="8" t="str">
        <f t="shared" si="51"/>
        <v/>
      </c>
      <c r="N3287" s="9"/>
    </row>
    <row r="3288" spans="1:14" ht="15.75">
      <c r="A3288" s="11"/>
      <c r="B3288" s="9"/>
      <c r="C3288" s="12" t="str">
        <f>IF(B3288="","",IFERROR(INDEX('Cashier Roster'!$C$5:$C$64,MATCH(B3288,'Cashier Roster'!$B$5:$B$64,0)),"Not on roster"))</f>
        <v/>
      </c>
      <c r="D3288" s="12" t="str">
        <f>IF(B3288="","",IFERROR(INDEX('Cashier Roster'!$D$5:$D$64,MATCH(B3288,'Cashier Roster'!$B$5:$B$64,0)),""))</f>
        <v/>
      </c>
      <c r="E3288" s="13"/>
      <c r="F3288" s="14"/>
      <c r="G3288" s="8" t="str">
        <f>IF(OR(B3288="",E3288=""),"",IF(E3288="No","Missed",IF(F3288="","",IF(F3288&lt;=Settings!$B$7,"On time","Late"))))</f>
        <v/>
      </c>
      <c r="H3288" s="15"/>
      <c r="I3288" s="16"/>
      <c r="J3288" s="16"/>
      <c r="K3288" s="17" t="str">
        <f>IF(J3288="","",ROUND(J3288*Settings!$B$8,2))</f>
        <v/>
      </c>
      <c r="L3288" s="16"/>
      <c r="M3288" s="8" t="str">
        <f t="shared" si="51"/>
        <v/>
      </c>
      <c r="N3288" s="9"/>
    </row>
    <row r="3289" spans="1:14" ht="15.75">
      <c r="A3289" s="11"/>
      <c r="B3289" s="9"/>
      <c r="C3289" s="12" t="str">
        <f>IF(B3289="","",IFERROR(INDEX('Cashier Roster'!$C$5:$C$64,MATCH(B3289,'Cashier Roster'!$B$5:$B$64,0)),"Not on roster"))</f>
        <v/>
      </c>
      <c r="D3289" s="12" t="str">
        <f>IF(B3289="","",IFERROR(INDEX('Cashier Roster'!$D$5:$D$64,MATCH(B3289,'Cashier Roster'!$B$5:$B$64,0)),""))</f>
        <v/>
      </c>
      <c r="E3289" s="13"/>
      <c r="F3289" s="14"/>
      <c r="G3289" s="8" t="str">
        <f>IF(OR(B3289="",E3289=""),"",IF(E3289="No","Missed",IF(F3289="","",IF(F3289&lt;=Settings!$B$7,"On time","Late"))))</f>
        <v/>
      </c>
      <c r="H3289" s="15"/>
      <c r="I3289" s="16"/>
      <c r="J3289" s="16"/>
      <c r="K3289" s="17" t="str">
        <f>IF(J3289="","",ROUND(J3289*Settings!$B$8,2))</f>
        <v/>
      </c>
      <c r="L3289" s="16"/>
      <c r="M3289" s="8" t="str">
        <f t="shared" si="51"/>
        <v/>
      </c>
      <c r="N3289" s="9"/>
    </row>
    <row r="3290" spans="1:14" ht="15.75">
      <c r="A3290" s="11"/>
      <c r="B3290" s="9"/>
      <c r="C3290" s="12" t="str">
        <f>IF(B3290="","",IFERROR(INDEX('Cashier Roster'!$C$5:$C$64,MATCH(B3290,'Cashier Roster'!$B$5:$B$64,0)),"Not on roster"))</f>
        <v/>
      </c>
      <c r="D3290" s="12" t="str">
        <f>IF(B3290="","",IFERROR(INDEX('Cashier Roster'!$D$5:$D$64,MATCH(B3290,'Cashier Roster'!$B$5:$B$64,0)),""))</f>
        <v/>
      </c>
      <c r="E3290" s="13"/>
      <c r="F3290" s="14"/>
      <c r="G3290" s="8" t="str">
        <f>IF(OR(B3290="",E3290=""),"",IF(E3290="No","Missed",IF(F3290="","",IF(F3290&lt;=Settings!$B$7,"On time","Late"))))</f>
        <v/>
      </c>
      <c r="H3290" s="15"/>
      <c r="I3290" s="16"/>
      <c r="J3290" s="16"/>
      <c r="K3290" s="17" t="str">
        <f>IF(J3290="","",ROUND(J3290*Settings!$B$8,2))</f>
        <v/>
      </c>
      <c r="L3290" s="16"/>
      <c r="M3290" s="8" t="str">
        <f t="shared" si="51"/>
        <v/>
      </c>
      <c r="N3290" s="9"/>
    </row>
    <row r="3291" spans="1:14" ht="15.75">
      <c r="A3291" s="11"/>
      <c r="B3291" s="9"/>
      <c r="C3291" s="12" t="str">
        <f>IF(B3291="","",IFERROR(INDEX('Cashier Roster'!$C$5:$C$64,MATCH(B3291,'Cashier Roster'!$B$5:$B$64,0)),"Not on roster"))</f>
        <v/>
      </c>
      <c r="D3291" s="12" t="str">
        <f>IF(B3291="","",IFERROR(INDEX('Cashier Roster'!$D$5:$D$64,MATCH(B3291,'Cashier Roster'!$B$5:$B$64,0)),""))</f>
        <v/>
      </c>
      <c r="E3291" s="13"/>
      <c r="F3291" s="14"/>
      <c r="G3291" s="8" t="str">
        <f>IF(OR(B3291="",E3291=""),"",IF(E3291="No","Missed",IF(F3291="","",IF(F3291&lt;=Settings!$B$7,"On time","Late"))))</f>
        <v/>
      </c>
      <c r="H3291" s="15"/>
      <c r="I3291" s="16"/>
      <c r="J3291" s="16"/>
      <c r="K3291" s="17" t="str">
        <f>IF(J3291="","",ROUND(J3291*Settings!$B$8,2))</f>
        <v/>
      </c>
      <c r="L3291" s="16"/>
      <c r="M3291" s="8" t="str">
        <f t="shared" si="51"/>
        <v/>
      </c>
      <c r="N3291" s="9"/>
    </row>
    <row r="3292" spans="1:14" ht="15.75">
      <c r="A3292" s="11"/>
      <c r="B3292" s="9"/>
      <c r="C3292" s="12" t="str">
        <f>IF(B3292="","",IFERROR(INDEX('Cashier Roster'!$C$5:$C$64,MATCH(B3292,'Cashier Roster'!$B$5:$B$64,0)),"Not on roster"))</f>
        <v/>
      </c>
      <c r="D3292" s="12" t="str">
        <f>IF(B3292="","",IFERROR(INDEX('Cashier Roster'!$D$5:$D$64,MATCH(B3292,'Cashier Roster'!$B$5:$B$64,0)),""))</f>
        <v/>
      </c>
      <c r="E3292" s="13"/>
      <c r="F3292" s="14"/>
      <c r="G3292" s="8" t="str">
        <f>IF(OR(B3292="",E3292=""),"",IF(E3292="No","Missed",IF(F3292="","",IF(F3292&lt;=Settings!$B$7,"On time","Late"))))</f>
        <v/>
      </c>
      <c r="H3292" s="15"/>
      <c r="I3292" s="16"/>
      <c r="J3292" s="16"/>
      <c r="K3292" s="17" t="str">
        <f>IF(J3292="","",ROUND(J3292*Settings!$B$8,2))</f>
        <v/>
      </c>
      <c r="L3292" s="16"/>
      <c r="M3292" s="8" t="str">
        <f t="shared" si="51"/>
        <v/>
      </c>
      <c r="N3292" s="9"/>
    </row>
    <row r="3293" spans="1:14" ht="15.75">
      <c r="A3293" s="11"/>
      <c r="B3293" s="9"/>
      <c r="C3293" s="12" t="str">
        <f>IF(B3293="","",IFERROR(INDEX('Cashier Roster'!$C$5:$C$64,MATCH(B3293,'Cashier Roster'!$B$5:$B$64,0)),"Not on roster"))</f>
        <v/>
      </c>
      <c r="D3293" s="12" t="str">
        <f>IF(B3293="","",IFERROR(INDEX('Cashier Roster'!$D$5:$D$64,MATCH(B3293,'Cashier Roster'!$B$5:$B$64,0)),""))</f>
        <v/>
      </c>
      <c r="E3293" s="13"/>
      <c r="F3293" s="14"/>
      <c r="G3293" s="8" t="str">
        <f>IF(OR(B3293="",E3293=""),"",IF(E3293="No","Missed",IF(F3293="","",IF(F3293&lt;=Settings!$B$7,"On time","Late"))))</f>
        <v/>
      </c>
      <c r="H3293" s="15"/>
      <c r="I3293" s="16"/>
      <c r="J3293" s="16"/>
      <c r="K3293" s="17" t="str">
        <f>IF(J3293="","",ROUND(J3293*Settings!$B$8,2))</f>
        <v/>
      </c>
      <c r="L3293" s="16"/>
      <c r="M3293" s="8" t="str">
        <f t="shared" si="51"/>
        <v/>
      </c>
      <c r="N3293" s="9"/>
    </row>
    <row r="3294" spans="1:14" ht="15.75">
      <c r="A3294" s="11"/>
      <c r="B3294" s="9"/>
      <c r="C3294" s="12" t="str">
        <f>IF(B3294="","",IFERROR(INDEX('Cashier Roster'!$C$5:$C$64,MATCH(B3294,'Cashier Roster'!$B$5:$B$64,0)),"Not on roster"))</f>
        <v/>
      </c>
      <c r="D3294" s="12" t="str">
        <f>IF(B3294="","",IFERROR(INDEX('Cashier Roster'!$D$5:$D$64,MATCH(B3294,'Cashier Roster'!$B$5:$B$64,0)),""))</f>
        <v/>
      </c>
      <c r="E3294" s="13"/>
      <c r="F3294" s="14"/>
      <c r="G3294" s="8" t="str">
        <f>IF(OR(B3294="",E3294=""),"",IF(E3294="No","Missed",IF(F3294="","",IF(F3294&lt;=Settings!$B$7,"On time","Late"))))</f>
        <v/>
      </c>
      <c r="H3294" s="15"/>
      <c r="I3294" s="16"/>
      <c r="J3294" s="16"/>
      <c r="K3294" s="17" t="str">
        <f>IF(J3294="","",ROUND(J3294*Settings!$B$8,2))</f>
        <v/>
      </c>
      <c r="L3294" s="16"/>
      <c r="M3294" s="8" t="str">
        <f t="shared" si="51"/>
        <v/>
      </c>
      <c r="N3294" s="9"/>
    </row>
    <row r="3295" spans="1:14" ht="15.75">
      <c r="A3295" s="11"/>
      <c r="B3295" s="9"/>
      <c r="C3295" s="12" t="str">
        <f>IF(B3295="","",IFERROR(INDEX('Cashier Roster'!$C$5:$C$64,MATCH(B3295,'Cashier Roster'!$B$5:$B$64,0)),"Not on roster"))</f>
        <v/>
      </c>
      <c r="D3295" s="12" t="str">
        <f>IF(B3295="","",IFERROR(INDEX('Cashier Roster'!$D$5:$D$64,MATCH(B3295,'Cashier Roster'!$B$5:$B$64,0)),""))</f>
        <v/>
      </c>
      <c r="E3295" s="13"/>
      <c r="F3295" s="14"/>
      <c r="G3295" s="8" t="str">
        <f>IF(OR(B3295="",E3295=""),"",IF(E3295="No","Missed",IF(F3295="","",IF(F3295&lt;=Settings!$B$7,"On time","Late"))))</f>
        <v/>
      </c>
      <c r="H3295" s="15"/>
      <c r="I3295" s="16"/>
      <c r="J3295" s="16"/>
      <c r="K3295" s="17" t="str">
        <f>IF(J3295="","",ROUND(J3295*Settings!$B$8,2))</f>
        <v/>
      </c>
      <c r="L3295" s="16"/>
      <c r="M3295" s="8" t="str">
        <f t="shared" si="51"/>
        <v/>
      </c>
      <c r="N3295" s="9"/>
    </row>
    <row r="3296" spans="1:14" ht="15.75">
      <c r="A3296" s="11"/>
      <c r="B3296" s="9"/>
      <c r="C3296" s="12" t="str">
        <f>IF(B3296="","",IFERROR(INDEX('Cashier Roster'!$C$5:$C$64,MATCH(B3296,'Cashier Roster'!$B$5:$B$64,0)),"Not on roster"))</f>
        <v/>
      </c>
      <c r="D3296" s="12" t="str">
        <f>IF(B3296="","",IFERROR(INDEX('Cashier Roster'!$D$5:$D$64,MATCH(B3296,'Cashier Roster'!$B$5:$B$64,0)),""))</f>
        <v/>
      </c>
      <c r="E3296" s="13"/>
      <c r="F3296" s="14"/>
      <c r="G3296" s="8" t="str">
        <f>IF(OR(B3296="",E3296=""),"",IF(E3296="No","Missed",IF(F3296="","",IF(F3296&lt;=Settings!$B$7,"On time","Late"))))</f>
        <v/>
      </c>
      <c r="H3296" s="15"/>
      <c r="I3296" s="16"/>
      <c r="J3296" s="16"/>
      <c r="K3296" s="17" t="str">
        <f>IF(J3296="","",ROUND(J3296*Settings!$B$8,2))</f>
        <v/>
      </c>
      <c r="L3296" s="16"/>
      <c r="M3296" s="8" t="str">
        <f t="shared" si="51"/>
        <v/>
      </c>
      <c r="N3296" s="9"/>
    </row>
    <row r="3297" spans="1:14" ht="15.75">
      <c r="A3297" s="11"/>
      <c r="B3297" s="9"/>
      <c r="C3297" s="12" t="str">
        <f>IF(B3297="","",IFERROR(INDEX('Cashier Roster'!$C$5:$C$64,MATCH(B3297,'Cashier Roster'!$B$5:$B$64,0)),"Not on roster"))</f>
        <v/>
      </c>
      <c r="D3297" s="12" t="str">
        <f>IF(B3297="","",IFERROR(INDEX('Cashier Roster'!$D$5:$D$64,MATCH(B3297,'Cashier Roster'!$B$5:$B$64,0)),""))</f>
        <v/>
      </c>
      <c r="E3297" s="13"/>
      <c r="F3297" s="14"/>
      <c r="G3297" s="8" t="str">
        <f>IF(OR(B3297="",E3297=""),"",IF(E3297="No","Missed",IF(F3297="","",IF(F3297&lt;=Settings!$B$7,"On time","Late"))))</f>
        <v/>
      </c>
      <c r="H3297" s="15"/>
      <c r="I3297" s="16"/>
      <c r="J3297" s="16"/>
      <c r="K3297" s="17" t="str">
        <f>IF(J3297="","",ROUND(J3297*Settings!$B$8,2))</f>
        <v/>
      </c>
      <c r="L3297" s="16"/>
      <c r="M3297" s="8" t="str">
        <f t="shared" si="51"/>
        <v/>
      </c>
      <c r="N3297" s="9"/>
    </row>
    <row r="3298" spans="1:14" ht="15.75">
      <c r="A3298" s="11"/>
      <c r="B3298" s="9"/>
      <c r="C3298" s="12" t="str">
        <f>IF(B3298="","",IFERROR(INDEX('Cashier Roster'!$C$5:$C$64,MATCH(B3298,'Cashier Roster'!$B$5:$B$64,0)),"Not on roster"))</f>
        <v/>
      </c>
      <c r="D3298" s="12" t="str">
        <f>IF(B3298="","",IFERROR(INDEX('Cashier Roster'!$D$5:$D$64,MATCH(B3298,'Cashier Roster'!$B$5:$B$64,0)),""))</f>
        <v/>
      </c>
      <c r="E3298" s="13"/>
      <c r="F3298" s="14"/>
      <c r="G3298" s="8" t="str">
        <f>IF(OR(B3298="",E3298=""),"",IF(E3298="No","Missed",IF(F3298="","",IF(F3298&lt;=Settings!$B$7,"On time","Late"))))</f>
        <v/>
      </c>
      <c r="H3298" s="15"/>
      <c r="I3298" s="16"/>
      <c r="J3298" s="16"/>
      <c r="K3298" s="17" t="str">
        <f>IF(J3298="","",ROUND(J3298*Settings!$B$8,2))</f>
        <v/>
      </c>
      <c r="L3298" s="16"/>
      <c r="M3298" s="8" t="str">
        <f t="shared" si="51"/>
        <v/>
      </c>
      <c r="N3298" s="9"/>
    </row>
    <row r="3299" spans="1:14" ht="15.75">
      <c r="A3299" s="11"/>
      <c r="B3299" s="9"/>
      <c r="C3299" s="12" t="str">
        <f>IF(B3299="","",IFERROR(INDEX('Cashier Roster'!$C$5:$C$64,MATCH(B3299,'Cashier Roster'!$B$5:$B$64,0)),"Not on roster"))</f>
        <v/>
      </c>
      <c r="D3299" s="12" t="str">
        <f>IF(B3299="","",IFERROR(INDEX('Cashier Roster'!$D$5:$D$64,MATCH(B3299,'Cashier Roster'!$B$5:$B$64,0)),""))</f>
        <v/>
      </c>
      <c r="E3299" s="13"/>
      <c r="F3299" s="14"/>
      <c r="G3299" s="8" t="str">
        <f>IF(OR(B3299="",E3299=""),"",IF(E3299="No","Missed",IF(F3299="","",IF(F3299&lt;=Settings!$B$7,"On time","Late"))))</f>
        <v/>
      </c>
      <c r="H3299" s="15"/>
      <c r="I3299" s="16"/>
      <c r="J3299" s="16"/>
      <c r="K3299" s="17" t="str">
        <f>IF(J3299="","",ROUND(J3299*Settings!$B$8,2))</f>
        <v/>
      </c>
      <c r="L3299" s="16"/>
      <c r="M3299" s="8" t="str">
        <f t="shared" si="51"/>
        <v/>
      </c>
      <c r="N3299" s="9"/>
    </row>
    <row r="3300" spans="1:14" ht="15.75">
      <c r="A3300" s="11"/>
      <c r="B3300" s="9"/>
      <c r="C3300" s="12" t="str">
        <f>IF(B3300="","",IFERROR(INDEX('Cashier Roster'!$C$5:$C$64,MATCH(B3300,'Cashier Roster'!$B$5:$B$64,0)),"Not on roster"))</f>
        <v/>
      </c>
      <c r="D3300" s="12" t="str">
        <f>IF(B3300="","",IFERROR(INDEX('Cashier Roster'!$D$5:$D$64,MATCH(B3300,'Cashier Roster'!$B$5:$B$64,0)),""))</f>
        <v/>
      </c>
      <c r="E3300" s="13"/>
      <c r="F3300" s="14"/>
      <c r="G3300" s="8" t="str">
        <f>IF(OR(B3300="",E3300=""),"",IF(E3300="No","Missed",IF(F3300="","",IF(F3300&lt;=Settings!$B$7,"On time","Late"))))</f>
        <v/>
      </c>
      <c r="H3300" s="15"/>
      <c r="I3300" s="16"/>
      <c r="J3300" s="16"/>
      <c r="K3300" s="17" t="str">
        <f>IF(J3300="","",ROUND(J3300*Settings!$B$8,2))</f>
        <v/>
      </c>
      <c r="L3300" s="16"/>
      <c r="M3300" s="8" t="str">
        <f t="shared" si="51"/>
        <v/>
      </c>
      <c r="N3300" s="9"/>
    </row>
    <row r="3301" spans="1:14" ht="15.75">
      <c r="A3301" s="11"/>
      <c r="B3301" s="9"/>
      <c r="C3301" s="12" t="str">
        <f>IF(B3301="","",IFERROR(INDEX('Cashier Roster'!$C$5:$C$64,MATCH(B3301,'Cashier Roster'!$B$5:$B$64,0)),"Not on roster"))</f>
        <v/>
      </c>
      <c r="D3301" s="12" t="str">
        <f>IF(B3301="","",IFERROR(INDEX('Cashier Roster'!$D$5:$D$64,MATCH(B3301,'Cashier Roster'!$B$5:$B$64,0)),""))</f>
        <v/>
      </c>
      <c r="E3301" s="13"/>
      <c r="F3301" s="14"/>
      <c r="G3301" s="8" t="str">
        <f>IF(OR(B3301="",E3301=""),"",IF(E3301="No","Missed",IF(F3301="","",IF(F3301&lt;=Settings!$B$7,"On time","Late"))))</f>
        <v/>
      </c>
      <c r="H3301" s="15"/>
      <c r="I3301" s="16"/>
      <c r="J3301" s="16"/>
      <c r="K3301" s="17" t="str">
        <f>IF(J3301="","",ROUND(J3301*Settings!$B$8,2))</f>
        <v/>
      </c>
      <c r="L3301" s="16"/>
      <c r="M3301" s="8" t="str">
        <f t="shared" si="51"/>
        <v/>
      </c>
      <c r="N3301" s="9"/>
    </row>
    <row r="3302" spans="1:14" ht="15.75">
      <c r="A3302" s="11"/>
      <c r="B3302" s="9"/>
      <c r="C3302" s="12" t="str">
        <f>IF(B3302="","",IFERROR(INDEX('Cashier Roster'!$C$5:$C$64,MATCH(B3302,'Cashier Roster'!$B$5:$B$64,0)),"Not on roster"))</f>
        <v/>
      </c>
      <c r="D3302" s="12" t="str">
        <f>IF(B3302="","",IFERROR(INDEX('Cashier Roster'!$D$5:$D$64,MATCH(B3302,'Cashier Roster'!$B$5:$B$64,0)),""))</f>
        <v/>
      </c>
      <c r="E3302" s="13"/>
      <c r="F3302" s="14"/>
      <c r="G3302" s="8" t="str">
        <f>IF(OR(B3302="",E3302=""),"",IF(E3302="No","Missed",IF(F3302="","",IF(F3302&lt;=Settings!$B$7,"On time","Late"))))</f>
        <v/>
      </c>
      <c r="H3302" s="15"/>
      <c r="I3302" s="16"/>
      <c r="J3302" s="16"/>
      <c r="K3302" s="17" t="str">
        <f>IF(J3302="","",ROUND(J3302*Settings!$B$8,2))</f>
        <v/>
      </c>
      <c r="L3302" s="16"/>
      <c r="M3302" s="8" t="str">
        <f t="shared" si="51"/>
        <v/>
      </c>
      <c r="N3302" s="9"/>
    </row>
    <row r="3303" spans="1:14" ht="15.75">
      <c r="A3303" s="11"/>
      <c r="B3303" s="9"/>
      <c r="C3303" s="12" t="str">
        <f>IF(B3303="","",IFERROR(INDEX('Cashier Roster'!$C$5:$C$64,MATCH(B3303,'Cashier Roster'!$B$5:$B$64,0)),"Not on roster"))</f>
        <v/>
      </c>
      <c r="D3303" s="12" t="str">
        <f>IF(B3303="","",IFERROR(INDEX('Cashier Roster'!$D$5:$D$64,MATCH(B3303,'Cashier Roster'!$B$5:$B$64,0)),""))</f>
        <v/>
      </c>
      <c r="E3303" s="13"/>
      <c r="F3303" s="14"/>
      <c r="G3303" s="8" t="str">
        <f>IF(OR(B3303="",E3303=""),"",IF(E3303="No","Missed",IF(F3303="","",IF(F3303&lt;=Settings!$B$7,"On time","Late"))))</f>
        <v/>
      </c>
      <c r="H3303" s="15"/>
      <c r="I3303" s="16"/>
      <c r="J3303" s="16"/>
      <c r="K3303" s="17" t="str">
        <f>IF(J3303="","",ROUND(J3303*Settings!$B$8,2))</f>
        <v/>
      </c>
      <c r="L3303" s="16"/>
      <c r="M3303" s="8" t="str">
        <f t="shared" si="51"/>
        <v/>
      </c>
      <c r="N3303" s="9"/>
    </row>
    <row r="3304" spans="1:14" ht="15.75">
      <c r="A3304" s="11"/>
      <c r="B3304" s="9"/>
      <c r="C3304" s="12" t="str">
        <f>IF(B3304="","",IFERROR(INDEX('Cashier Roster'!$C$5:$C$64,MATCH(B3304,'Cashier Roster'!$B$5:$B$64,0)),"Not on roster"))</f>
        <v/>
      </c>
      <c r="D3304" s="12" t="str">
        <f>IF(B3304="","",IFERROR(INDEX('Cashier Roster'!$D$5:$D$64,MATCH(B3304,'Cashier Roster'!$B$5:$B$64,0)),""))</f>
        <v/>
      </c>
      <c r="E3304" s="13"/>
      <c r="F3304" s="14"/>
      <c r="G3304" s="8" t="str">
        <f>IF(OR(B3304="",E3304=""),"",IF(E3304="No","Missed",IF(F3304="","",IF(F3304&lt;=Settings!$B$7,"On time","Late"))))</f>
        <v/>
      </c>
      <c r="H3304" s="15"/>
      <c r="I3304" s="16"/>
      <c r="J3304" s="16"/>
      <c r="K3304" s="17" t="str">
        <f>IF(J3304="","",ROUND(J3304*Settings!$B$8,2))</f>
        <v/>
      </c>
      <c r="L3304" s="16"/>
      <c r="M3304" s="8" t="str">
        <f t="shared" si="51"/>
        <v/>
      </c>
      <c r="N3304" s="9"/>
    </row>
    <row r="3305" spans="1:14" ht="15.75">
      <c r="A3305" s="11"/>
      <c r="B3305" s="9"/>
      <c r="C3305" s="12" t="str">
        <f>IF(B3305="","",IFERROR(INDEX('Cashier Roster'!$C$5:$C$64,MATCH(B3305,'Cashier Roster'!$B$5:$B$64,0)),"Not on roster"))</f>
        <v/>
      </c>
      <c r="D3305" s="12" t="str">
        <f>IF(B3305="","",IFERROR(INDEX('Cashier Roster'!$D$5:$D$64,MATCH(B3305,'Cashier Roster'!$B$5:$B$64,0)),""))</f>
        <v/>
      </c>
      <c r="E3305" s="13"/>
      <c r="F3305" s="14"/>
      <c r="G3305" s="8" t="str">
        <f>IF(OR(B3305="",E3305=""),"",IF(E3305="No","Missed",IF(F3305="","",IF(F3305&lt;=Settings!$B$7,"On time","Late"))))</f>
        <v/>
      </c>
      <c r="H3305" s="15"/>
      <c r="I3305" s="16"/>
      <c r="J3305" s="16"/>
      <c r="K3305" s="17" t="str">
        <f>IF(J3305="","",ROUND(J3305*Settings!$B$8,2))</f>
        <v/>
      </c>
      <c r="L3305" s="16"/>
      <c r="M3305" s="8" t="str">
        <f t="shared" si="51"/>
        <v/>
      </c>
      <c r="N3305" s="9"/>
    </row>
    <row r="3306" spans="1:14" ht="15.75">
      <c r="A3306" s="11"/>
      <c r="B3306" s="9"/>
      <c r="C3306" s="12" t="str">
        <f>IF(B3306="","",IFERROR(INDEX('Cashier Roster'!$C$5:$C$64,MATCH(B3306,'Cashier Roster'!$B$5:$B$64,0)),"Not on roster"))</f>
        <v/>
      </c>
      <c r="D3306" s="12" t="str">
        <f>IF(B3306="","",IFERROR(INDEX('Cashier Roster'!$D$5:$D$64,MATCH(B3306,'Cashier Roster'!$B$5:$B$64,0)),""))</f>
        <v/>
      </c>
      <c r="E3306" s="13"/>
      <c r="F3306" s="14"/>
      <c r="G3306" s="8" t="str">
        <f>IF(OR(B3306="",E3306=""),"",IF(E3306="No","Missed",IF(F3306="","",IF(F3306&lt;=Settings!$B$7,"On time","Late"))))</f>
        <v/>
      </c>
      <c r="H3306" s="15"/>
      <c r="I3306" s="16"/>
      <c r="J3306" s="16"/>
      <c r="K3306" s="17" t="str">
        <f>IF(J3306="","",ROUND(J3306*Settings!$B$8,2))</f>
        <v/>
      </c>
      <c r="L3306" s="16"/>
      <c r="M3306" s="8" t="str">
        <f t="shared" si="51"/>
        <v/>
      </c>
      <c r="N3306" s="9"/>
    </row>
    <row r="3307" spans="1:14" ht="15.75">
      <c r="A3307" s="11"/>
      <c r="B3307" s="9"/>
      <c r="C3307" s="12" t="str">
        <f>IF(B3307="","",IFERROR(INDEX('Cashier Roster'!$C$5:$C$64,MATCH(B3307,'Cashier Roster'!$B$5:$B$64,0)),"Not on roster"))</f>
        <v/>
      </c>
      <c r="D3307" s="12" t="str">
        <f>IF(B3307="","",IFERROR(INDEX('Cashier Roster'!$D$5:$D$64,MATCH(B3307,'Cashier Roster'!$B$5:$B$64,0)),""))</f>
        <v/>
      </c>
      <c r="E3307" s="13"/>
      <c r="F3307" s="14"/>
      <c r="G3307" s="8" t="str">
        <f>IF(OR(B3307="",E3307=""),"",IF(E3307="No","Missed",IF(F3307="","",IF(F3307&lt;=Settings!$B$7,"On time","Late"))))</f>
        <v/>
      </c>
      <c r="H3307" s="15"/>
      <c r="I3307" s="16"/>
      <c r="J3307" s="16"/>
      <c r="K3307" s="17" t="str">
        <f>IF(J3307="","",ROUND(J3307*Settings!$B$8,2))</f>
        <v/>
      </c>
      <c r="L3307" s="16"/>
      <c r="M3307" s="8" t="str">
        <f t="shared" si="51"/>
        <v/>
      </c>
      <c r="N3307" s="9"/>
    </row>
    <row r="3308" spans="1:14" ht="15.75">
      <c r="A3308" s="11"/>
      <c r="B3308" s="9"/>
      <c r="C3308" s="12" t="str">
        <f>IF(B3308="","",IFERROR(INDEX('Cashier Roster'!$C$5:$C$64,MATCH(B3308,'Cashier Roster'!$B$5:$B$64,0)),"Not on roster"))</f>
        <v/>
      </c>
      <c r="D3308" s="12" t="str">
        <f>IF(B3308="","",IFERROR(INDEX('Cashier Roster'!$D$5:$D$64,MATCH(B3308,'Cashier Roster'!$B$5:$B$64,0)),""))</f>
        <v/>
      </c>
      <c r="E3308" s="13"/>
      <c r="F3308" s="14"/>
      <c r="G3308" s="8" t="str">
        <f>IF(OR(B3308="",E3308=""),"",IF(E3308="No","Missed",IF(F3308="","",IF(F3308&lt;=Settings!$B$7,"On time","Late"))))</f>
        <v/>
      </c>
      <c r="H3308" s="15"/>
      <c r="I3308" s="16"/>
      <c r="J3308" s="16"/>
      <c r="K3308" s="17" t="str">
        <f>IF(J3308="","",ROUND(J3308*Settings!$B$8,2))</f>
        <v/>
      </c>
      <c r="L3308" s="16"/>
      <c r="M3308" s="8" t="str">
        <f t="shared" si="51"/>
        <v/>
      </c>
      <c r="N3308" s="9"/>
    </row>
    <row r="3309" spans="1:14" ht="15.75">
      <c r="A3309" s="11"/>
      <c r="B3309" s="9"/>
      <c r="C3309" s="12" t="str">
        <f>IF(B3309="","",IFERROR(INDEX('Cashier Roster'!$C$5:$C$64,MATCH(B3309,'Cashier Roster'!$B$5:$B$64,0)),"Not on roster"))</f>
        <v/>
      </c>
      <c r="D3309" s="12" t="str">
        <f>IF(B3309="","",IFERROR(INDEX('Cashier Roster'!$D$5:$D$64,MATCH(B3309,'Cashier Roster'!$B$5:$B$64,0)),""))</f>
        <v/>
      </c>
      <c r="E3309" s="13"/>
      <c r="F3309" s="14"/>
      <c r="G3309" s="8" t="str">
        <f>IF(OR(B3309="",E3309=""),"",IF(E3309="No","Missed",IF(F3309="","",IF(F3309&lt;=Settings!$B$7,"On time","Late"))))</f>
        <v/>
      </c>
      <c r="H3309" s="15"/>
      <c r="I3309" s="16"/>
      <c r="J3309" s="16"/>
      <c r="K3309" s="17" t="str">
        <f>IF(J3309="","",ROUND(J3309*Settings!$B$8,2))</f>
        <v/>
      </c>
      <c r="L3309" s="16"/>
      <c r="M3309" s="8" t="str">
        <f t="shared" si="51"/>
        <v/>
      </c>
      <c r="N3309" s="9"/>
    </row>
    <row r="3310" spans="1:14" ht="15.75">
      <c r="A3310" s="11"/>
      <c r="B3310" s="9"/>
      <c r="C3310" s="12" t="str">
        <f>IF(B3310="","",IFERROR(INDEX('Cashier Roster'!$C$5:$C$64,MATCH(B3310,'Cashier Roster'!$B$5:$B$64,0)),"Not on roster"))</f>
        <v/>
      </c>
      <c r="D3310" s="12" t="str">
        <f>IF(B3310="","",IFERROR(INDEX('Cashier Roster'!$D$5:$D$64,MATCH(B3310,'Cashier Roster'!$B$5:$B$64,0)),""))</f>
        <v/>
      </c>
      <c r="E3310" s="13"/>
      <c r="F3310" s="14"/>
      <c r="G3310" s="8" t="str">
        <f>IF(OR(B3310="",E3310=""),"",IF(E3310="No","Missed",IF(F3310="","",IF(F3310&lt;=Settings!$B$7,"On time","Late"))))</f>
        <v/>
      </c>
      <c r="H3310" s="15"/>
      <c r="I3310" s="16"/>
      <c r="J3310" s="16"/>
      <c r="K3310" s="17" t="str">
        <f>IF(J3310="","",ROUND(J3310*Settings!$B$8,2))</f>
        <v/>
      </c>
      <c r="L3310" s="16"/>
      <c r="M3310" s="8" t="str">
        <f t="shared" si="51"/>
        <v/>
      </c>
      <c r="N3310" s="9"/>
    </row>
    <row r="3311" spans="1:14" ht="15.75">
      <c r="A3311" s="11"/>
      <c r="B3311" s="9"/>
      <c r="C3311" s="12" t="str">
        <f>IF(B3311="","",IFERROR(INDEX('Cashier Roster'!$C$5:$C$64,MATCH(B3311,'Cashier Roster'!$B$5:$B$64,0)),"Not on roster"))</f>
        <v/>
      </c>
      <c r="D3311" s="12" t="str">
        <f>IF(B3311="","",IFERROR(INDEX('Cashier Roster'!$D$5:$D$64,MATCH(B3311,'Cashier Roster'!$B$5:$B$64,0)),""))</f>
        <v/>
      </c>
      <c r="E3311" s="13"/>
      <c r="F3311" s="14"/>
      <c r="G3311" s="8" t="str">
        <f>IF(OR(B3311="",E3311=""),"",IF(E3311="No","Missed",IF(F3311="","",IF(F3311&lt;=Settings!$B$7,"On time","Late"))))</f>
        <v/>
      </c>
      <c r="H3311" s="15"/>
      <c r="I3311" s="16"/>
      <c r="J3311" s="16"/>
      <c r="K3311" s="17" t="str">
        <f>IF(J3311="","",ROUND(J3311*Settings!$B$8,2))</f>
        <v/>
      </c>
      <c r="L3311" s="16"/>
      <c r="M3311" s="8" t="str">
        <f t="shared" si="51"/>
        <v/>
      </c>
      <c r="N3311" s="9"/>
    </row>
    <row r="3312" spans="1:14" ht="15.75">
      <c r="A3312" s="11"/>
      <c r="B3312" s="9"/>
      <c r="C3312" s="12" t="str">
        <f>IF(B3312="","",IFERROR(INDEX('Cashier Roster'!$C$5:$C$64,MATCH(B3312,'Cashier Roster'!$B$5:$B$64,0)),"Not on roster"))</f>
        <v/>
      </c>
      <c r="D3312" s="12" t="str">
        <f>IF(B3312="","",IFERROR(INDEX('Cashier Roster'!$D$5:$D$64,MATCH(B3312,'Cashier Roster'!$B$5:$B$64,0)),""))</f>
        <v/>
      </c>
      <c r="E3312" s="13"/>
      <c r="F3312" s="14"/>
      <c r="G3312" s="8" t="str">
        <f>IF(OR(B3312="",E3312=""),"",IF(E3312="No","Missed",IF(F3312="","",IF(F3312&lt;=Settings!$B$7,"On time","Late"))))</f>
        <v/>
      </c>
      <c r="H3312" s="15"/>
      <c r="I3312" s="16"/>
      <c r="J3312" s="16"/>
      <c r="K3312" s="17" t="str">
        <f>IF(J3312="","",ROUND(J3312*Settings!$B$8,2))</f>
        <v/>
      </c>
      <c r="L3312" s="16"/>
      <c r="M3312" s="8" t="str">
        <f t="shared" si="51"/>
        <v/>
      </c>
      <c r="N3312" s="9"/>
    </row>
    <row r="3313" spans="1:14" ht="15.75">
      <c r="A3313" s="11"/>
      <c r="B3313" s="9"/>
      <c r="C3313" s="12" t="str">
        <f>IF(B3313="","",IFERROR(INDEX('Cashier Roster'!$C$5:$C$64,MATCH(B3313,'Cashier Roster'!$B$5:$B$64,0)),"Not on roster"))</f>
        <v/>
      </c>
      <c r="D3313" s="12" t="str">
        <f>IF(B3313="","",IFERROR(INDEX('Cashier Roster'!$D$5:$D$64,MATCH(B3313,'Cashier Roster'!$B$5:$B$64,0)),""))</f>
        <v/>
      </c>
      <c r="E3313" s="13"/>
      <c r="F3313" s="14"/>
      <c r="G3313" s="8" t="str">
        <f>IF(OR(B3313="",E3313=""),"",IF(E3313="No","Missed",IF(F3313="","",IF(F3313&lt;=Settings!$B$7,"On time","Late"))))</f>
        <v/>
      </c>
      <c r="H3313" s="15"/>
      <c r="I3313" s="16"/>
      <c r="J3313" s="16"/>
      <c r="K3313" s="17" t="str">
        <f>IF(J3313="","",ROUND(J3313*Settings!$B$8,2))</f>
        <v/>
      </c>
      <c r="L3313" s="16"/>
      <c r="M3313" s="8" t="str">
        <f t="shared" si="51"/>
        <v/>
      </c>
      <c r="N3313" s="9"/>
    </row>
    <row r="3314" spans="1:14" ht="15.75">
      <c r="A3314" s="11"/>
      <c r="B3314" s="9"/>
      <c r="C3314" s="12" t="str">
        <f>IF(B3314="","",IFERROR(INDEX('Cashier Roster'!$C$5:$C$64,MATCH(B3314,'Cashier Roster'!$B$5:$B$64,0)),"Not on roster"))</f>
        <v/>
      </c>
      <c r="D3314" s="12" t="str">
        <f>IF(B3314="","",IFERROR(INDEX('Cashier Roster'!$D$5:$D$64,MATCH(B3314,'Cashier Roster'!$B$5:$B$64,0)),""))</f>
        <v/>
      </c>
      <c r="E3314" s="13"/>
      <c r="F3314" s="14"/>
      <c r="G3314" s="8" t="str">
        <f>IF(OR(B3314="",E3314=""),"",IF(E3314="No","Missed",IF(F3314="","",IF(F3314&lt;=Settings!$B$7,"On time","Late"))))</f>
        <v/>
      </c>
      <c r="H3314" s="15"/>
      <c r="I3314" s="16"/>
      <c r="J3314" s="16"/>
      <c r="K3314" s="17" t="str">
        <f>IF(J3314="","",ROUND(J3314*Settings!$B$8,2))</f>
        <v/>
      </c>
      <c r="L3314" s="16"/>
      <c r="M3314" s="8" t="str">
        <f t="shared" si="51"/>
        <v/>
      </c>
      <c r="N3314" s="9"/>
    </row>
    <row r="3315" spans="1:14" ht="15.75">
      <c r="A3315" s="11"/>
      <c r="B3315" s="9"/>
      <c r="C3315" s="12" t="str">
        <f>IF(B3315="","",IFERROR(INDEX('Cashier Roster'!$C$5:$C$64,MATCH(B3315,'Cashier Roster'!$B$5:$B$64,0)),"Not on roster"))</f>
        <v/>
      </c>
      <c r="D3315" s="12" t="str">
        <f>IF(B3315="","",IFERROR(INDEX('Cashier Roster'!$D$5:$D$64,MATCH(B3315,'Cashier Roster'!$B$5:$B$64,0)),""))</f>
        <v/>
      </c>
      <c r="E3315" s="13"/>
      <c r="F3315" s="14"/>
      <c r="G3315" s="8" t="str">
        <f>IF(OR(B3315="",E3315=""),"",IF(E3315="No","Missed",IF(F3315="","",IF(F3315&lt;=Settings!$B$7,"On time","Late"))))</f>
        <v/>
      </c>
      <c r="H3315" s="15"/>
      <c r="I3315" s="16"/>
      <c r="J3315" s="16"/>
      <c r="K3315" s="17" t="str">
        <f>IF(J3315="","",ROUND(J3315*Settings!$B$8,2))</f>
        <v/>
      </c>
      <c r="L3315" s="16"/>
      <c r="M3315" s="8" t="str">
        <f t="shared" si="51"/>
        <v/>
      </c>
      <c r="N3315" s="9"/>
    </row>
    <row r="3316" spans="1:14" ht="15.75">
      <c r="A3316" s="11"/>
      <c r="B3316" s="9"/>
      <c r="C3316" s="12" t="str">
        <f>IF(B3316="","",IFERROR(INDEX('Cashier Roster'!$C$5:$C$64,MATCH(B3316,'Cashier Roster'!$B$5:$B$64,0)),"Not on roster"))</f>
        <v/>
      </c>
      <c r="D3316" s="12" t="str">
        <f>IF(B3316="","",IFERROR(INDEX('Cashier Roster'!$D$5:$D$64,MATCH(B3316,'Cashier Roster'!$B$5:$B$64,0)),""))</f>
        <v/>
      </c>
      <c r="E3316" s="13"/>
      <c r="F3316" s="14"/>
      <c r="G3316" s="8" t="str">
        <f>IF(OR(B3316="",E3316=""),"",IF(E3316="No","Missed",IF(F3316="","",IF(F3316&lt;=Settings!$B$7,"On time","Late"))))</f>
        <v/>
      </c>
      <c r="H3316" s="15"/>
      <c r="I3316" s="16"/>
      <c r="J3316" s="16"/>
      <c r="K3316" s="17" t="str">
        <f>IF(J3316="","",ROUND(J3316*Settings!$B$8,2))</f>
        <v/>
      </c>
      <c r="L3316" s="16"/>
      <c r="M3316" s="8" t="str">
        <f t="shared" si="51"/>
        <v/>
      </c>
      <c r="N3316" s="9"/>
    </row>
    <row r="3317" spans="1:14" ht="15.75">
      <c r="A3317" s="11"/>
      <c r="B3317" s="9"/>
      <c r="C3317" s="12" t="str">
        <f>IF(B3317="","",IFERROR(INDEX('Cashier Roster'!$C$5:$C$64,MATCH(B3317,'Cashier Roster'!$B$5:$B$64,0)),"Not on roster"))</f>
        <v/>
      </c>
      <c r="D3317" s="12" t="str">
        <f>IF(B3317="","",IFERROR(INDEX('Cashier Roster'!$D$5:$D$64,MATCH(B3317,'Cashier Roster'!$B$5:$B$64,0)),""))</f>
        <v/>
      </c>
      <c r="E3317" s="13"/>
      <c r="F3317" s="14"/>
      <c r="G3317" s="8" t="str">
        <f>IF(OR(B3317="",E3317=""),"",IF(E3317="No","Missed",IF(F3317="","",IF(F3317&lt;=Settings!$B$7,"On time","Late"))))</f>
        <v/>
      </c>
      <c r="H3317" s="15"/>
      <c r="I3317" s="16"/>
      <c r="J3317" s="16"/>
      <c r="K3317" s="17" t="str">
        <f>IF(J3317="","",ROUND(J3317*Settings!$B$8,2))</f>
        <v/>
      </c>
      <c r="L3317" s="16"/>
      <c r="M3317" s="8" t="str">
        <f t="shared" si="51"/>
        <v/>
      </c>
      <c r="N3317" s="9"/>
    </row>
    <row r="3318" spans="1:14" ht="15.75">
      <c r="A3318" s="11"/>
      <c r="B3318" s="9"/>
      <c r="C3318" s="12" t="str">
        <f>IF(B3318="","",IFERROR(INDEX('Cashier Roster'!$C$5:$C$64,MATCH(B3318,'Cashier Roster'!$B$5:$B$64,0)),"Not on roster"))</f>
        <v/>
      </c>
      <c r="D3318" s="12" t="str">
        <f>IF(B3318="","",IFERROR(INDEX('Cashier Roster'!$D$5:$D$64,MATCH(B3318,'Cashier Roster'!$B$5:$B$64,0)),""))</f>
        <v/>
      </c>
      <c r="E3318" s="13"/>
      <c r="F3318" s="14"/>
      <c r="G3318" s="8" t="str">
        <f>IF(OR(B3318="",E3318=""),"",IF(E3318="No","Missed",IF(F3318="","",IF(F3318&lt;=Settings!$B$7,"On time","Late"))))</f>
        <v/>
      </c>
      <c r="H3318" s="15"/>
      <c r="I3318" s="16"/>
      <c r="J3318" s="16"/>
      <c r="K3318" s="17" t="str">
        <f>IF(J3318="","",ROUND(J3318*Settings!$B$8,2))</f>
        <v/>
      </c>
      <c r="L3318" s="16"/>
      <c r="M3318" s="8" t="str">
        <f t="shared" si="51"/>
        <v/>
      </c>
      <c r="N3318" s="9"/>
    </row>
    <row r="3319" spans="1:14" ht="15.75">
      <c r="A3319" s="11"/>
      <c r="B3319" s="9"/>
      <c r="C3319" s="12" t="str">
        <f>IF(B3319="","",IFERROR(INDEX('Cashier Roster'!$C$5:$C$64,MATCH(B3319,'Cashier Roster'!$B$5:$B$64,0)),"Not on roster"))</f>
        <v/>
      </c>
      <c r="D3319" s="12" t="str">
        <f>IF(B3319="","",IFERROR(INDEX('Cashier Roster'!$D$5:$D$64,MATCH(B3319,'Cashier Roster'!$B$5:$B$64,0)),""))</f>
        <v/>
      </c>
      <c r="E3319" s="13"/>
      <c r="F3319" s="14"/>
      <c r="G3319" s="8" t="str">
        <f>IF(OR(B3319="",E3319=""),"",IF(E3319="No","Missed",IF(F3319="","",IF(F3319&lt;=Settings!$B$7,"On time","Late"))))</f>
        <v/>
      </c>
      <c r="H3319" s="15"/>
      <c r="I3319" s="16"/>
      <c r="J3319" s="16"/>
      <c r="K3319" s="17" t="str">
        <f>IF(J3319="","",ROUND(J3319*Settings!$B$8,2))</f>
        <v/>
      </c>
      <c r="L3319" s="16"/>
      <c r="M3319" s="8" t="str">
        <f t="shared" si="51"/>
        <v/>
      </c>
      <c r="N3319" s="9"/>
    </row>
    <row r="3320" spans="1:14" ht="15.75">
      <c r="A3320" s="11"/>
      <c r="B3320" s="9"/>
      <c r="C3320" s="12" t="str">
        <f>IF(B3320="","",IFERROR(INDEX('Cashier Roster'!$C$5:$C$64,MATCH(B3320,'Cashier Roster'!$B$5:$B$64,0)),"Not on roster"))</f>
        <v/>
      </c>
      <c r="D3320" s="12" t="str">
        <f>IF(B3320="","",IFERROR(INDEX('Cashier Roster'!$D$5:$D$64,MATCH(B3320,'Cashier Roster'!$B$5:$B$64,0)),""))</f>
        <v/>
      </c>
      <c r="E3320" s="13"/>
      <c r="F3320" s="14"/>
      <c r="G3320" s="8" t="str">
        <f>IF(OR(B3320="",E3320=""),"",IF(E3320="No","Missed",IF(F3320="","",IF(F3320&lt;=Settings!$B$7,"On time","Late"))))</f>
        <v/>
      </c>
      <c r="H3320" s="15"/>
      <c r="I3320" s="16"/>
      <c r="J3320" s="16"/>
      <c r="K3320" s="17" t="str">
        <f>IF(J3320="","",ROUND(J3320*Settings!$B$8,2))</f>
        <v/>
      </c>
      <c r="L3320" s="16"/>
      <c r="M3320" s="8" t="str">
        <f t="shared" si="51"/>
        <v/>
      </c>
      <c r="N3320" s="9"/>
    </row>
    <row r="3321" spans="1:14" ht="15.75">
      <c r="A3321" s="11"/>
      <c r="B3321" s="9"/>
      <c r="C3321" s="12" t="str">
        <f>IF(B3321="","",IFERROR(INDEX('Cashier Roster'!$C$5:$C$64,MATCH(B3321,'Cashier Roster'!$B$5:$B$64,0)),"Not on roster"))</f>
        <v/>
      </c>
      <c r="D3321" s="12" t="str">
        <f>IF(B3321="","",IFERROR(INDEX('Cashier Roster'!$D$5:$D$64,MATCH(B3321,'Cashier Roster'!$B$5:$B$64,0)),""))</f>
        <v/>
      </c>
      <c r="E3321" s="13"/>
      <c r="F3321" s="14"/>
      <c r="G3321" s="8" t="str">
        <f>IF(OR(B3321="",E3321=""),"",IF(E3321="No","Missed",IF(F3321="","",IF(F3321&lt;=Settings!$B$7,"On time","Late"))))</f>
        <v/>
      </c>
      <c r="H3321" s="15"/>
      <c r="I3321" s="16"/>
      <c r="J3321" s="16"/>
      <c r="K3321" s="17" t="str">
        <f>IF(J3321="","",ROUND(J3321*Settings!$B$8,2))</f>
        <v/>
      </c>
      <c r="L3321" s="16"/>
      <c r="M3321" s="8" t="str">
        <f t="shared" si="51"/>
        <v/>
      </c>
      <c r="N3321" s="9"/>
    </row>
    <row r="3322" spans="1:14" ht="15.75">
      <c r="A3322" s="11"/>
      <c r="B3322" s="9"/>
      <c r="C3322" s="12" t="str">
        <f>IF(B3322="","",IFERROR(INDEX('Cashier Roster'!$C$5:$C$64,MATCH(B3322,'Cashier Roster'!$B$5:$B$64,0)),"Not on roster"))</f>
        <v/>
      </c>
      <c r="D3322" s="12" t="str">
        <f>IF(B3322="","",IFERROR(INDEX('Cashier Roster'!$D$5:$D$64,MATCH(B3322,'Cashier Roster'!$B$5:$B$64,0)),""))</f>
        <v/>
      </c>
      <c r="E3322" s="13"/>
      <c r="F3322" s="14"/>
      <c r="G3322" s="8" t="str">
        <f>IF(OR(B3322="",E3322=""),"",IF(E3322="No","Missed",IF(F3322="","",IF(F3322&lt;=Settings!$B$7,"On time","Late"))))</f>
        <v/>
      </c>
      <c r="H3322" s="15"/>
      <c r="I3322" s="16"/>
      <c r="J3322" s="16"/>
      <c r="K3322" s="17" t="str">
        <f>IF(J3322="","",ROUND(J3322*Settings!$B$8,2))</f>
        <v/>
      </c>
      <c r="L3322" s="16"/>
      <c r="M3322" s="8" t="str">
        <f t="shared" si="51"/>
        <v/>
      </c>
      <c r="N3322" s="9"/>
    </row>
    <row r="3323" spans="1:14" ht="15.75">
      <c r="A3323" s="11"/>
      <c r="B3323" s="9"/>
      <c r="C3323" s="12" t="str">
        <f>IF(B3323="","",IFERROR(INDEX('Cashier Roster'!$C$5:$C$64,MATCH(B3323,'Cashier Roster'!$B$5:$B$64,0)),"Not on roster"))</f>
        <v/>
      </c>
      <c r="D3323" s="12" t="str">
        <f>IF(B3323="","",IFERROR(INDEX('Cashier Roster'!$D$5:$D$64,MATCH(B3323,'Cashier Roster'!$B$5:$B$64,0)),""))</f>
        <v/>
      </c>
      <c r="E3323" s="13"/>
      <c r="F3323" s="14"/>
      <c r="G3323" s="8" t="str">
        <f>IF(OR(B3323="",E3323=""),"",IF(E3323="No","Missed",IF(F3323="","",IF(F3323&lt;=Settings!$B$7,"On time","Late"))))</f>
        <v/>
      </c>
      <c r="H3323" s="15"/>
      <c r="I3323" s="16"/>
      <c r="J3323" s="16"/>
      <c r="K3323" s="17" t="str">
        <f>IF(J3323="","",ROUND(J3323*Settings!$B$8,2))</f>
        <v/>
      </c>
      <c r="L3323" s="16"/>
      <c r="M3323" s="8" t="str">
        <f t="shared" si="51"/>
        <v/>
      </c>
      <c r="N3323" s="9"/>
    </row>
    <row r="3324" spans="1:14" ht="15.75">
      <c r="A3324" s="11"/>
      <c r="B3324" s="9"/>
      <c r="C3324" s="12" t="str">
        <f>IF(B3324="","",IFERROR(INDEX('Cashier Roster'!$C$5:$C$64,MATCH(B3324,'Cashier Roster'!$B$5:$B$64,0)),"Not on roster"))</f>
        <v/>
      </c>
      <c r="D3324" s="12" t="str">
        <f>IF(B3324="","",IFERROR(INDEX('Cashier Roster'!$D$5:$D$64,MATCH(B3324,'Cashier Roster'!$B$5:$B$64,0)),""))</f>
        <v/>
      </c>
      <c r="E3324" s="13"/>
      <c r="F3324" s="14"/>
      <c r="G3324" s="8" t="str">
        <f>IF(OR(B3324="",E3324=""),"",IF(E3324="No","Missed",IF(F3324="","",IF(F3324&lt;=Settings!$B$7,"On time","Late"))))</f>
        <v/>
      </c>
      <c r="H3324" s="15"/>
      <c r="I3324" s="16"/>
      <c r="J3324" s="16"/>
      <c r="K3324" s="17" t="str">
        <f>IF(J3324="","",ROUND(J3324*Settings!$B$8,2))</f>
        <v/>
      </c>
      <c r="L3324" s="16"/>
      <c r="M3324" s="8" t="str">
        <f t="shared" si="51"/>
        <v/>
      </c>
      <c r="N3324" s="9"/>
    </row>
    <row r="3325" spans="1:14" ht="15.75">
      <c r="A3325" s="11"/>
      <c r="B3325" s="9"/>
      <c r="C3325" s="12" t="str">
        <f>IF(B3325="","",IFERROR(INDEX('Cashier Roster'!$C$5:$C$64,MATCH(B3325,'Cashier Roster'!$B$5:$B$64,0)),"Not on roster"))</f>
        <v/>
      </c>
      <c r="D3325" s="12" t="str">
        <f>IF(B3325="","",IFERROR(INDEX('Cashier Roster'!$D$5:$D$64,MATCH(B3325,'Cashier Roster'!$B$5:$B$64,0)),""))</f>
        <v/>
      </c>
      <c r="E3325" s="13"/>
      <c r="F3325" s="14"/>
      <c r="G3325" s="8" t="str">
        <f>IF(OR(B3325="",E3325=""),"",IF(E3325="No","Missed",IF(F3325="","",IF(F3325&lt;=Settings!$B$7,"On time","Late"))))</f>
        <v/>
      </c>
      <c r="H3325" s="15"/>
      <c r="I3325" s="16"/>
      <c r="J3325" s="16"/>
      <c r="K3325" s="17" t="str">
        <f>IF(J3325="","",ROUND(J3325*Settings!$B$8,2))</f>
        <v/>
      </c>
      <c r="L3325" s="16"/>
      <c r="M3325" s="8" t="str">
        <f t="shared" si="51"/>
        <v/>
      </c>
      <c r="N3325" s="9"/>
    </row>
    <row r="3326" spans="1:14" ht="15.75">
      <c r="A3326" s="11"/>
      <c r="B3326" s="9"/>
      <c r="C3326" s="12" t="str">
        <f>IF(B3326="","",IFERROR(INDEX('Cashier Roster'!$C$5:$C$64,MATCH(B3326,'Cashier Roster'!$B$5:$B$64,0)),"Not on roster"))</f>
        <v/>
      </c>
      <c r="D3326" s="12" t="str">
        <f>IF(B3326="","",IFERROR(INDEX('Cashier Roster'!$D$5:$D$64,MATCH(B3326,'Cashier Roster'!$B$5:$B$64,0)),""))</f>
        <v/>
      </c>
      <c r="E3326" s="13"/>
      <c r="F3326" s="14"/>
      <c r="G3326" s="8" t="str">
        <f>IF(OR(B3326="",E3326=""),"",IF(E3326="No","Missed",IF(F3326="","",IF(F3326&lt;=Settings!$B$7,"On time","Late"))))</f>
        <v/>
      </c>
      <c r="H3326" s="15"/>
      <c r="I3326" s="16"/>
      <c r="J3326" s="16"/>
      <c r="K3326" s="17" t="str">
        <f>IF(J3326="","",ROUND(J3326*Settings!$B$8,2))</f>
        <v/>
      </c>
      <c r="L3326" s="16"/>
      <c r="M3326" s="8" t="str">
        <f t="shared" si="51"/>
        <v/>
      </c>
      <c r="N3326" s="9"/>
    </row>
    <row r="3327" spans="1:14" ht="15.75">
      <c r="A3327" s="11"/>
      <c r="B3327" s="9"/>
      <c r="C3327" s="12" t="str">
        <f>IF(B3327="","",IFERROR(INDEX('Cashier Roster'!$C$5:$C$64,MATCH(B3327,'Cashier Roster'!$B$5:$B$64,0)),"Not on roster"))</f>
        <v/>
      </c>
      <c r="D3327" s="12" t="str">
        <f>IF(B3327="","",IFERROR(INDEX('Cashier Roster'!$D$5:$D$64,MATCH(B3327,'Cashier Roster'!$B$5:$B$64,0)),""))</f>
        <v/>
      </c>
      <c r="E3327" s="13"/>
      <c r="F3327" s="14"/>
      <c r="G3327" s="8" t="str">
        <f>IF(OR(B3327="",E3327=""),"",IF(E3327="No","Missed",IF(F3327="","",IF(F3327&lt;=Settings!$B$7,"On time","Late"))))</f>
        <v/>
      </c>
      <c r="H3327" s="15"/>
      <c r="I3327" s="16"/>
      <c r="J3327" s="16"/>
      <c r="K3327" s="17" t="str">
        <f>IF(J3327="","",ROUND(J3327*Settings!$B$8,2))</f>
        <v/>
      </c>
      <c r="L3327" s="16"/>
      <c r="M3327" s="8" t="str">
        <f t="shared" si="51"/>
        <v/>
      </c>
      <c r="N3327" s="9"/>
    </row>
    <row r="3328" spans="1:14" ht="15.75">
      <c r="A3328" s="11"/>
      <c r="B3328" s="9"/>
      <c r="C3328" s="12" t="str">
        <f>IF(B3328="","",IFERROR(INDEX('Cashier Roster'!$C$5:$C$64,MATCH(B3328,'Cashier Roster'!$B$5:$B$64,0)),"Not on roster"))</f>
        <v/>
      </c>
      <c r="D3328" s="12" t="str">
        <f>IF(B3328="","",IFERROR(INDEX('Cashier Roster'!$D$5:$D$64,MATCH(B3328,'Cashier Roster'!$B$5:$B$64,0)),""))</f>
        <v/>
      </c>
      <c r="E3328" s="13"/>
      <c r="F3328" s="14"/>
      <c r="G3328" s="8" t="str">
        <f>IF(OR(B3328="",E3328=""),"",IF(E3328="No","Missed",IF(F3328="","",IF(F3328&lt;=Settings!$B$7,"On time","Late"))))</f>
        <v/>
      </c>
      <c r="H3328" s="15"/>
      <c r="I3328" s="16"/>
      <c r="J3328" s="16"/>
      <c r="K3328" s="17" t="str">
        <f>IF(J3328="","",ROUND(J3328*Settings!$B$8,2))</f>
        <v/>
      </c>
      <c r="L3328" s="16"/>
      <c r="M3328" s="8" t="str">
        <f t="shared" si="51"/>
        <v/>
      </c>
      <c r="N3328" s="9"/>
    </row>
    <row r="3329" spans="1:14" ht="15.75">
      <c r="A3329" s="11"/>
      <c r="B3329" s="9"/>
      <c r="C3329" s="12" t="str">
        <f>IF(B3329="","",IFERROR(INDEX('Cashier Roster'!$C$5:$C$64,MATCH(B3329,'Cashier Roster'!$B$5:$B$64,0)),"Not on roster"))</f>
        <v/>
      </c>
      <c r="D3329" s="12" t="str">
        <f>IF(B3329="","",IFERROR(INDEX('Cashier Roster'!$D$5:$D$64,MATCH(B3329,'Cashier Roster'!$B$5:$B$64,0)),""))</f>
        <v/>
      </c>
      <c r="E3329" s="13"/>
      <c r="F3329" s="14"/>
      <c r="G3329" s="8" t="str">
        <f>IF(OR(B3329="",E3329=""),"",IF(E3329="No","Missed",IF(F3329="","",IF(F3329&lt;=Settings!$B$7,"On time","Late"))))</f>
        <v/>
      </c>
      <c r="H3329" s="15"/>
      <c r="I3329" s="16"/>
      <c r="J3329" s="16"/>
      <c r="K3329" s="17" t="str">
        <f>IF(J3329="","",ROUND(J3329*Settings!$B$8,2))</f>
        <v/>
      </c>
      <c r="L3329" s="16"/>
      <c r="M3329" s="8" t="str">
        <f t="shared" si="51"/>
        <v/>
      </c>
      <c r="N3329" s="9"/>
    </row>
    <row r="3330" spans="1:14" ht="15.75">
      <c r="A3330" s="11"/>
      <c r="B3330" s="9"/>
      <c r="C3330" s="12" t="str">
        <f>IF(B3330="","",IFERROR(INDEX('Cashier Roster'!$C$5:$C$64,MATCH(B3330,'Cashier Roster'!$B$5:$B$64,0)),"Not on roster"))</f>
        <v/>
      </c>
      <c r="D3330" s="12" t="str">
        <f>IF(B3330="","",IFERROR(INDEX('Cashier Roster'!$D$5:$D$64,MATCH(B3330,'Cashier Roster'!$B$5:$B$64,0)),""))</f>
        <v/>
      </c>
      <c r="E3330" s="13"/>
      <c r="F3330" s="14"/>
      <c r="G3330" s="8" t="str">
        <f>IF(OR(B3330="",E3330=""),"",IF(E3330="No","Missed",IF(F3330="","",IF(F3330&lt;=Settings!$B$7,"On time","Late"))))</f>
        <v/>
      </c>
      <c r="H3330" s="15"/>
      <c r="I3330" s="16"/>
      <c r="J3330" s="16"/>
      <c r="K3330" s="17" t="str">
        <f>IF(J3330="","",ROUND(J3330*Settings!$B$8,2))</f>
        <v/>
      </c>
      <c r="L3330" s="16"/>
      <c r="M3330" s="8" t="str">
        <f t="shared" si="51"/>
        <v/>
      </c>
      <c r="N3330" s="9"/>
    </row>
    <row r="3331" spans="1:14" ht="15.75">
      <c r="A3331" s="11"/>
      <c r="B3331" s="9"/>
      <c r="C3331" s="12" t="str">
        <f>IF(B3331="","",IFERROR(INDEX('Cashier Roster'!$C$5:$C$64,MATCH(B3331,'Cashier Roster'!$B$5:$B$64,0)),"Not on roster"))</f>
        <v/>
      </c>
      <c r="D3331" s="12" t="str">
        <f>IF(B3331="","",IFERROR(INDEX('Cashier Roster'!$D$5:$D$64,MATCH(B3331,'Cashier Roster'!$B$5:$B$64,0)),""))</f>
        <v/>
      </c>
      <c r="E3331" s="13"/>
      <c r="F3331" s="14"/>
      <c r="G3331" s="8" t="str">
        <f>IF(OR(B3331="",E3331=""),"",IF(E3331="No","Missed",IF(F3331="","",IF(F3331&lt;=Settings!$B$7,"On time","Late"))))</f>
        <v/>
      </c>
      <c r="H3331" s="15"/>
      <c r="I3331" s="16"/>
      <c r="J3331" s="16"/>
      <c r="K3331" s="17" t="str">
        <f>IF(J3331="","",ROUND(J3331*Settings!$B$8,2))</f>
        <v/>
      </c>
      <c r="L3331" s="16"/>
      <c r="M3331" s="8" t="str">
        <f t="shared" si="51"/>
        <v/>
      </c>
      <c r="N3331" s="9"/>
    </row>
    <row r="3332" spans="1:14" ht="15.75">
      <c r="A3332" s="11"/>
      <c r="B3332" s="9"/>
      <c r="C3332" s="12" t="str">
        <f>IF(B3332="","",IFERROR(INDEX('Cashier Roster'!$C$5:$C$64,MATCH(B3332,'Cashier Roster'!$B$5:$B$64,0)),"Not on roster"))</f>
        <v/>
      </c>
      <c r="D3332" s="12" t="str">
        <f>IF(B3332="","",IFERROR(INDEX('Cashier Roster'!$D$5:$D$64,MATCH(B3332,'Cashier Roster'!$B$5:$B$64,0)),""))</f>
        <v/>
      </c>
      <c r="E3332" s="13"/>
      <c r="F3332" s="14"/>
      <c r="G3332" s="8" t="str">
        <f>IF(OR(B3332="",E3332=""),"",IF(E3332="No","Missed",IF(F3332="","",IF(F3332&lt;=Settings!$B$7,"On time","Late"))))</f>
        <v/>
      </c>
      <c r="H3332" s="15"/>
      <c r="I3332" s="16"/>
      <c r="J3332" s="16"/>
      <c r="K3332" s="17" t="str">
        <f>IF(J3332="","",ROUND(J3332*Settings!$B$8,2))</f>
        <v/>
      </c>
      <c r="L3332" s="16"/>
      <c r="M3332" s="8" t="str">
        <f t="shared" si="51"/>
        <v/>
      </c>
      <c r="N3332" s="9"/>
    </row>
    <row r="3333" spans="1:14" ht="15.75">
      <c r="A3333" s="11"/>
      <c r="B3333" s="9"/>
      <c r="C3333" s="12" t="str">
        <f>IF(B3333="","",IFERROR(INDEX('Cashier Roster'!$C$5:$C$64,MATCH(B3333,'Cashier Roster'!$B$5:$B$64,0)),"Not on roster"))</f>
        <v/>
      </c>
      <c r="D3333" s="12" t="str">
        <f>IF(B3333="","",IFERROR(INDEX('Cashier Roster'!$D$5:$D$64,MATCH(B3333,'Cashier Roster'!$B$5:$B$64,0)),""))</f>
        <v/>
      </c>
      <c r="E3333" s="13"/>
      <c r="F3333" s="14"/>
      <c r="G3333" s="8" t="str">
        <f>IF(OR(B3333="",E3333=""),"",IF(E3333="No","Missed",IF(F3333="","",IF(F3333&lt;=Settings!$B$7,"On time","Late"))))</f>
        <v/>
      </c>
      <c r="H3333" s="15"/>
      <c r="I3333" s="16"/>
      <c r="J3333" s="16"/>
      <c r="K3333" s="17" t="str">
        <f>IF(J3333="","",ROUND(J3333*Settings!$B$8,2))</f>
        <v/>
      </c>
      <c r="L3333" s="16"/>
      <c r="M3333" s="8" t="str">
        <f t="shared" ref="M3333:M3396" si="52">IF(L3333="","",IF(L3333&lt;=0,"Yes","No"))</f>
        <v/>
      </c>
      <c r="N3333" s="9"/>
    </row>
    <row r="3334" spans="1:14" ht="15.75">
      <c r="A3334" s="11"/>
      <c r="B3334" s="9"/>
      <c r="C3334" s="12" t="str">
        <f>IF(B3334="","",IFERROR(INDEX('Cashier Roster'!$C$5:$C$64,MATCH(B3334,'Cashier Roster'!$B$5:$B$64,0)),"Not on roster"))</f>
        <v/>
      </c>
      <c r="D3334" s="12" t="str">
        <f>IF(B3334="","",IFERROR(INDEX('Cashier Roster'!$D$5:$D$64,MATCH(B3334,'Cashier Roster'!$B$5:$B$64,0)),""))</f>
        <v/>
      </c>
      <c r="E3334" s="13"/>
      <c r="F3334" s="14"/>
      <c r="G3334" s="8" t="str">
        <f>IF(OR(B3334="",E3334=""),"",IF(E3334="No","Missed",IF(F3334="","",IF(F3334&lt;=Settings!$B$7,"On time","Late"))))</f>
        <v/>
      </c>
      <c r="H3334" s="15"/>
      <c r="I3334" s="16"/>
      <c r="J3334" s="16"/>
      <c r="K3334" s="17" t="str">
        <f>IF(J3334="","",ROUND(J3334*Settings!$B$8,2))</f>
        <v/>
      </c>
      <c r="L3334" s="16"/>
      <c r="M3334" s="8" t="str">
        <f t="shared" si="52"/>
        <v/>
      </c>
      <c r="N3334" s="9"/>
    </row>
    <row r="3335" spans="1:14" ht="15.75">
      <c r="A3335" s="11"/>
      <c r="B3335" s="9"/>
      <c r="C3335" s="12" t="str">
        <f>IF(B3335="","",IFERROR(INDEX('Cashier Roster'!$C$5:$C$64,MATCH(B3335,'Cashier Roster'!$B$5:$B$64,0)),"Not on roster"))</f>
        <v/>
      </c>
      <c r="D3335" s="12" t="str">
        <f>IF(B3335="","",IFERROR(INDEX('Cashier Roster'!$D$5:$D$64,MATCH(B3335,'Cashier Roster'!$B$5:$B$64,0)),""))</f>
        <v/>
      </c>
      <c r="E3335" s="13"/>
      <c r="F3335" s="14"/>
      <c r="G3335" s="8" t="str">
        <f>IF(OR(B3335="",E3335=""),"",IF(E3335="No","Missed",IF(F3335="","",IF(F3335&lt;=Settings!$B$7,"On time","Late"))))</f>
        <v/>
      </c>
      <c r="H3335" s="15"/>
      <c r="I3335" s="16"/>
      <c r="J3335" s="16"/>
      <c r="K3335" s="17" t="str">
        <f>IF(J3335="","",ROUND(J3335*Settings!$B$8,2))</f>
        <v/>
      </c>
      <c r="L3335" s="16"/>
      <c r="M3335" s="8" t="str">
        <f t="shared" si="52"/>
        <v/>
      </c>
      <c r="N3335" s="9"/>
    </row>
    <row r="3336" spans="1:14" ht="15.75">
      <c r="A3336" s="11"/>
      <c r="B3336" s="9"/>
      <c r="C3336" s="12" t="str">
        <f>IF(B3336="","",IFERROR(INDEX('Cashier Roster'!$C$5:$C$64,MATCH(B3336,'Cashier Roster'!$B$5:$B$64,0)),"Not on roster"))</f>
        <v/>
      </c>
      <c r="D3336" s="12" t="str">
        <f>IF(B3336="","",IFERROR(INDEX('Cashier Roster'!$D$5:$D$64,MATCH(B3336,'Cashier Roster'!$B$5:$B$64,0)),""))</f>
        <v/>
      </c>
      <c r="E3336" s="13"/>
      <c r="F3336" s="14"/>
      <c r="G3336" s="8" t="str">
        <f>IF(OR(B3336="",E3336=""),"",IF(E3336="No","Missed",IF(F3336="","",IF(F3336&lt;=Settings!$B$7,"On time","Late"))))</f>
        <v/>
      </c>
      <c r="H3336" s="15"/>
      <c r="I3336" s="16"/>
      <c r="J3336" s="16"/>
      <c r="K3336" s="17" t="str">
        <f>IF(J3336="","",ROUND(J3336*Settings!$B$8,2))</f>
        <v/>
      </c>
      <c r="L3336" s="16"/>
      <c r="M3336" s="8" t="str">
        <f t="shared" si="52"/>
        <v/>
      </c>
      <c r="N3336" s="9"/>
    </row>
    <row r="3337" spans="1:14" ht="15.75">
      <c r="A3337" s="11"/>
      <c r="B3337" s="9"/>
      <c r="C3337" s="12" t="str">
        <f>IF(B3337="","",IFERROR(INDEX('Cashier Roster'!$C$5:$C$64,MATCH(B3337,'Cashier Roster'!$B$5:$B$64,0)),"Not on roster"))</f>
        <v/>
      </c>
      <c r="D3337" s="12" t="str">
        <f>IF(B3337="","",IFERROR(INDEX('Cashier Roster'!$D$5:$D$64,MATCH(B3337,'Cashier Roster'!$B$5:$B$64,0)),""))</f>
        <v/>
      </c>
      <c r="E3337" s="13"/>
      <c r="F3337" s="14"/>
      <c r="G3337" s="8" t="str">
        <f>IF(OR(B3337="",E3337=""),"",IF(E3337="No","Missed",IF(F3337="","",IF(F3337&lt;=Settings!$B$7,"On time","Late"))))</f>
        <v/>
      </c>
      <c r="H3337" s="15"/>
      <c r="I3337" s="16"/>
      <c r="J3337" s="16"/>
      <c r="K3337" s="17" t="str">
        <f>IF(J3337="","",ROUND(J3337*Settings!$B$8,2))</f>
        <v/>
      </c>
      <c r="L3337" s="16"/>
      <c r="M3337" s="8" t="str">
        <f t="shared" si="52"/>
        <v/>
      </c>
      <c r="N3337" s="9"/>
    </row>
    <row r="3338" spans="1:14" ht="15.75">
      <c r="A3338" s="11"/>
      <c r="B3338" s="9"/>
      <c r="C3338" s="12" t="str">
        <f>IF(B3338="","",IFERROR(INDEX('Cashier Roster'!$C$5:$C$64,MATCH(B3338,'Cashier Roster'!$B$5:$B$64,0)),"Not on roster"))</f>
        <v/>
      </c>
      <c r="D3338" s="12" t="str">
        <f>IF(B3338="","",IFERROR(INDEX('Cashier Roster'!$D$5:$D$64,MATCH(B3338,'Cashier Roster'!$B$5:$B$64,0)),""))</f>
        <v/>
      </c>
      <c r="E3338" s="13"/>
      <c r="F3338" s="14"/>
      <c r="G3338" s="8" t="str">
        <f>IF(OR(B3338="",E3338=""),"",IF(E3338="No","Missed",IF(F3338="","",IF(F3338&lt;=Settings!$B$7,"On time","Late"))))</f>
        <v/>
      </c>
      <c r="H3338" s="15"/>
      <c r="I3338" s="16"/>
      <c r="J3338" s="16"/>
      <c r="K3338" s="17" t="str">
        <f>IF(J3338="","",ROUND(J3338*Settings!$B$8,2))</f>
        <v/>
      </c>
      <c r="L3338" s="16"/>
      <c r="M3338" s="8" t="str">
        <f t="shared" si="52"/>
        <v/>
      </c>
      <c r="N3338" s="9"/>
    </row>
    <row r="3339" spans="1:14" ht="15.75">
      <c r="A3339" s="11"/>
      <c r="B3339" s="9"/>
      <c r="C3339" s="12" t="str">
        <f>IF(B3339="","",IFERROR(INDEX('Cashier Roster'!$C$5:$C$64,MATCH(B3339,'Cashier Roster'!$B$5:$B$64,0)),"Not on roster"))</f>
        <v/>
      </c>
      <c r="D3339" s="12" t="str">
        <f>IF(B3339="","",IFERROR(INDEX('Cashier Roster'!$D$5:$D$64,MATCH(B3339,'Cashier Roster'!$B$5:$B$64,0)),""))</f>
        <v/>
      </c>
      <c r="E3339" s="13"/>
      <c r="F3339" s="14"/>
      <c r="G3339" s="8" t="str">
        <f>IF(OR(B3339="",E3339=""),"",IF(E3339="No","Missed",IF(F3339="","",IF(F3339&lt;=Settings!$B$7,"On time","Late"))))</f>
        <v/>
      </c>
      <c r="H3339" s="15"/>
      <c r="I3339" s="16"/>
      <c r="J3339" s="16"/>
      <c r="K3339" s="17" t="str">
        <f>IF(J3339="","",ROUND(J3339*Settings!$B$8,2))</f>
        <v/>
      </c>
      <c r="L3339" s="16"/>
      <c r="M3339" s="8" t="str">
        <f t="shared" si="52"/>
        <v/>
      </c>
      <c r="N3339" s="9"/>
    </row>
    <row r="3340" spans="1:14" ht="15.75">
      <c r="A3340" s="11"/>
      <c r="B3340" s="9"/>
      <c r="C3340" s="12" t="str">
        <f>IF(B3340="","",IFERROR(INDEX('Cashier Roster'!$C$5:$C$64,MATCH(B3340,'Cashier Roster'!$B$5:$B$64,0)),"Not on roster"))</f>
        <v/>
      </c>
      <c r="D3340" s="12" t="str">
        <f>IF(B3340="","",IFERROR(INDEX('Cashier Roster'!$D$5:$D$64,MATCH(B3340,'Cashier Roster'!$B$5:$B$64,0)),""))</f>
        <v/>
      </c>
      <c r="E3340" s="13"/>
      <c r="F3340" s="14"/>
      <c r="G3340" s="8" t="str">
        <f>IF(OR(B3340="",E3340=""),"",IF(E3340="No","Missed",IF(F3340="","",IF(F3340&lt;=Settings!$B$7,"On time","Late"))))</f>
        <v/>
      </c>
      <c r="H3340" s="15"/>
      <c r="I3340" s="16"/>
      <c r="J3340" s="16"/>
      <c r="K3340" s="17" t="str">
        <f>IF(J3340="","",ROUND(J3340*Settings!$B$8,2))</f>
        <v/>
      </c>
      <c r="L3340" s="16"/>
      <c r="M3340" s="8" t="str">
        <f t="shared" si="52"/>
        <v/>
      </c>
      <c r="N3340" s="9"/>
    </row>
    <row r="3341" spans="1:14" ht="15.75">
      <c r="A3341" s="11"/>
      <c r="B3341" s="9"/>
      <c r="C3341" s="12" t="str">
        <f>IF(B3341="","",IFERROR(INDEX('Cashier Roster'!$C$5:$C$64,MATCH(B3341,'Cashier Roster'!$B$5:$B$64,0)),"Not on roster"))</f>
        <v/>
      </c>
      <c r="D3341" s="12" t="str">
        <f>IF(B3341="","",IFERROR(INDEX('Cashier Roster'!$D$5:$D$64,MATCH(B3341,'Cashier Roster'!$B$5:$B$64,0)),""))</f>
        <v/>
      </c>
      <c r="E3341" s="13"/>
      <c r="F3341" s="14"/>
      <c r="G3341" s="8" t="str">
        <f>IF(OR(B3341="",E3341=""),"",IF(E3341="No","Missed",IF(F3341="","",IF(F3341&lt;=Settings!$B$7,"On time","Late"))))</f>
        <v/>
      </c>
      <c r="H3341" s="15"/>
      <c r="I3341" s="16"/>
      <c r="J3341" s="16"/>
      <c r="K3341" s="17" t="str">
        <f>IF(J3341="","",ROUND(J3341*Settings!$B$8,2))</f>
        <v/>
      </c>
      <c r="L3341" s="16"/>
      <c r="M3341" s="8" t="str">
        <f t="shared" si="52"/>
        <v/>
      </c>
      <c r="N3341" s="9"/>
    </row>
    <row r="3342" spans="1:14" ht="15.75">
      <c r="A3342" s="11"/>
      <c r="B3342" s="9"/>
      <c r="C3342" s="12" t="str">
        <f>IF(B3342="","",IFERROR(INDEX('Cashier Roster'!$C$5:$C$64,MATCH(B3342,'Cashier Roster'!$B$5:$B$64,0)),"Not on roster"))</f>
        <v/>
      </c>
      <c r="D3342" s="12" t="str">
        <f>IF(B3342="","",IFERROR(INDEX('Cashier Roster'!$D$5:$D$64,MATCH(B3342,'Cashier Roster'!$B$5:$B$64,0)),""))</f>
        <v/>
      </c>
      <c r="E3342" s="13"/>
      <c r="F3342" s="14"/>
      <c r="G3342" s="8" t="str">
        <f>IF(OR(B3342="",E3342=""),"",IF(E3342="No","Missed",IF(F3342="","",IF(F3342&lt;=Settings!$B$7,"On time","Late"))))</f>
        <v/>
      </c>
      <c r="H3342" s="15"/>
      <c r="I3342" s="16"/>
      <c r="J3342" s="16"/>
      <c r="K3342" s="17" t="str">
        <f>IF(J3342="","",ROUND(J3342*Settings!$B$8,2))</f>
        <v/>
      </c>
      <c r="L3342" s="16"/>
      <c r="M3342" s="8" t="str">
        <f t="shared" si="52"/>
        <v/>
      </c>
      <c r="N3342" s="9"/>
    </row>
    <row r="3343" spans="1:14" ht="15.75">
      <c r="A3343" s="11"/>
      <c r="B3343" s="9"/>
      <c r="C3343" s="12" t="str">
        <f>IF(B3343="","",IFERROR(INDEX('Cashier Roster'!$C$5:$C$64,MATCH(B3343,'Cashier Roster'!$B$5:$B$64,0)),"Not on roster"))</f>
        <v/>
      </c>
      <c r="D3343" s="12" t="str">
        <f>IF(B3343="","",IFERROR(INDEX('Cashier Roster'!$D$5:$D$64,MATCH(B3343,'Cashier Roster'!$B$5:$B$64,0)),""))</f>
        <v/>
      </c>
      <c r="E3343" s="13"/>
      <c r="F3343" s="14"/>
      <c r="G3343" s="8" t="str">
        <f>IF(OR(B3343="",E3343=""),"",IF(E3343="No","Missed",IF(F3343="","",IF(F3343&lt;=Settings!$B$7,"On time","Late"))))</f>
        <v/>
      </c>
      <c r="H3343" s="15"/>
      <c r="I3343" s="16"/>
      <c r="J3343" s="16"/>
      <c r="K3343" s="17" t="str">
        <f>IF(J3343="","",ROUND(J3343*Settings!$B$8,2))</f>
        <v/>
      </c>
      <c r="L3343" s="16"/>
      <c r="M3343" s="8" t="str">
        <f t="shared" si="52"/>
        <v/>
      </c>
      <c r="N3343" s="9"/>
    </row>
    <row r="3344" spans="1:14" ht="15.75">
      <c r="A3344" s="11"/>
      <c r="B3344" s="9"/>
      <c r="C3344" s="12" t="str">
        <f>IF(B3344="","",IFERROR(INDEX('Cashier Roster'!$C$5:$C$64,MATCH(B3344,'Cashier Roster'!$B$5:$B$64,0)),"Not on roster"))</f>
        <v/>
      </c>
      <c r="D3344" s="12" t="str">
        <f>IF(B3344="","",IFERROR(INDEX('Cashier Roster'!$D$5:$D$64,MATCH(B3344,'Cashier Roster'!$B$5:$B$64,0)),""))</f>
        <v/>
      </c>
      <c r="E3344" s="13"/>
      <c r="F3344" s="14"/>
      <c r="G3344" s="8" t="str">
        <f>IF(OR(B3344="",E3344=""),"",IF(E3344="No","Missed",IF(F3344="","",IF(F3344&lt;=Settings!$B$7,"On time","Late"))))</f>
        <v/>
      </c>
      <c r="H3344" s="15"/>
      <c r="I3344" s="16"/>
      <c r="J3344" s="16"/>
      <c r="K3344" s="17" t="str">
        <f>IF(J3344="","",ROUND(J3344*Settings!$B$8,2))</f>
        <v/>
      </c>
      <c r="L3344" s="16"/>
      <c r="M3344" s="8" t="str">
        <f t="shared" si="52"/>
        <v/>
      </c>
      <c r="N3344" s="9"/>
    </row>
    <row r="3345" spans="1:14" ht="15.75">
      <c r="A3345" s="11"/>
      <c r="B3345" s="9"/>
      <c r="C3345" s="12" t="str">
        <f>IF(B3345="","",IFERROR(INDEX('Cashier Roster'!$C$5:$C$64,MATCH(B3345,'Cashier Roster'!$B$5:$B$64,0)),"Not on roster"))</f>
        <v/>
      </c>
      <c r="D3345" s="12" t="str">
        <f>IF(B3345="","",IFERROR(INDEX('Cashier Roster'!$D$5:$D$64,MATCH(B3345,'Cashier Roster'!$B$5:$B$64,0)),""))</f>
        <v/>
      </c>
      <c r="E3345" s="13"/>
      <c r="F3345" s="14"/>
      <c r="G3345" s="8" t="str">
        <f>IF(OR(B3345="",E3345=""),"",IF(E3345="No","Missed",IF(F3345="","",IF(F3345&lt;=Settings!$B$7,"On time","Late"))))</f>
        <v/>
      </c>
      <c r="H3345" s="15"/>
      <c r="I3345" s="16"/>
      <c r="J3345" s="16"/>
      <c r="K3345" s="17" t="str">
        <f>IF(J3345="","",ROUND(J3345*Settings!$B$8,2))</f>
        <v/>
      </c>
      <c r="L3345" s="16"/>
      <c r="M3345" s="8" t="str">
        <f t="shared" si="52"/>
        <v/>
      </c>
      <c r="N3345" s="9"/>
    </row>
    <row r="3346" spans="1:14" ht="15.75">
      <c r="A3346" s="11"/>
      <c r="B3346" s="9"/>
      <c r="C3346" s="12" t="str">
        <f>IF(B3346="","",IFERROR(INDEX('Cashier Roster'!$C$5:$C$64,MATCH(B3346,'Cashier Roster'!$B$5:$B$64,0)),"Not on roster"))</f>
        <v/>
      </c>
      <c r="D3346" s="12" t="str">
        <f>IF(B3346="","",IFERROR(INDEX('Cashier Roster'!$D$5:$D$64,MATCH(B3346,'Cashier Roster'!$B$5:$B$64,0)),""))</f>
        <v/>
      </c>
      <c r="E3346" s="13"/>
      <c r="F3346" s="14"/>
      <c r="G3346" s="8" t="str">
        <f>IF(OR(B3346="",E3346=""),"",IF(E3346="No","Missed",IF(F3346="","",IF(F3346&lt;=Settings!$B$7,"On time","Late"))))</f>
        <v/>
      </c>
      <c r="H3346" s="15"/>
      <c r="I3346" s="16"/>
      <c r="J3346" s="16"/>
      <c r="K3346" s="17" t="str">
        <f>IF(J3346="","",ROUND(J3346*Settings!$B$8,2))</f>
        <v/>
      </c>
      <c r="L3346" s="16"/>
      <c r="M3346" s="8" t="str">
        <f t="shared" si="52"/>
        <v/>
      </c>
      <c r="N3346" s="9"/>
    </row>
    <row r="3347" spans="1:14" ht="15.75">
      <c r="A3347" s="11"/>
      <c r="B3347" s="9"/>
      <c r="C3347" s="12" t="str">
        <f>IF(B3347="","",IFERROR(INDEX('Cashier Roster'!$C$5:$C$64,MATCH(B3347,'Cashier Roster'!$B$5:$B$64,0)),"Not on roster"))</f>
        <v/>
      </c>
      <c r="D3347" s="12" t="str">
        <f>IF(B3347="","",IFERROR(INDEX('Cashier Roster'!$D$5:$D$64,MATCH(B3347,'Cashier Roster'!$B$5:$B$64,0)),""))</f>
        <v/>
      </c>
      <c r="E3347" s="13"/>
      <c r="F3347" s="14"/>
      <c r="G3347" s="8" t="str">
        <f>IF(OR(B3347="",E3347=""),"",IF(E3347="No","Missed",IF(F3347="","",IF(F3347&lt;=Settings!$B$7,"On time","Late"))))</f>
        <v/>
      </c>
      <c r="H3347" s="15"/>
      <c r="I3347" s="16"/>
      <c r="J3347" s="16"/>
      <c r="K3347" s="17" t="str">
        <f>IF(J3347="","",ROUND(J3347*Settings!$B$8,2))</f>
        <v/>
      </c>
      <c r="L3347" s="16"/>
      <c r="M3347" s="8" t="str">
        <f t="shared" si="52"/>
        <v/>
      </c>
      <c r="N3347" s="9"/>
    </row>
    <row r="3348" spans="1:14" ht="15.75">
      <c r="A3348" s="11"/>
      <c r="B3348" s="9"/>
      <c r="C3348" s="12" t="str">
        <f>IF(B3348="","",IFERROR(INDEX('Cashier Roster'!$C$5:$C$64,MATCH(B3348,'Cashier Roster'!$B$5:$B$64,0)),"Not on roster"))</f>
        <v/>
      </c>
      <c r="D3348" s="12" t="str">
        <f>IF(B3348="","",IFERROR(INDEX('Cashier Roster'!$D$5:$D$64,MATCH(B3348,'Cashier Roster'!$B$5:$B$64,0)),""))</f>
        <v/>
      </c>
      <c r="E3348" s="13"/>
      <c r="F3348" s="14"/>
      <c r="G3348" s="8" t="str">
        <f>IF(OR(B3348="",E3348=""),"",IF(E3348="No","Missed",IF(F3348="","",IF(F3348&lt;=Settings!$B$7,"On time","Late"))))</f>
        <v/>
      </c>
      <c r="H3348" s="15"/>
      <c r="I3348" s="16"/>
      <c r="J3348" s="16"/>
      <c r="K3348" s="17" t="str">
        <f>IF(J3348="","",ROUND(J3348*Settings!$B$8,2))</f>
        <v/>
      </c>
      <c r="L3348" s="16"/>
      <c r="M3348" s="8" t="str">
        <f t="shared" si="52"/>
        <v/>
      </c>
      <c r="N3348" s="9"/>
    </row>
    <row r="3349" spans="1:14" ht="15.75">
      <c r="A3349" s="11"/>
      <c r="B3349" s="9"/>
      <c r="C3349" s="12" t="str">
        <f>IF(B3349="","",IFERROR(INDEX('Cashier Roster'!$C$5:$C$64,MATCH(B3349,'Cashier Roster'!$B$5:$B$64,0)),"Not on roster"))</f>
        <v/>
      </c>
      <c r="D3349" s="12" t="str">
        <f>IF(B3349="","",IFERROR(INDEX('Cashier Roster'!$D$5:$D$64,MATCH(B3349,'Cashier Roster'!$B$5:$B$64,0)),""))</f>
        <v/>
      </c>
      <c r="E3349" s="13"/>
      <c r="F3349" s="14"/>
      <c r="G3349" s="8" t="str">
        <f>IF(OR(B3349="",E3349=""),"",IF(E3349="No","Missed",IF(F3349="","",IF(F3349&lt;=Settings!$B$7,"On time","Late"))))</f>
        <v/>
      </c>
      <c r="H3349" s="15"/>
      <c r="I3349" s="16"/>
      <c r="J3349" s="16"/>
      <c r="K3349" s="17" t="str">
        <f>IF(J3349="","",ROUND(J3349*Settings!$B$8,2))</f>
        <v/>
      </c>
      <c r="L3349" s="16"/>
      <c r="M3349" s="8" t="str">
        <f t="shared" si="52"/>
        <v/>
      </c>
      <c r="N3349" s="9"/>
    </row>
    <row r="3350" spans="1:14" ht="15.75">
      <c r="A3350" s="11"/>
      <c r="B3350" s="9"/>
      <c r="C3350" s="12" t="str">
        <f>IF(B3350="","",IFERROR(INDEX('Cashier Roster'!$C$5:$C$64,MATCH(B3350,'Cashier Roster'!$B$5:$B$64,0)),"Not on roster"))</f>
        <v/>
      </c>
      <c r="D3350" s="12" t="str">
        <f>IF(B3350="","",IFERROR(INDEX('Cashier Roster'!$D$5:$D$64,MATCH(B3350,'Cashier Roster'!$B$5:$B$64,0)),""))</f>
        <v/>
      </c>
      <c r="E3350" s="13"/>
      <c r="F3350" s="14"/>
      <c r="G3350" s="8" t="str">
        <f>IF(OR(B3350="",E3350=""),"",IF(E3350="No","Missed",IF(F3350="","",IF(F3350&lt;=Settings!$B$7,"On time","Late"))))</f>
        <v/>
      </c>
      <c r="H3350" s="15"/>
      <c r="I3350" s="16"/>
      <c r="J3350" s="16"/>
      <c r="K3350" s="17" t="str">
        <f>IF(J3350="","",ROUND(J3350*Settings!$B$8,2))</f>
        <v/>
      </c>
      <c r="L3350" s="16"/>
      <c r="M3350" s="8" t="str">
        <f t="shared" si="52"/>
        <v/>
      </c>
      <c r="N3350" s="9"/>
    </row>
    <row r="3351" spans="1:14" ht="15.75">
      <c r="A3351" s="11"/>
      <c r="B3351" s="9"/>
      <c r="C3351" s="12" t="str">
        <f>IF(B3351="","",IFERROR(INDEX('Cashier Roster'!$C$5:$C$64,MATCH(B3351,'Cashier Roster'!$B$5:$B$64,0)),"Not on roster"))</f>
        <v/>
      </c>
      <c r="D3351" s="12" t="str">
        <f>IF(B3351="","",IFERROR(INDEX('Cashier Roster'!$D$5:$D$64,MATCH(B3351,'Cashier Roster'!$B$5:$B$64,0)),""))</f>
        <v/>
      </c>
      <c r="E3351" s="13"/>
      <c r="F3351" s="14"/>
      <c r="G3351" s="8" t="str">
        <f>IF(OR(B3351="",E3351=""),"",IF(E3351="No","Missed",IF(F3351="","",IF(F3351&lt;=Settings!$B$7,"On time","Late"))))</f>
        <v/>
      </c>
      <c r="H3351" s="15"/>
      <c r="I3351" s="16"/>
      <c r="J3351" s="16"/>
      <c r="K3351" s="17" t="str">
        <f>IF(J3351="","",ROUND(J3351*Settings!$B$8,2))</f>
        <v/>
      </c>
      <c r="L3351" s="16"/>
      <c r="M3351" s="8" t="str">
        <f t="shared" si="52"/>
        <v/>
      </c>
      <c r="N3351" s="9"/>
    </row>
    <row r="3352" spans="1:14" ht="15.75">
      <c r="A3352" s="11"/>
      <c r="B3352" s="9"/>
      <c r="C3352" s="12" t="str">
        <f>IF(B3352="","",IFERROR(INDEX('Cashier Roster'!$C$5:$C$64,MATCH(B3352,'Cashier Roster'!$B$5:$B$64,0)),"Not on roster"))</f>
        <v/>
      </c>
      <c r="D3352" s="12" t="str">
        <f>IF(B3352="","",IFERROR(INDEX('Cashier Roster'!$D$5:$D$64,MATCH(B3352,'Cashier Roster'!$B$5:$B$64,0)),""))</f>
        <v/>
      </c>
      <c r="E3352" s="13"/>
      <c r="F3352" s="14"/>
      <c r="G3352" s="8" t="str">
        <f>IF(OR(B3352="",E3352=""),"",IF(E3352="No","Missed",IF(F3352="","",IF(F3352&lt;=Settings!$B$7,"On time","Late"))))</f>
        <v/>
      </c>
      <c r="H3352" s="15"/>
      <c r="I3352" s="16"/>
      <c r="J3352" s="16"/>
      <c r="K3352" s="17" t="str">
        <f>IF(J3352="","",ROUND(J3352*Settings!$B$8,2))</f>
        <v/>
      </c>
      <c r="L3352" s="16"/>
      <c r="M3352" s="8" t="str">
        <f t="shared" si="52"/>
        <v/>
      </c>
      <c r="N3352" s="9"/>
    </row>
    <row r="3353" spans="1:14" ht="15.75">
      <c r="A3353" s="11"/>
      <c r="B3353" s="9"/>
      <c r="C3353" s="12" t="str">
        <f>IF(B3353="","",IFERROR(INDEX('Cashier Roster'!$C$5:$C$64,MATCH(B3353,'Cashier Roster'!$B$5:$B$64,0)),"Not on roster"))</f>
        <v/>
      </c>
      <c r="D3353" s="12" t="str">
        <f>IF(B3353="","",IFERROR(INDEX('Cashier Roster'!$D$5:$D$64,MATCH(B3353,'Cashier Roster'!$B$5:$B$64,0)),""))</f>
        <v/>
      </c>
      <c r="E3353" s="13"/>
      <c r="F3353" s="14"/>
      <c r="G3353" s="8" t="str">
        <f>IF(OR(B3353="",E3353=""),"",IF(E3353="No","Missed",IF(F3353="","",IF(F3353&lt;=Settings!$B$7,"On time","Late"))))</f>
        <v/>
      </c>
      <c r="H3353" s="15"/>
      <c r="I3353" s="16"/>
      <c r="J3353" s="16"/>
      <c r="K3353" s="17" t="str">
        <f>IF(J3353="","",ROUND(J3353*Settings!$B$8,2))</f>
        <v/>
      </c>
      <c r="L3353" s="16"/>
      <c r="M3353" s="8" t="str">
        <f t="shared" si="52"/>
        <v/>
      </c>
      <c r="N3353" s="9"/>
    </row>
    <row r="3354" spans="1:14" ht="15.75">
      <c r="A3354" s="11"/>
      <c r="B3354" s="9"/>
      <c r="C3354" s="12" t="str">
        <f>IF(B3354="","",IFERROR(INDEX('Cashier Roster'!$C$5:$C$64,MATCH(B3354,'Cashier Roster'!$B$5:$B$64,0)),"Not on roster"))</f>
        <v/>
      </c>
      <c r="D3354" s="12" t="str">
        <f>IF(B3354="","",IFERROR(INDEX('Cashier Roster'!$D$5:$D$64,MATCH(B3354,'Cashier Roster'!$B$5:$B$64,0)),""))</f>
        <v/>
      </c>
      <c r="E3354" s="13"/>
      <c r="F3354" s="14"/>
      <c r="G3354" s="8" t="str">
        <f>IF(OR(B3354="",E3354=""),"",IF(E3354="No","Missed",IF(F3354="","",IF(F3354&lt;=Settings!$B$7,"On time","Late"))))</f>
        <v/>
      </c>
      <c r="H3354" s="15"/>
      <c r="I3354" s="16"/>
      <c r="J3354" s="16"/>
      <c r="K3354" s="17" t="str">
        <f>IF(J3354="","",ROUND(J3354*Settings!$B$8,2))</f>
        <v/>
      </c>
      <c r="L3354" s="16"/>
      <c r="M3354" s="8" t="str">
        <f t="shared" si="52"/>
        <v/>
      </c>
      <c r="N3354" s="9"/>
    </row>
    <row r="3355" spans="1:14" ht="15.75">
      <c r="A3355" s="11"/>
      <c r="B3355" s="9"/>
      <c r="C3355" s="12" t="str">
        <f>IF(B3355="","",IFERROR(INDEX('Cashier Roster'!$C$5:$C$64,MATCH(B3355,'Cashier Roster'!$B$5:$B$64,0)),"Not on roster"))</f>
        <v/>
      </c>
      <c r="D3355" s="12" t="str">
        <f>IF(B3355="","",IFERROR(INDEX('Cashier Roster'!$D$5:$D$64,MATCH(B3355,'Cashier Roster'!$B$5:$B$64,0)),""))</f>
        <v/>
      </c>
      <c r="E3355" s="13"/>
      <c r="F3355" s="14"/>
      <c r="G3355" s="8" t="str">
        <f>IF(OR(B3355="",E3355=""),"",IF(E3355="No","Missed",IF(F3355="","",IF(F3355&lt;=Settings!$B$7,"On time","Late"))))</f>
        <v/>
      </c>
      <c r="H3355" s="15"/>
      <c r="I3355" s="16"/>
      <c r="J3355" s="16"/>
      <c r="K3355" s="17" t="str">
        <f>IF(J3355="","",ROUND(J3355*Settings!$B$8,2))</f>
        <v/>
      </c>
      <c r="L3355" s="16"/>
      <c r="M3355" s="8" t="str">
        <f t="shared" si="52"/>
        <v/>
      </c>
      <c r="N3355" s="9"/>
    </row>
    <row r="3356" spans="1:14" ht="15.75">
      <c r="A3356" s="11"/>
      <c r="B3356" s="9"/>
      <c r="C3356" s="12" t="str">
        <f>IF(B3356="","",IFERROR(INDEX('Cashier Roster'!$C$5:$C$64,MATCH(B3356,'Cashier Roster'!$B$5:$B$64,0)),"Not on roster"))</f>
        <v/>
      </c>
      <c r="D3356" s="12" t="str">
        <f>IF(B3356="","",IFERROR(INDEX('Cashier Roster'!$D$5:$D$64,MATCH(B3356,'Cashier Roster'!$B$5:$B$64,0)),""))</f>
        <v/>
      </c>
      <c r="E3356" s="13"/>
      <c r="F3356" s="14"/>
      <c r="G3356" s="8" t="str">
        <f>IF(OR(B3356="",E3356=""),"",IF(E3356="No","Missed",IF(F3356="","",IF(F3356&lt;=Settings!$B$7,"On time","Late"))))</f>
        <v/>
      </c>
      <c r="H3356" s="15"/>
      <c r="I3356" s="16"/>
      <c r="J3356" s="16"/>
      <c r="K3356" s="17" t="str">
        <f>IF(J3356="","",ROUND(J3356*Settings!$B$8,2))</f>
        <v/>
      </c>
      <c r="L3356" s="16"/>
      <c r="M3356" s="8" t="str">
        <f t="shared" si="52"/>
        <v/>
      </c>
      <c r="N3356" s="9"/>
    </row>
    <row r="3357" spans="1:14" ht="15.75">
      <c r="A3357" s="11"/>
      <c r="B3357" s="9"/>
      <c r="C3357" s="12" t="str">
        <f>IF(B3357="","",IFERROR(INDEX('Cashier Roster'!$C$5:$C$64,MATCH(B3357,'Cashier Roster'!$B$5:$B$64,0)),"Not on roster"))</f>
        <v/>
      </c>
      <c r="D3357" s="12" t="str">
        <f>IF(B3357="","",IFERROR(INDEX('Cashier Roster'!$D$5:$D$64,MATCH(B3357,'Cashier Roster'!$B$5:$B$64,0)),""))</f>
        <v/>
      </c>
      <c r="E3357" s="13"/>
      <c r="F3357" s="14"/>
      <c r="G3357" s="8" t="str">
        <f>IF(OR(B3357="",E3357=""),"",IF(E3357="No","Missed",IF(F3357="","",IF(F3357&lt;=Settings!$B$7,"On time","Late"))))</f>
        <v/>
      </c>
      <c r="H3357" s="15"/>
      <c r="I3357" s="16"/>
      <c r="J3357" s="16"/>
      <c r="K3357" s="17" t="str">
        <f>IF(J3357="","",ROUND(J3357*Settings!$B$8,2))</f>
        <v/>
      </c>
      <c r="L3357" s="16"/>
      <c r="M3357" s="8" t="str">
        <f t="shared" si="52"/>
        <v/>
      </c>
      <c r="N3357" s="9"/>
    </row>
    <row r="3358" spans="1:14" ht="15.75">
      <c r="A3358" s="11"/>
      <c r="B3358" s="9"/>
      <c r="C3358" s="12" t="str">
        <f>IF(B3358="","",IFERROR(INDEX('Cashier Roster'!$C$5:$C$64,MATCH(B3358,'Cashier Roster'!$B$5:$B$64,0)),"Not on roster"))</f>
        <v/>
      </c>
      <c r="D3358" s="12" t="str">
        <f>IF(B3358="","",IFERROR(INDEX('Cashier Roster'!$D$5:$D$64,MATCH(B3358,'Cashier Roster'!$B$5:$B$64,0)),""))</f>
        <v/>
      </c>
      <c r="E3358" s="13"/>
      <c r="F3358" s="14"/>
      <c r="G3358" s="8" t="str">
        <f>IF(OR(B3358="",E3358=""),"",IF(E3358="No","Missed",IF(F3358="","",IF(F3358&lt;=Settings!$B$7,"On time","Late"))))</f>
        <v/>
      </c>
      <c r="H3358" s="15"/>
      <c r="I3358" s="16"/>
      <c r="J3358" s="16"/>
      <c r="K3358" s="17" t="str">
        <f>IF(J3358="","",ROUND(J3358*Settings!$B$8,2))</f>
        <v/>
      </c>
      <c r="L3358" s="16"/>
      <c r="M3358" s="8" t="str">
        <f t="shared" si="52"/>
        <v/>
      </c>
      <c r="N3358" s="9"/>
    </row>
    <row r="3359" spans="1:14" ht="15.75">
      <c r="A3359" s="11"/>
      <c r="B3359" s="9"/>
      <c r="C3359" s="12" t="str">
        <f>IF(B3359="","",IFERROR(INDEX('Cashier Roster'!$C$5:$C$64,MATCH(B3359,'Cashier Roster'!$B$5:$B$64,0)),"Not on roster"))</f>
        <v/>
      </c>
      <c r="D3359" s="12" t="str">
        <f>IF(B3359="","",IFERROR(INDEX('Cashier Roster'!$D$5:$D$64,MATCH(B3359,'Cashier Roster'!$B$5:$B$64,0)),""))</f>
        <v/>
      </c>
      <c r="E3359" s="13"/>
      <c r="F3359" s="14"/>
      <c r="G3359" s="8" t="str">
        <f>IF(OR(B3359="",E3359=""),"",IF(E3359="No","Missed",IF(F3359="","",IF(F3359&lt;=Settings!$B$7,"On time","Late"))))</f>
        <v/>
      </c>
      <c r="H3359" s="15"/>
      <c r="I3359" s="16"/>
      <c r="J3359" s="16"/>
      <c r="K3359" s="17" t="str">
        <f>IF(J3359="","",ROUND(J3359*Settings!$B$8,2))</f>
        <v/>
      </c>
      <c r="L3359" s="16"/>
      <c r="M3359" s="8" t="str">
        <f t="shared" si="52"/>
        <v/>
      </c>
      <c r="N3359" s="9"/>
    </row>
    <row r="3360" spans="1:14" ht="15.75">
      <c r="A3360" s="11"/>
      <c r="B3360" s="9"/>
      <c r="C3360" s="12" t="str">
        <f>IF(B3360="","",IFERROR(INDEX('Cashier Roster'!$C$5:$C$64,MATCH(B3360,'Cashier Roster'!$B$5:$B$64,0)),"Not on roster"))</f>
        <v/>
      </c>
      <c r="D3360" s="12" t="str">
        <f>IF(B3360="","",IFERROR(INDEX('Cashier Roster'!$D$5:$D$64,MATCH(B3360,'Cashier Roster'!$B$5:$B$64,0)),""))</f>
        <v/>
      </c>
      <c r="E3360" s="13"/>
      <c r="F3360" s="14"/>
      <c r="G3360" s="8" t="str">
        <f>IF(OR(B3360="",E3360=""),"",IF(E3360="No","Missed",IF(F3360="","",IF(F3360&lt;=Settings!$B$7,"On time","Late"))))</f>
        <v/>
      </c>
      <c r="H3360" s="15"/>
      <c r="I3360" s="16"/>
      <c r="J3360" s="16"/>
      <c r="K3360" s="17" t="str">
        <f>IF(J3360="","",ROUND(J3360*Settings!$B$8,2))</f>
        <v/>
      </c>
      <c r="L3360" s="16"/>
      <c r="M3360" s="8" t="str">
        <f t="shared" si="52"/>
        <v/>
      </c>
      <c r="N3360" s="9"/>
    </row>
    <row r="3361" spans="1:14" ht="15.75">
      <c r="A3361" s="11"/>
      <c r="B3361" s="9"/>
      <c r="C3361" s="12" t="str">
        <f>IF(B3361="","",IFERROR(INDEX('Cashier Roster'!$C$5:$C$64,MATCH(B3361,'Cashier Roster'!$B$5:$B$64,0)),"Not on roster"))</f>
        <v/>
      </c>
      <c r="D3361" s="12" t="str">
        <f>IF(B3361="","",IFERROR(INDEX('Cashier Roster'!$D$5:$D$64,MATCH(B3361,'Cashier Roster'!$B$5:$B$64,0)),""))</f>
        <v/>
      </c>
      <c r="E3361" s="13"/>
      <c r="F3361" s="14"/>
      <c r="G3361" s="8" t="str">
        <f>IF(OR(B3361="",E3361=""),"",IF(E3361="No","Missed",IF(F3361="","",IF(F3361&lt;=Settings!$B$7,"On time","Late"))))</f>
        <v/>
      </c>
      <c r="H3361" s="15"/>
      <c r="I3361" s="16"/>
      <c r="J3361" s="16"/>
      <c r="K3361" s="17" t="str">
        <f>IF(J3361="","",ROUND(J3361*Settings!$B$8,2))</f>
        <v/>
      </c>
      <c r="L3361" s="16"/>
      <c r="M3361" s="8" t="str">
        <f t="shared" si="52"/>
        <v/>
      </c>
      <c r="N3361" s="9"/>
    </row>
    <row r="3362" spans="1:14" ht="15.75">
      <c r="A3362" s="11"/>
      <c r="B3362" s="9"/>
      <c r="C3362" s="12" t="str">
        <f>IF(B3362="","",IFERROR(INDEX('Cashier Roster'!$C$5:$C$64,MATCH(B3362,'Cashier Roster'!$B$5:$B$64,0)),"Not on roster"))</f>
        <v/>
      </c>
      <c r="D3362" s="12" t="str">
        <f>IF(B3362="","",IFERROR(INDEX('Cashier Roster'!$D$5:$D$64,MATCH(B3362,'Cashier Roster'!$B$5:$B$64,0)),""))</f>
        <v/>
      </c>
      <c r="E3362" s="13"/>
      <c r="F3362" s="14"/>
      <c r="G3362" s="8" t="str">
        <f>IF(OR(B3362="",E3362=""),"",IF(E3362="No","Missed",IF(F3362="","",IF(F3362&lt;=Settings!$B$7,"On time","Late"))))</f>
        <v/>
      </c>
      <c r="H3362" s="15"/>
      <c r="I3362" s="16"/>
      <c r="J3362" s="16"/>
      <c r="K3362" s="17" t="str">
        <f>IF(J3362="","",ROUND(J3362*Settings!$B$8,2))</f>
        <v/>
      </c>
      <c r="L3362" s="16"/>
      <c r="M3362" s="8" t="str">
        <f t="shared" si="52"/>
        <v/>
      </c>
      <c r="N3362" s="9"/>
    </row>
    <row r="3363" spans="1:14" ht="15.75">
      <c r="A3363" s="11"/>
      <c r="B3363" s="9"/>
      <c r="C3363" s="12" t="str">
        <f>IF(B3363="","",IFERROR(INDEX('Cashier Roster'!$C$5:$C$64,MATCH(B3363,'Cashier Roster'!$B$5:$B$64,0)),"Not on roster"))</f>
        <v/>
      </c>
      <c r="D3363" s="12" t="str">
        <f>IF(B3363="","",IFERROR(INDEX('Cashier Roster'!$D$5:$D$64,MATCH(B3363,'Cashier Roster'!$B$5:$B$64,0)),""))</f>
        <v/>
      </c>
      <c r="E3363" s="13"/>
      <c r="F3363" s="14"/>
      <c r="G3363" s="8" t="str">
        <f>IF(OR(B3363="",E3363=""),"",IF(E3363="No","Missed",IF(F3363="","",IF(F3363&lt;=Settings!$B$7,"On time","Late"))))</f>
        <v/>
      </c>
      <c r="H3363" s="15"/>
      <c r="I3363" s="16"/>
      <c r="J3363" s="16"/>
      <c r="K3363" s="17" t="str">
        <f>IF(J3363="","",ROUND(J3363*Settings!$B$8,2))</f>
        <v/>
      </c>
      <c r="L3363" s="16"/>
      <c r="M3363" s="8" t="str">
        <f t="shared" si="52"/>
        <v/>
      </c>
      <c r="N3363" s="9"/>
    </row>
    <row r="3364" spans="1:14" ht="15.75">
      <c r="A3364" s="11"/>
      <c r="B3364" s="9"/>
      <c r="C3364" s="12" t="str">
        <f>IF(B3364="","",IFERROR(INDEX('Cashier Roster'!$C$5:$C$64,MATCH(B3364,'Cashier Roster'!$B$5:$B$64,0)),"Not on roster"))</f>
        <v/>
      </c>
      <c r="D3364" s="12" t="str">
        <f>IF(B3364="","",IFERROR(INDEX('Cashier Roster'!$D$5:$D$64,MATCH(B3364,'Cashier Roster'!$B$5:$B$64,0)),""))</f>
        <v/>
      </c>
      <c r="E3364" s="13"/>
      <c r="F3364" s="14"/>
      <c r="G3364" s="8" t="str">
        <f>IF(OR(B3364="",E3364=""),"",IF(E3364="No","Missed",IF(F3364="","",IF(F3364&lt;=Settings!$B$7,"On time","Late"))))</f>
        <v/>
      </c>
      <c r="H3364" s="15"/>
      <c r="I3364" s="16"/>
      <c r="J3364" s="16"/>
      <c r="K3364" s="17" t="str">
        <f>IF(J3364="","",ROUND(J3364*Settings!$B$8,2))</f>
        <v/>
      </c>
      <c r="L3364" s="16"/>
      <c r="M3364" s="8" t="str">
        <f t="shared" si="52"/>
        <v/>
      </c>
      <c r="N3364" s="9"/>
    </row>
    <row r="3365" spans="1:14" ht="15.75">
      <c r="A3365" s="11"/>
      <c r="B3365" s="9"/>
      <c r="C3365" s="12" t="str">
        <f>IF(B3365="","",IFERROR(INDEX('Cashier Roster'!$C$5:$C$64,MATCH(B3365,'Cashier Roster'!$B$5:$B$64,0)),"Not on roster"))</f>
        <v/>
      </c>
      <c r="D3365" s="12" t="str">
        <f>IF(B3365="","",IFERROR(INDEX('Cashier Roster'!$D$5:$D$64,MATCH(B3365,'Cashier Roster'!$B$5:$B$64,0)),""))</f>
        <v/>
      </c>
      <c r="E3365" s="13"/>
      <c r="F3365" s="14"/>
      <c r="G3365" s="8" t="str">
        <f>IF(OR(B3365="",E3365=""),"",IF(E3365="No","Missed",IF(F3365="","",IF(F3365&lt;=Settings!$B$7,"On time","Late"))))</f>
        <v/>
      </c>
      <c r="H3365" s="15"/>
      <c r="I3365" s="16"/>
      <c r="J3365" s="16"/>
      <c r="K3365" s="17" t="str">
        <f>IF(J3365="","",ROUND(J3365*Settings!$B$8,2))</f>
        <v/>
      </c>
      <c r="L3365" s="16"/>
      <c r="M3365" s="8" t="str">
        <f t="shared" si="52"/>
        <v/>
      </c>
      <c r="N3365" s="9"/>
    </row>
    <row r="3366" spans="1:14" ht="15.75">
      <c r="A3366" s="11"/>
      <c r="B3366" s="9"/>
      <c r="C3366" s="12" t="str">
        <f>IF(B3366="","",IFERROR(INDEX('Cashier Roster'!$C$5:$C$64,MATCH(B3366,'Cashier Roster'!$B$5:$B$64,0)),"Not on roster"))</f>
        <v/>
      </c>
      <c r="D3366" s="12" t="str">
        <f>IF(B3366="","",IFERROR(INDEX('Cashier Roster'!$D$5:$D$64,MATCH(B3366,'Cashier Roster'!$B$5:$B$64,0)),""))</f>
        <v/>
      </c>
      <c r="E3366" s="13"/>
      <c r="F3366" s="14"/>
      <c r="G3366" s="8" t="str">
        <f>IF(OR(B3366="",E3366=""),"",IF(E3366="No","Missed",IF(F3366="","",IF(F3366&lt;=Settings!$B$7,"On time","Late"))))</f>
        <v/>
      </c>
      <c r="H3366" s="15"/>
      <c r="I3366" s="16"/>
      <c r="J3366" s="16"/>
      <c r="K3366" s="17" t="str">
        <f>IF(J3366="","",ROUND(J3366*Settings!$B$8,2))</f>
        <v/>
      </c>
      <c r="L3366" s="16"/>
      <c r="M3366" s="8" t="str">
        <f t="shared" si="52"/>
        <v/>
      </c>
      <c r="N3366" s="9"/>
    </row>
    <row r="3367" spans="1:14" ht="15.75">
      <c r="A3367" s="11"/>
      <c r="B3367" s="9"/>
      <c r="C3367" s="12" t="str">
        <f>IF(B3367="","",IFERROR(INDEX('Cashier Roster'!$C$5:$C$64,MATCH(B3367,'Cashier Roster'!$B$5:$B$64,0)),"Not on roster"))</f>
        <v/>
      </c>
      <c r="D3367" s="12" t="str">
        <f>IF(B3367="","",IFERROR(INDEX('Cashier Roster'!$D$5:$D$64,MATCH(B3367,'Cashier Roster'!$B$5:$B$64,0)),""))</f>
        <v/>
      </c>
      <c r="E3367" s="13"/>
      <c r="F3367" s="14"/>
      <c r="G3367" s="8" t="str">
        <f>IF(OR(B3367="",E3367=""),"",IF(E3367="No","Missed",IF(F3367="","",IF(F3367&lt;=Settings!$B$7,"On time","Late"))))</f>
        <v/>
      </c>
      <c r="H3367" s="15"/>
      <c r="I3367" s="16"/>
      <c r="J3367" s="16"/>
      <c r="K3367" s="17" t="str">
        <f>IF(J3367="","",ROUND(J3367*Settings!$B$8,2))</f>
        <v/>
      </c>
      <c r="L3367" s="16"/>
      <c r="M3367" s="8" t="str">
        <f t="shared" si="52"/>
        <v/>
      </c>
      <c r="N3367" s="9"/>
    </row>
    <row r="3368" spans="1:14" ht="15.75">
      <c r="A3368" s="11"/>
      <c r="B3368" s="9"/>
      <c r="C3368" s="12" t="str">
        <f>IF(B3368="","",IFERROR(INDEX('Cashier Roster'!$C$5:$C$64,MATCH(B3368,'Cashier Roster'!$B$5:$B$64,0)),"Not on roster"))</f>
        <v/>
      </c>
      <c r="D3368" s="12" t="str">
        <f>IF(B3368="","",IFERROR(INDEX('Cashier Roster'!$D$5:$D$64,MATCH(B3368,'Cashier Roster'!$B$5:$B$64,0)),""))</f>
        <v/>
      </c>
      <c r="E3368" s="13"/>
      <c r="F3368" s="14"/>
      <c r="G3368" s="8" t="str">
        <f>IF(OR(B3368="",E3368=""),"",IF(E3368="No","Missed",IF(F3368="","",IF(F3368&lt;=Settings!$B$7,"On time","Late"))))</f>
        <v/>
      </c>
      <c r="H3368" s="15"/>
      <c r="I3368" s="16"/>
      <c r="J3368" s="16"/>
      <c r="K3368" s="17" t="str">
        <f>IF(J3368="","",ROUND(J3368*Settings!$B$8,2))</f>
        <v/>
      </c>
      <c r="L3368" s="16"/>
      <c r="M3368" s="8" t="str">
        <f t="shared" si="52"/>
        <v/>
      </c>
      <c r="N3368" s="9"/>
    </row>
    <row r="3369" spans="1:14" ht="15.75">
      <c r="A3369" s="11"/>
      <c r="B3369" s="9"/>
      <c r="C3369" s="12" t="str">
        <f>IF(B3369="","",IFERROR(INDEX('Cashier Roster'!$C$5:$C$64,MATCH(B3369,'Cashier Roster'!$B$5:$B$64,0)),"Not on roster"))</f>
        <v/>
      </c>
      <c r="D3369" s="12" t="str">
        <f>IF(B3369="","",IFERROR(INDEX('Cashier Roster'!$D$5:$D$64,MATCH(B3369,'Cashier Roster'!$B$5:$B$64,0)),""))</f>
        <v/>
      </c>
      <c r="E3369" s="13"/>
      <c r="F3369" s="14"/>
      <c r="G3369" s="8" t="str">
        <f>IF(OR(B3369="",E3369=""),"",IF(E3369="No","Missed",IF(F3369="","",IF(F3369&lt;=Settings!$B$7,"On time","Late"))))</f>
        <v/>
      </c>
      <c r="H3369" s="15"/>
      <c r="I3369" s="16"/>
      <c r="J3369" s="16"/>
      <c r="K3369" s="17" t="str">
        <f>IF(J3369="","",ROUND(J3369*Settings!$B$8,2))</f>
        <v/>
      </c>
      <c r="L3369" s="16"/>
      <c r="M3369" s="8" t="str">
        <f t="shared" si="52"/>
        <v/>
      </c>
      <c r="N3369" s="9"/>
    </row>
    <row r="3370" spans="1:14" ht="15.75">
      <c r="A3370" s="11"/>
      <c r="B3370" s="9"/>
      <c r="C3370" s="12" t="str">
        <f>IF(B3370="","",IFERROR(INDEX('Cashier Roster'!$C$5:$C$64,MATCH(B3370,'Cashier Roster'!$B$5:$B$64,0)),"Not on roster"))</f>
        <v/>
      </c>
      <c r="D3370" s="12" t="str">
        <f>IF(B3370="","",IFERROR(INDEX('Cashier Roster'!$D$5:$D$64,MATCH(B3370,'Cashier Roster'!$B$5:$B$64,0)),""))</f>
        <v/>
      </c>
      <c r="E3370" s="13"/>
      <c r="F3370" s="14"/>
      <c r="G3370" s="8" t="str">
        <f>IF(OR(B3370="",E3370=""),"",IF(E3370="No","Missed",IF(F3370="","",IF(F3370&lt;=Settings!$B$7,"On time","Late"))))</f>
        <v/>
      </c>
      <c r="H3370" s="15"/>
      <c r="I3370" s="16"/>
      <c r="J3370" s="16"/>
      <c r="K3370" s="17" t="str">
        <f>IF(J3370="","",ROUND(J3370*Settings!$B$8,2))</f>
        <v/>
      </c>
      <c r="L3370" s="16"/>
      <c r="M3370" s="8" t="str">
        <f t="shared" si="52"/>
        <v/>
      </c>
      <c r="N3370" s="9"/>
    </row>
    <row r="3371" spans="1:14" ht="15.75">
      <c r="A3371" s="11"/>
      <c r="B3371" s="9"/>
      <c r="C3371" s="12" t="str">
        <f>IF(B3371="","",IFERROR(INDEX('Cashier Roster'!$C$5:$C$64,MATCH(B3371,'Cashier Roster'!$B$5:$B$64,0)),"Not on roster"))</f>
        <v/>
      </c>
      <c r="D3371" s="12" t="str">
        <f>IF(B3371="","",IFERROR(INDEX('Cashier Roster'!$D$5:$D$64,MATCH(B3371,'Cashier Roster'!$B$5:$B$64,0)),""))</f>
        <v/>
      </c>
      <c r="E3371" s="13"/>
      <c r="F3371" s="14"/>
      <c r="G3371" s="8" t="str">
        <f>IF(OR(B3371="",E3371=""),"",IF(E3371="No","Missed",IF(F3371="","",IF(F3371&lt;=Settings!$B$7,"On time","Late"))))</f>
        <v/>
      </c>
      <c r="H3371" s="15"/>
      <c r="I3371" s="16"/>
      <c r="J3371" s="16"/>
      <c r="K3371" s="17" t="str">
        <f>IF(J3371="","",ROUND(J3371*Settings!$B$8,2))</f>
        <v/>
      </c>
      <c r="L3371" s="16"/>
      <c r="M3371" s="8" t="str">
        <f t="shared" si="52"/>
        <v/>
      </c>
      <c r="N3371" s="9"/>
    </row>
    <row r="3372" spans="1:14" ht="15.75">
      <c r="A3372" s="11"/>
      <c r="B3372" s="9"/>
      <c r="C3372" s="12" t="str">
        <f>IF(B3372="","",IFERROR(INDEX('Cashier Roster'!$C$5:$C$64,MATCH(B3372,'Cashier Roster'!$B$5:$B$64,0)),"Not on roster"))</f>
        <v/>
      </c>
      <c r="D3372" s="12" t="str">
        <f>IF(B3372="","",IFERROR(INDEX('Cashier Roster'!$D$5:$D$64,MATCH(B3372,'Cashier Roster'!$B$5:$B$64,0)),""))</f>
        <v/>
      </c>
      <c r="E3372" s="13"/>
      <c r="F3372" s="14"/>
      <c r="G3372" s="8" t="str">
        <f>IF(OR(B3372="",E3372=""),"",IF(E3372="No","Missed",IF(F3372="","",IF(F3372&lt;=Settings!$B$7,"On time","Late"))))</f>
        <v/>
      </c>
      <c r="H3372" s="15"/>
      <c r="I3372" s="16"/>
      <c r="J3372" s="16"/>
      <c r="K3372" s="17" t="str">
        <f>IF(J3372="","",ROUND(J3372*Settings!$B$8,2))</f>
        <v/>
      </c>
      <c r="L3372" s="16"/>
      <c r="M3372" s="8" t="str">
        <f t="shared" si="52"/>
        <v/>
      </c>
      <c r="N3372" s="9"/>
    </row>
    <row r="3373" spans="1:14" ht="15.75">
      <c r="A3373" s="11"/>
      <c r="B3373" s="9"/>
      <c r="C3373" s="12" t="str">
        <f>IF(B3373="","",IFERROR(INDEX('Cashier Roster'!$C$5:$C$64,MATCH(B3373,'Cashier Roster'!$B$5:$B$64,0)),"Not on roster"))</f>
        <v/>
      </c>
      <c r="D3373" s="12" t="str">
        <f>IF(B3373="","",IFERROR(INDEX('Cashier Roster'!$D$5:$D$64,MATCH(B3373,'Cashier Roster'!$B$5:$B$64,0)),""))</f>
        <v/>
      </c>
      <c r="E3373" s="13"/>
      <c r="F3373" s="14"/>
      <c r="G3373" s="8" t="str">
        <f>IF(OR(B3373="",E3373=""),"",IF(E3373="No","Missed",IF(F3373="","",IF(F3373&lt;=Settings!$B$7,"On time","Late"))))</f>
        <v/>
      </c>
      <c r="H3373" s="15"/>
      <c r="I3373" s="16"/>
      <c r="J3373" s="16"/>
      <c r="K3373" s="17" t="str">
        <f>IF(J3373="","",ROUND(J3373*Settings!$B$8,2))</f>
        <v/>
      </c>
      <c r="L3373" s="16"/>
      <c r="M3373" s="8" t="str">
        <f t="shared" si="52"/>
        <v/>
      </c>
      <c r="N3373" s="9"/>
    </row>
    <row r="3374" spans="1:14" ht="15.75">
      <c r="A3374" s="11"/>
      <c r="B3374" s="9"/>
      <c r="C3374" s="12" t="str">
        <f>IF(B3374="","",IFERROR(INDEX('Cashier Roster'!$C$5:$C$64,MATCH(B3374,'Cashier Roster'!$B$5:$B$64,0)),"Not on roster"))</f>
        <v/>
      </c>
      <c r="D3374" s="12" t="str">
        <f>IF(B3374="","",IFERROR(INDEX('Cashier Roster'!$D$5:$D$64,MATCH(B3374,'Cashier Roster'!$B$5:$B$64,0)),""))</f>
        <v/>
      </c>
      <c r="E3374" s="13"/>
      <c r="F3374" s="14"/>
      <c r="G3374" s="8" t="str">
        <f>IF(OR(B3374="",E3374=""),"",IF(E3374="No","Missed",IF(F3374="","",IF(F3374&lt;=Settings!$B$7,"On time","Late"))))</f>
        <v/>
      </c>
      <c r="H3374" s="15"/>
      <c r="I3374" s="16"/>
      <c r="J3374" s="16"/>
      <c r="K3374" s="17" t="str">
        <f>IF(J3374="","",ROUND(J3374*Settings!$B$8,2))</f>
        <v/>
      </c>
      <c r="L3374" s="16"/>
      <c r="M3374" s="8" t="str">
        <f t="shared" si="52"/>
        <v/>
      </c>
      <c r="N3374" s="9"/>
    </row>
    <row r="3375" spans="1:14" ht="15.75">
      <c r="A3375" s="11"/>
      <c r="B3375" s="9"/>
      <c r="C3375" s="12" t="str">
        <f>IF(B3375="","",IFERROR(INDEX('Cashier Roster'!$C$5:$C$64,MATCH(B3375,'Cashier Roster'!$B$5:$B$64,0)),"Not on roster"))</f>
        <v/>
      </c>
      <c r="D3375" s="12" t="str">
        <f>IF(B3375="","",IFERROR(INDEX('Cashier Roster'!$D$5:$D$64,MATCH(B3375,'Cashier Roster'!$B$5:$B$64,0)),""))</f>
        <v/>
      </c>
      <c r="E3375" s="13"/>
      <c r="F3375" s="14"/>
      <c r="G3375" s="8" t="str">
        <f>IF(OR(B3375="",E3375=""),"",IF(E3375="No","Missed",IF(F3375="","",IF(F3375&lt;=Settings!$B$7,"On time","Late"))))</f>
        <v/>
      </c>
      <c r="H3375" s="15"/>
      <c r="I3375" s="16"/>
      <c r="J3375" s="16"/>
      <c r="K3375" s="17" t="str">
        <f>IF(J3375="","",ROUND(J3375*Settings!$B$8,2))</f>
        <v/>
      </c>
      <c r="L3375" s="16"/>
      <c r="M3375" s="8" t="str">
        <f t="shared" si="52"/>
        <v/>
      </c>
      <c r="N3375" s="9"/>
    </row>
    <row r="3376" spans="1:14" ht="15.75">
      <c r="A3376" s="11"/>
      <c r="B3376" s="9"/>
      <c r="C3376" s="12" t="str">
        <f>IF(B3376="","",IFERROR(INDEX('Cashier Roster'!$C$5:$C$64,MATCH(B3376,'Cashier Roster'!$B$5:$B$64,0)),"Not on roster"))</f>
        <v/>
      </c>
      <c r="D3376" s="12" t="str">
        <f>IF(B3376="","",IFERROR(INDEX('Cashier Roster'!$D$5:$D$64,MATCH(B3376,'Cashier Roster'!$B$5:$B$64,0)),""))</f>
        <v/>
      </c>
      <c r="E3376" s="13"/>
      <c r="F3376" s="14"/>
      <c r="G3376" s="8" t="str">
        <f>IF(OR(B3376="",E3376=""),"",IF(E3376="No","Missed",IF(F3376="","",IF(F3376&lt;=Settings!$B$7,"On time","Late"))))</f>
        <v/>
      </c>
      <c r="H3376" s="15"/>
      <c r="I3376" s="16"/>
      <c r="J3376" s="16"/>
      <c r="K3376" s="17" t="str">
        <f>IF(J3376="","",ROUND(J3376*Settings!$B$8,2))</f>
        <v/>
      </c>
      <c r="L3376" s="16"/>
      <c r="M3376" s="8" t="str">
        <f t="shared" si="52"/>
        <v/>
      </c>
      <c r="N3376" s="9"/>
    </row>
    <row r="3377" spans="1:14" ht="15.75">
      <c r="A3377" s="11"/>
      <c r="B3377" s="9"/>
      <c r="C3377" s="12" t="str">
        <f>IF(B3377="","",IFERROR(INDEX('Cashier Roster'!$C$5:$C$64,MATCH(B3377,'Cashier Roster'!$B$5:$B$64,0)),"Not on roster"))</f>
        <v/>
      </c>
      <c r="D3377" s="12" t="str">
        <f>IF(B3377="","",IFERROR(INDEX('Cashier Roster'!$D$5:$D$64,MATCH(B3377,'Cashier Roster'!$B$5:$B$64,0)),""))</f>
        <v/>
      </c>
      <c r="E3377" s="13"/>
      <c r="F3377" s="14"/>
      <c r="G3377" s="8" t="str">
        <f>IF(OR(B3377="",E3377=""),"",IF(E3377="No","Missed",IF(F3377="","",IF(F3377&lt;=Settings!$B$7,"On time","Late"))))</f>
        <v/>
      </c>
      <c r="H3377" s="15"/>
      <c r="I3377" s="16"/>
      <c r="J3377" s="16"/>
      <c r="K3377" s="17" t="str">
        <f>IF(J3377="","",ROUND(J3377*Settings!$B$8,2))</f>
        <v/>
      </c>
      <c r="L3377" s="16"/>
      <c r="M3377" s="8" t="str">
        <f t="shared" si="52"/>
        <v/>
      </c>
      <c r="N3377" s="9"/>
    </row>
    <row r="3378" spans="1:14" ht="15.75">
      <c r="A3378" s="11"/>
      <c r="B3378" s="9"/>
      <c r="C3378" s="12" t="str">
        <f>IF(B3378="","",IFERROR(INDEX('Cashier Roster'!$C$5:$C$64,MATCH(B3378,'Cashier Roster'!$B$5:$B$64,0)),"Not on roster"))</f>
        <v/>
      </c>
      <c r="D3378" s="12" t="str">
        <f>IF(B3378="","",IFERROR(INDEX('Cashier Roster'!$D$5:$D$64,MATCH(B3378,'Cashier Roster'!$B$5:$B$64,0)),""))</f>
        <v/>
      </c>
      <c r="E3378" s="13"/>
      <c r="F3378" s="14"/>
      <c r="G3378" s="8" t="str">
        <f>IF(OR(B3378="",E3378=""),"",IF(E3378="No","Missed",IF(F3378="","",IF(F3378&lt;=Settings!$B$7,"On time","Late"))))</f>
        <v/>
      </c>
      <c r="H3378" s="15"/>
      <c r="I3378" s="16"/>
      <c r="J3378" s="16"/>
      <c r="K3378" s="17" t="str">
        <f>IF(J3378="","",ROUND(J3378*Settings!$B$8,2))</f>
        <v/>
      </c>
      <c r="L3378" s="16"/>
      <c r="M3378" s="8" t="str">
        <f t="shared" si="52"/>
        <v/>
      </c>
      <c r="N3378" s="9"/>
    </row>
    <row r="3379" spans="1:14" ht="15.75">
      <c r="A3379" s="11"/>
      <c r="B3379" s="9"/>
      <c r="C3379" s="12" t="str">
        <f>IF(B3379="","",IFERROR(INDEX('Cashier Roster'!$C$5:$C$64,MATCH(B3379,'Cashier Roster'!$B$5:$B$64,0)),"Not on roster"))</f>
        <v/>
      </c>
      <c r="D3379" s="12" t="str">
        <f>IF(B3379="","",IFERROR(INDEX('Cashier Roster'!$D$5:$D$64,MATCH(B3379,'Cashier Roster'!$B$5:$B$64,0)),""))</f>
        <v/>
      </c>
      <c r="E3379" s="13"/>
      <c r="F3379" s="14"/>
      <c r="G3379" s="8" t="str">
        <f>IF(OR(B3379="",E3379=""),"",IF(E3379="No","Missed",IF(F3379="","",IF(F3379&lt;=Settings!$B$7,"On time","Late"))))</f>
        <v/>
      </c>
      <c r="H3379" s="15"/>
      <c r="I3379" s="16"/>
      <c r="J3379" s="16"/>
      <c r="K3379" s="17" t="str">
        <f>IF(J3379="","",ROUND(J3379*Settings!$B$8,2))</f>
        <v/>
      </c>
      <c r="L3379" s="16"/>
      <c r="M3379" s="8" t="str">
        <f t="shared" si="52"/>
        <v/>
      </c>
      <c r="N3379" s="9"/>
    </row>
    <row r="3380" spans="1:14" ht="15.75">
      <c r="A3380" s="11"/>
      <c r="B3380" s="9"/>
      <c r="C3380" s="12" t="str">
        <f>IF(B3380="","",IFERROR(INDEX('Cashier Roster'!$C$5:$C$64,MATCH(B3380,'Cashier Roster'!$B$5:$B$64,0)),"Not on roster"))</f>
        <v/>
      </c>
      <c r="D3380" s="12" t="str">
        <f>IF(B3380="","",IFERROR(INDEX('Cashier Roster'!$D$5:$D$64,MATCH(B3380,'Cashier Roster'!$B$5:$B$64,0)),""))</f>
        <v/>
      </c>
      <c r="E3380" s="13"/>
      <c r="F3380" s="14"/>
      <c r="G3380" s="8" t="str">
        <f>IF(OR(B3380="",E3380=""),"",IF(E3380="No","Missed",IF(F3380="","",IF(F3380&lt;=Settings!$B$7,"On time","Late"))))</f>
        <v/>
      </c>
      <c r="H3380" s="15"/>
      <c r="I3380" s="16"/>
      <c r="J3380" s="16"/>
      <c r="K3380" s="17" t="str">
        <f>IF(J3380="","",ROUND(J3380*Settings!$B$8,2))</f>
        <v/>
      </c>
      <c r="L3380" s="16"/>
      <c r="M3380" s="8" t="str">
        <f t="shared" si="52"/>
        <v/>
      </c>
      <c r="N3380" s="9"/>
    </row>
    <row r="3381" spans="1:14" ht="15.75">
      <c r="A3381" s="11"/>
      <c r="B3381" s="9"/>
      <c r="C3381" s="12" t="str">
        <f>IF(B3381="","",IFERROR(INDEX('Cashier Roster'!$C$5:$C$64,MATCH(B3381,'Cashier Roster'!$B$5:$B$64,0)),"Not on roster"))</f>
        <v/>
      </c>
      <c r="D3381" s="12" t="str">
        <f>IF(B3381="","",IFERROR(INDEX('Cashier Roster'!$D$5:$D$64,MATCH(B3381,'Cashier Roster'!$B$5:$B$64,0)),""))</f>
        <v/>
      </c>
      <c r="E3381" s="13"/>
      <c r="F3381" s="14"/>
      <c r="G3381" s="8" t="str">
        <f>IF(OR(B3381="",E3381=""),"",IF(E3381="No","Missed",IF(F3381="","",IF(F3381&lt;=Settings!$B$7,"On time","Late"))))</f>
        <v/>
      </c>
      <c r="H3381" s="15"/>
      <c r="I3381" s="16"/>
      <c r="J3381" s="16"/>
      <c r="K3381" s="17" t="str">
        <f>IF(J3381="","",ROUND(J3381*Settings!$B$8,2))</f>
        <v/>
      </c>
      <c r="L3381" s="16"/>
      <c r="M3381" s="8" t="str">
        <f t="shared" si="52"/>
        <v/>
      </c>
      <c r="N3381" s="9"/>
    </row>
    <row r="3382" spans="1:14" ht="15.75">
      <c r="A3382" s="11"/>
      <c r="B3382" s="9"/>
      <c r="C3382" s="12" t="str">
        <f>IF(B3382="","",IFERROR(INDEX('Cashier Roster'!$C$5:$C$64,MATCH(B3382,'Cashier Roster'!$B$5:$B$64,0)),"Not on roster"))</f>
        <v/>
      </c>
      <c r="D3382" s="12" t="str">
        <f>IF(B3382="","",IFERROR(INDEX('Cashier Roster'!$D$5:$D$64,MATCH(B3382,'Cashier Roster'!$B$5:$B$64,0)),""))</f>
        <v/>
      </c>
      <c r="E3382" s="13"/>
      <c r="F3382" s="14"/>
      <c r="G3382" s="8" t="str">
        <f>IF(OR(B3382="",E3382=""),"",IF(E3382="No","Missed",IF(F3382="","",IF(F3382&lt;=Settings!$B$7,"On time","Late"))))</f>
        <v/>
      </c>
      <c r="H3382" s="15"/>
      <c r="I3382" s="16"/>
      <c r="J3382" s="16"/>
      <c r="K3382" s="17" t="str">
        <f>IF(J3382="","",ROUND(J3382*Settings!$B$8,2))</f>
        <v/>
      </c>
      <c r="L3382" s="16"/>
      <c r="M3382" s="8" t="str">
        <f t="shared" si="52"/>
        <v/>
      </c>
      <c r="N3382" s="9"/>
    </row>
    <row r="3383" spans="1:14" ht="15.75">
      <c r="A3383" s="11"/>
      <c r="B3383" s="9"/>
      <c r="C3383" s="12" t="str">
        <f>IF(B3383="","",IFERROR(INDEX('Cashier Roster'!$C$5:$C$64,MATCH(B3383,'Cashier Roster'!$B$5:$B$64,0)),"Not on roster"))</f>
        <v/>
      </c>
      <c r="D3383" s="12" t="str">
        <f>IF(B3383="","",IFERROR(INDEX('Cashier Roster'!$D$5:$D$64,MATCH(B3383,'Cashier Roster'!$B$5:$B$64,0)),""))</f>
        <v/>
      </c>
      <c r="E3383" s="13"/>
      <c r="F3383" s="14"/>
      <c r="G3383" s="8" t="str">
        <f>IF(OR(B3383="",E3383=""),"",IF(E3383="No","Missed",IF(F3383="","",IF(F3383&lt;=Settings!$B$7,"On time","Late"))))</f>
        <v/>
      </c>
      <c r="H3383" s="15"/>
      <c r="I3383" s="16"/>
      <c r="J3383" s="16"/>
      <c r="K3383" s="17" t="str">
        <f>IF(J3383="","",ROUND(J3383*Settings!$B$8,2))</f>
        <v/>
      </c>
      <c r="L3383" s="16"/>
      <c r="M3383" s="8" t="str">
        <f t="shared" si="52"/>
        <v/>
      </c>
      <c r="N3383" s="9"/>
    </row>
    <row r="3384" spans="1:14" ht="15.75">
      <c r="A3384" s="11"/>
      <c r="B3384" s="9"/>
      <c r="C3384" s="12" t="str">
        <f>IF(B3384="","",IFERROR(INDEX('Cashier Roster'!$C$5:$C$64,MATCH(B3384,'Cashier Roster'!$B$5:$B$64,0)),"Not on roster"))</f>
        <v/>
      </c>
      <c r="D3384" s="12" t="str">
        <f>IF(B3384="","",IFERROR(INDEX('Cashier Roster'!$D$5:$D$64,MATCH(B3384,'Cashier Roster'!$B$5:$B$64,0)),""))</f>
        <v/>
      </c>
      <c r="E3384" s="13"/>
      <c r="F3384" s="14"/>
      <c r="G3384" s="8" t="str">
        <f>IF(OR(B3384="",E3384=""),"",IF(E3384="No","Missed",IF(F3384="","",IF(F3384&lt;=Settings!$B$7,"On time","Late"))))</f>
        <v/>
      </c>
      <c r="H3384" s="15"/>
      <c r="I3384" s="16"/>
      <c r="J3384" s="16"/>
      <c r="K3384" s="17" t="str">
        <f>IF(J3384="","",ROUND(J3384*Settings!$B$8,2))</f>
        <v/>
      </c>
      <c r="L3384" s="16"/>
      <c r="M3384" s="8" t="str">
        <f t="shared" si="52"/>
        <v/>
      </c>
      <c r="N3384" s="9"/>
    </row>
    <row r="3385" spans="1:14" ht="15.75">
      <c r="A3385" s="11"/>
      <c r="B3385" s="9"/>
      <c r="C3385" s="12" t="str">
        <f>IF(B3385="","",IFERROR(INDEX('Cashier Roster'!$C$5:$C$64,MATCH(B3385,'Cashier Roster'!$B$5:$B$64,0)),"Not on roster"))</f>
        <v/>
      </c>
      <c r="D3385" s="12" t="str">
        <f>IF(B3385="","",IFERROR(INDEX('Cashier Roster'!$D$5:$D$64,MATCH(B3385,'Cashier Roster'!$B$5:$B$64,0)),""))</f>
        <v/>
      </c>
      <c r="E3385" s="13"/>
      <c r="F3385" s="14"/>
      <c r="G3385" s="8" t="str">
        <f>IF(OR(B3385="",E3385=""),"",IF(E3385="No","Missed",IF(F3385="","",IF(F3385&lt;=Settings!$B$7,"On time","Late"))))</f>
        <v/>
      </c>
      <c r="H3385" s="15"/>
      <c r="I3385" s="16"/>
      <c r="J3385" s="16"/>
      <c r="K3385" s="17" t="str">
        <f>IF(J3385="","",ROUND(J3385*Settings!$B$8,2))</f>
        <v/>
      </c>
      <c r="L3385" s="16"/>
      <c r="M3385" s="8" t="str">
        <f t="shared" si="52"/>
        <v/>
      </c>
      <c r="N3385" s="9"/>
    </row>
    <row r="3386" spans="1:14" ht="15.75">
      <c r="A3386" s="11"/>
      <c r="B3386" s="9"/>
      <c r="C3386" s="12" t="str">
        <f>IF(B3386="","",IFERROR(INDEX('Cashier Roster'!$C$5:$C$64,MATCH(B3386,'Cashier Roster'!$B$5:$B$64,0)),"Not on roster"))</f>
        <v/>
      </c>
      <c r="D3386" s="12" t="str">
        <f>IF(B3386="","",IFERROR(INDEX('Cashier Roster'!$D$5:$D$64,MATCH(B3386,'Cashier Roster'!$B$5:$B$64,0)),""))</f>
        <v/>
      </c>
      <c r="E3386" s="13"/>
      <c r="F3386" s="14"/>
      <c r="G3386" s="8" t="str">
        <f>IF(OR(B3386="",E3386=""),"",IF(E3386="No","Missed",IF(F3386="","",IF(F3386&lt;=Settings!$B$7,"On time","Late"))))</f>
        <v/>
      </c>
      <c r="H3386" s="15"/>
      <c r="I3386" s="16"/>
      <c r="J3386" s="16"/>
      <c r="K3386" s="17" t="str">
        <f>IF(J3386="","",ROUND(J3386*Settings!$B$8,2))</f>
        <v/>
      </c>
      <c r="L3386" s="16"/>
      <c r="M3386" s="8" t="str">
        <f t="shared" si="52"/>
        <v/>
      </c>
      <c r="N3386" s="9"/>
    </row>
    <row r="3387" spans="1:14" ht="15.75">
      <c r="A3387" s="11"/>
      <c r="B3387" s="9"/>
      <c r="C3387" s="12" t="str">
        <f>IF(B3387="","",IFERROR(INDEX('Cashier Roster'!$C$5:$C$64,MATCH(B3387,'Cashier Roster'!$B$5:$B$64,0)),"Not on roster"))</f>
        <v/>
      </c>
      <c r="D3387" s="12" t="str">
        <f>IF(B3387="","",IFERROR(INDEX('Cashier Roster'!$D$5:$D$64,MATCH(B3387,'Cashier Roster'!$B$5:$B$64,0)),""))</f>
        <v/>
      </c>
      <c r="E3387" s="13"/>
      <c r="F3387" s="14"/>
      <c r="G3387" s="8" t="str">
        <f>IF(OR(B3387="",E3387=""),"",IF(E3387="No","Missed",IF(F3387="","",IF(F3387&lt;=Settings!$B$7,"On time","Late"))))</f>
        <v/>
      </c>
      <c r="H3387" s="15"/>
      <c r="I3387" s="16"/>
      <c r="J3387" s="16"/>
      <c r="K3387" s="17" t="str">
        <f>IF(J3387="","",ROUND(J3387*Settings!$B$8,2))</f>
        <v/>
      </c>
      <c r="L3387" s="16"/>
      <c r="M3387" s="8" t="str">
        <f t="shared" si="52"/>
        <v/>
      </c>
      <c r="N3387" s="9"/>
    </row>
    <row r="3388" spans="1:14" ht="15.75">
      <c r="A3388" s="11"/>
      <c r="B3388" s="9"/>
      <c r="C3388" s="12" t="str">
        <f>IF(B3388="","",IFERROR(INDEX('Cashier Roster'!$C$5:$C$64,MATCH(B3388,'Cashier Roster'!$B$5:$B$64,0)),"Not on roster"))</f>
        <v/>
      </c>
      <c r="D3388" s="12" t="str">
        <f>IF(B3388="","",IFERROR(INDEX('Cashier Roster'!$D$5:$D$64,MATCH(B3388,'Cashier Roster'!$B$5:$B$64,0)),""))</f>
        <v/>
      </c>
      <c r="E3388" s="13"/>
      <c r="F3388" s="14"/>
      <c r="G3388" s="8" t="str">
        <f>IF(OR(B3388="",E3388=""),"",IF(E3388="No","Missed",IF(F3388="","",IF(F3388&lt;=Settings!$B$7,"On time","Late"))))</f>
        <v/>
      </c>
      <c r="H3388" s="15"/>
      <c r="I3388" s="16"/>
      <c r="J3388" s="16"/>
      <c r="K3388" s="17" t="str">
        <f>IF(J3388="","",ROUND(J3388*Settings!$B$8,2))</f>
        <v/>
      </c>
      <c r="L3388" s="16"/>
      <c r="M3388" s="8" t="str">
        <f t="shared" si="52"/>
        <v/>
      </c>
      <c r="N3388" s="9"/>
    </row>
    <row r="3389" spans="1:14" ht="15.75">
      <c r="A3389" s="11"/>
      <c r="B3389" s="9"/>
      <c r="C3389" s="12" t="str">
        <f>IF(B3389="","",IFERROR(INDEX('Cashier Roster'!$C$5:$C$64,MATCH(B3389,'Cashier Roster'!$B$5:$B$64,0)),"Not on roster"))</f>
        <v/>
      </c>
      <c r="D3389" s="12" t="str">
        <f>IF(B3389="","",IFERROR(INDEX('Cashier Roster'!$D$5:$D$64,MATCH(B3389,'Cashier Roster'!$B$5:$B$64,0)),""))</f>
        <v/>
      </c>
      <c r="E3389" s="13"/>
      <c r="F3389" s="14"/>
      <c r="G3389" s="8" t="str">
        <f>IF(OR(B3389="",E3389=""),"",IF(E3389="No","Missed",IF(F3389="","",IF(F3389&lt;=Settings!$B$7,"On time","Late"))))</f>
        <v/>
      </c>
      <c r="H3389" s="15"/>
      <c r="I3389" s="16"/>
      <c r="J3389" s="16"/>
      <c r="K3389" s="17" t="str">
        <f>IF(J3389="","",ROUND(J3389*Settings!$B$8,2))</f>
        <v/>
      </c>
      <c r="L3389" s="16"/>
      <c r="M3389" s="8" t="str">
        <f t="shared" si="52"/>
        <v/>
      </c>
      <c r="N3389" s="9"/>
    </row>
    <row r="3390" spans="1:14" ht="15.75">
      <c r="A3390" s="11"/>
      <c r="B3390" s="9"/>
      <c r="C3390" s="12" t="str">
        <f>IF(B3390="","",IFERROR(INDEX('Cashier Roster'!$C$5:$C$64,MATCH(B3390,'Cashier Roster'!$B$5:$B$64,0)),"Not on roster"))</f>
        <v/>
      </c>
      <c r="D3390" s="12" t="str">
        <f>IF(B3390="","",IFERROR(INDEX('Cashier Roster'!$D$5:$D$64,MATCH(B3390,'Cashier Roster'!$B$5:$B$64,0)),""))</f>
        <v/>
      </c>
      <c r="E3390" s="13"/>
      <c r="F3390" s="14"/>
      <c r="G3390" s="8" t="str">
        <f>IF(OR(B3390="",E3390=""),"",IF(E3390="No","Missed",IF(F3390="","",IF(F3390&lt;=Settings!$B$7,"On time","Late"))))</f>
        <v/>
      </c>
      <c r="H3390" s="15"/>
      <c r="I3390" s="16"/>
      <c r="J3390" s="16"/>
      <c r="K3390" s="17" t="str">
        <f>IF(J3390="","",ROUND(J3390*Settings!$B$8,2))</f>
        <v/>
      </c>
      <c r="L3390" s="16"/>
      <c r="M3390" s="8" t="str">
        <f t="shared" si="52"/>
        <v/>
      </c>
      <c r="N3390" s="9"/>
    </row>
    <row r="3391" spans="1:14" ht="15.75">
      <c r="A3391" s="11"/>
      <c r="B3391" s="9"/>
      <c r="C3391" s="12" t="str">
        <f>IF(B3391="","",IFERROR(INDEX('Cashier Roster'!$C$5:$C$64,MATCH(B3391,'Cashier Roster'!$B$5:$B$64,0)),"Not on roster"))</f>
        <v/>
      </c>
      <c r="D3391" s="12" t="str">
        <f>IF(B3391="","",IFERROR(INDEX('Cashier Roster'!$D$5:$D$64,MATCH(B3391,'Cashier Roster'!$B$5:$B$64,0)),""))</f>
        <v/>
      </c>
      <c r="E3391" s="13"/>
      <c r="F3391" s="14"/>
      <c r="G3391" s="8" t="str">
        <f>IF(OR(B3391="",E3391=""),"",IF(E3391="No","Missed",IF(F3391="","",IF(F3391&lt;=Settings!$B$7,"On time","Late"))))</f>
        <v/>
      </c>
      <c r="H3391" s="15"/>
      <c r="I3391" s="16"/>
      <c r="J3391" s="16"/>
      <c r="K3391" s="17" t="str">
        <f>IF(J3391="","",ROUND(J3391*Settings!$B$8,2))</f>
        <v/>
      </c>
      <c r="L3391" s="16"/>
      <c r="M3391" s="8" t="str">
        <f t="shared" si="52"/>
        <v/>
      </c>
      <c r="N3391" s="9"/>
    </row>
    <row r="3392" spans="1:14" ht="15.75">
      <c r="A3392" s="11"/>
      <c r="B3392" s="9"/>
      <c r="C3392" s="12" t="str">
        <f>IF(B3392="","",IFERROR(INDEX('Cashier Roster'!$C$5:$C$64,MATCH(B3392,'Cashier Roster'!$B$5:$B$64,0)),"Not on roster"))</f>
        <v/>
      </c>
      <c r="D3392" s="12" t="str">
        <f>IF(B3392="","",IFERROR(INDEX('Cashier Roster'!$D$5:$D$64,MATCH(B3392,'Cashier Roster'!$B$5:$B$64,0)),""))</f>
        <v/>
      </c>
      <c r="E3392" s="13"/>
      <c r="F3392" s="14"/>
      <c r="G3392" s="8" t="str">
        <f>IF(OR(B3392="",E3392=""),"",IF(E3392="No","Missed",IF(F3392="","",IF(F3392&lt;=Settings!$B$7,"On time","Late"))))</f>
        <v/>
      </c>
      <c r="H3392" s="15"/>
      <c r="I3392" s="16"/>
      <c r="J3392" s="16"/>
      <c r="K3392" s="17" t="str">
        <f>IF(J3392="","",ROUND(J3392*Settings!$B$8,2))</f>
        <v/>
      </c>
      <c r="L3392" s="16"/>
      <c r="M3392" s="8" t="str">
        <f t="shared" si="52"/>
        <v/>
      </c>
      <c r="N3392" s="9"/>
    </row>
    <row r="3393" spans="1:14" ht="15.75">
      <c r="A3393" s="11"/>
      <c r="B3393" s="9"/>
      <c r="C3393" s="12" t="str">
        <f>IF(B3393="","",IFERROR(INDEX('Cashier Roster'!$C$5:$C$64,MATCH(B3393,'Cashier Roster'!$B$5:$B$64,0)),"Not on roster"))</f>
        <v/>
      </c>
      <c r="D3393" s="12" t="str">
        <f>IF(B3393="","",IFERROR(INDEX('Cashier Roster'!$D$5:$D$64,MATCH(B3393,'Cashier Roster'!$B$5:$B$64,0)),""))</f>
        <v/>
      </c>
      <c r="E3393" s="13"/>
      <c r="F3393" s="14"/>
      <c r="G3393" s="8" t="str">
        <f>IF(OR(B3393="",E3393=""),"",IF(E3393="No","Missed",IF(F3393="","",IF(F3393&lt;=Settings!$B$7,"On time","Late"))))</f>
        <v/>
      </c>
      <c r="H3393" s="15"/>
      <c r="I3393" s="16"/>
      <c r="J3393" s="16"/>
      <c r="K3393" s="17" t="str">
        <f>IF(J3393="","",ROUND(J3393*Settings!$B$8,2))</f>
        <v/>
      </c>
      <c r="L3393" s="16"/>
      <c r="M3393" s="8" t="str">
        <f t="shared" si="52"/>
        <v/>
      </c>
      <c r="N3393" s="9"/>
    </row>
    <row r="3394" spans="1:14" ht="15.75">
      <c r="A3394" s="11"/>
      <c r="B3394" s="9"/>
      <c r="C3394" s="12" t="str">
        <f>IF(B3394="","",IFERROR(INDEX('Cashier Roster'!$C$5:$C$64,MATCH(B3394,'Cashier Roster'!$B$5:$B$64,0)),"Not on roster"))</f>
        <v/>
      </c>
      <c r="D3394" s="12" t="str">
        <f>IF(B3394="","",IFERROR(INDEX('Cashier Roster'!$D$5:$D$64,MATCH(B3394,'Cashier Roster'!$B$5:$B$64,0)),""))</f>
        <v/>
      </c>
      <c r="E3394" s="13"/>
      <c r="F3394" s="14"/>
      <c r="G3394" s="8" t="str">
        <f>IF(OR(B3394="",E3394=""),"",IF(E3394="No","Missed",IF(F3394="","",IF(F3394&lt;=Settings!$B$7,"On time","Late"))))</f>
        <v/>
      </c>
      <c r="H3394" s="15"/>
      <c r="I3394" s="16"/>
      <c r="J3394" s="16"/>
      <c r="K3394" s="17" t="str">
        <f>IF(J3394="","",ROUND(J3394*Settings!$B$8,2))</f>
        <v/>
      </c>
      <c r="L3394" s="16"/>
      <c r="M3394" s="8" t="str">
        <f t="shared" si="52"/>
        <v/>
      </c>
      <c r="N3394" s="9"/>
    </row>
    <row r="3395" spans="1:14" ht="15.75">
      <c r="A3395" s="11"/>
      <c r="B3395" s="9"/>
      <c r="C3395" s="12" t="str">
        <f>IF(B3395="","",IFERROR(INDEX('Cashier Roster'!$C$5:$C$64,MATCH(B3395,'Cashier Roster'!$B$5:$B$64,0)),"Not on roster"))</f>
        <v/>
      </c>
      <c r="D3395" s="12" t="str">
        <f>IF(B3395="","",IFERROR(INDEX('Cashier Roster'!$D$5:$D$64,MATCH(B3395,'Cashier Roster'!$B$5:$B$64,0)),""))</f>
        <v/>
      </c>
      <c r="E3395" s="13"/>
      <c r="F3395" s="14"/>
      <c r="G3395" s="8" t="str">
        <f>IF(OR(B3395="",E3395=""),"",IF(E3395="No","Missed",IF(F3395="","",IF(F3395&lt;=Settings!$B$7,"On time","Late"))))</f>
        <v/>
      </c>
      <c r="H3395" s="15"/>
      <c r="I3395" s="16"/>
      <c r="J3395" s="16"/>
      <c r="K3395" s="17" t="str">
        <f>IF(J3395="","",ROUND(J3395*Settings!$B$8,2))</f>
        <v/>
      </c>
      <c r="L3395" s="16"/>
      <c r="M3395" s="8" t="str">
        <f t="shared" si="52"/>
        <v/>
      </c>
      <c r="N3395" s="9"/>
    </row>
    <row r="3396" spans="1:14" ht="15.75">
      <c r="A3396" s="11"/>
      <c r="B3396" s="9"/>
      <c r="C3396" s="12" t="str">
        <f>IF(B3396="","",IFERROR(INDEX('Cashier Roster'!$C$5:$C$64,MATCH(B3396,'Cashier Roster'!$B$5:$B$64,0)),"Not on roster"))</f>
        <v/>
      </c>
      <c r="D3396" s="12" t="str">
        <f>IF(B3396="","",IFERROR(INDEX('Cashier Roster'!$D$5:$D$64,MATCH(B3396,'Cashier Roster'!$B$5:$B$64,0)),""))</f>
        <v/>
      </c>
      <c r="E3396" s="13"/>
      <c r="F3396" s="14"/>
      <c r="G3396" s="8" t="str">
        <f>IF(OR(B3396="",E3396=""),"",IF(E3396="No","Missed",IF(F3396="","",IF(F3396&lt;=Settings!$B$7,"On time","Late"))))</f>
        <v/>
      </c>
      <c r="H3396" s="15"/>
      <c r="I3396" s="16"/>
      <c r="J3396" s="16"/>
      <c r="K3396" s="17" t="str">
        <f>IF(J3396="","",ROUND(J3396*Settings!$B$8,2))</f>
        <v/>
      </c>
      <c r="L3396" s="16"/>
      <c r="M3396" s="8" t="str">
        <f t="shared" si="52"/>
        <v/>
      </c>
      <c r="N3396" s="9"/>
    </row>
    <row r="3397" spans="1:14" ht="15.75">
      <c r="A3397" s="11"/>
      <c r="B3397" s="9"/>
      <c r="C3397" s="12" t="str">
        <f>IF(B3397="","",IFERROR(INDEX('Cashier Roster'!$C$5:$C$64,MATCH(B3397,'Cashier Roster'!$B$5:$B$64,0)),"Not on roster"))</f>
        <v/>
      </c>
      <c r="D3397" s="12" t="str">
        <f>IF(B3397="","",IFERROR(INDEX('Cashier Roster'!$D$5:$D$64,MATCH(B3397,'Cashier Roster'!$B$5:$B$64,0)),""))</f>
        <v/>
      </c>
      <c r="E3397" s="13"/>
      <c r="F3397" s="14"/>
      <c r="G3397" s="8" t="str">
        <f>IF(OR(B3397="",E3397=""),"",IF(E3397="No","Missed",IF(F3397="","",IF(F3397&lt;=Settings!$B$7,"On time","Late"))))</f>
        <v/>
      </c>
      <c r="H3397" s="15"/>
      <c r="I3397" s="16"/>
      <c r="J3397" s="16"/>
      <c r="K3397" s="17" t="str">
        <f>IF(J3397="","",ROUND(J3397*Settings!$B$8,2))</f>
        <v/>
      </c>
      <c r="L3397" s="16"/>
      <c r="M3397" s="8" t="str">
        <f t="shared" ref="M3397:M3460" si="53">IF(L3397="","",IF(L3397&lt;=0,"Yes","No"))</f>
        <v/>
      </c>
      <c r="N3397" s="9"/>
    </row>
    <row r="3398" spans="1:14" ht="15.75">
      <c r="A3398" s="11"/>
      <c r="B3398" s="9"/>
      <c r="C3398" s="12" t="str">
        <f>IF(B3398="","",IFERROR(INDEX('Cashier Roster'!$C$5:$C$64,MATCH(B3398,'Cashier Roster'!$B$5:$B$64,0)),"Not on roster"))</f>
        <v/>
      </c>
      <c r="D3398" s="12" t="str">
        <f>IF(B3398="","",IFERROR(INDEX('Cashier Roster'!$D$5:$D$64,MATCH(B3398,'Cashier Roster'!$B$5:$B$64,0)),""))</f>
        <v/>
      </c>
      <c r="E3398" s="13"/>
      <c r="F3398" s="14"/>
      <c r="G3398" s="8" t="str">
        <f>IF(OR(B3398="",E3398=""),"",IF(E3398="No","Missed",IF(F3398="","",IF(F3398&lt;=Settings!$B$7,"On time","Late"))))</f>
        <v/>
      </c>
      <c r="H3398" s="15"/>
      <c r="I3398" s="16"/>
      <c r="J3398" s="16"/>
      <c r="K3398" s="17" t="str">
        <f>IF(J3398="","",ROUND(J3398*Settings!$B$8,2))</f>
        <v/>
      </c>
      <c r="L3398" s="16"/>
      <c r="M3398" s="8" t="str">
        <f t="shared" si="53"/>
        <v/>
      </c>
      <c r="N3398" s="9"/>
    </row>
    <row r="3399" spans="1:14" ht="15.75">
      <c r="A3399" s="11"/>
      <c r="B3399" s="9"/>
      <c r="C3399" s="12" t="str">
        <f>IF(B3399="","",IFERROR(INDEX('Cashier Roster'!$C$5:$C$64,MATCH(B3399,'Cashier Roster'!$B$5:$B$64,0)),"Not on roster"))</f>
        <v/>
      </c>
      <c r="D3399" s="12" t="str">
        <f>IF(B3399="","",IFERROR(INDEX('Cashier Roster'!$D$5:$D$64,MATCH(B3399,'Cashier Roster'!$B$5:$B$64,0)),""))</f>
        <v/>
      </c>
      <c r="E3399" s="13"/>
      <c r="F3399" s="14"/>
      <c r="G3399" s="8" t="str">
        <f>IF(OR(B3399="",E3399=""),"",IF(E3399="No","Missed",IF(F3399="","",IF(F3399&lt;=Settings!$B$7,"On time","Late"))))</f>
        <v/>
      </c>
      <c r="H3399" s="15"/>
      <c r="I3399" s="16"/>
      <c r="J3399" s="16"/>
      <c r="K3399" s="17" t="str">
        <f>IF(J3399="","",ROUND(J3399*Settings!$B$8,2))</f>
        <v/>
      </c>
      <c r="L3399" s="16"/>
      <c r="M3399" s="8" t="str">
        <f t="shared" si="53"/>
        <v/>
      </c>
      <c r="N3399" s="9"/>
    </row>
    <row r="3400" spans="1:14" ht="15.75">
      <c r="A3400" s="11"/>
      <c r="B3400" s="9"/>
      <c r="C3400" s="12" t="str">
        <f>IF(B3400="","",IFERROR(INDEX('Cashier Roster'!$C$5:$C$64,MATCH(B3400,'Cashier Roster'!$B$5:$B$64,0)),"Not on roster"))</f>
        <v/>
      </c>
      <c r="D3400" s="12" t="str">
        <f>IF(B3400="","",IFERROR(INDEX('Cashier Roster'!$D$5:$D$64,MATCH(B3400,'Cashier Roster'!$B$5:$B$64,0)),""))</f>
        <v/>
      </c>
      <c r="E3400" s="13"/>
      <c r="F3400" s="14"/>
      <c r="G3400" s="8" t="str">
        <f>IF(OR(B3400="",E3400=""),"",IF(E3400="No","Missed",IF(F3400="","",IF(F3400&lt;=Settings!$B$7,"On time","Late"))))</f>
        <v/>
      </c>
      <c r="H3400" s="15"/>
      <c r="I3400" s="16"/>
      <c r="J3400" s="16"/>
      <c r="K3400" s="17" t="str">
        <f>IF(J3400="","",ROUND(J3400*Settings!$B$8,2))</f>
        <v/>
      </c>
      <c r="L3400" s="16"/>
      <c r="M3400" s="8" t="str">
        <f t="shared" si="53"/>
        <v/>
      </c>
      <c r="N3400" s="9"/>
    </row>
    <row r="3401" spans="1:14" ht="15.75">
      <c r="A3401" s="11"/>
      <c r="B3401" s="9"/>
      <c r="C3401" s="12" t="str">
        <f>IF(B3401="","",IFERROR(INDEX('Cashier Roster'!$C$5:$C$64,MATCH(B3401,'Cashier Roster'!$B$5:$B$64,0)),"Not on roster"))</f>
        <v/>
      </c>
      <c r="D3401" s="12" t="str">
        <f>IF(B3401="","",IFERROR(INDEX('Cashier Roster'!$D$5:$D$64,MATCH(B3401,'Cashier Roster'!$B$5:$B$64,0)),""))</f>
        <v/>
      </c>
      <c r="E3401" s="13"/>
      <c r="F3401" s="14"/>
      <c r="G3401" s="8" t="str">
        <f>IF(OR(B3401="",E3401=""),"",IF(E3401="No","Missed",IF(F3401="","",IF(F3401&lt;=Settings!$B$7,"On time","Late"))))</f>
        <v/>
      </c>
      <c r="H3401" s="15"/>
      <c r="I3401" s="16"/>
      <c r="J3401" s="16"/>
      <c r="K3401" s="17" t="str">
        <f>IF(J3401="","",ROUND(J3401*Settings!$B$8,2))</f>
        <v/>
      </c>
      <c r="L3401" s="16"/>
      <c r="M3401" s="8" t="str">
        <f t="shared" si="53"/>
        <v/>
      </c>
      <c r="N3401" s="9"/>
    </row>
    <row r="3402" spans="1:14" ht="15.75">
      <c r="A3402" s="11"/>
      <c r="B3402" s="9"/>
      <c r="C3402" s="12" t="str">
        <f>IF(B3402="","",IFERROR(INDEX('Cashier Roster'!$C$5:$C$64,MATCH(B3402,'Cashier Roster'!$B$5:$B$64,0)),"Not on roster"))</f>
        <v/>
      </c>
      <c r="D3402" s="12" t="str">
        <f>IF(B3402="","",IFERROR(INDEX('Cashier Roster'!$D$5:$D$64,MATCH(B3402,'Cashier Roster'!$B$5:$B$64,0)),""))</f>
        <v/>
      </c>
      <c r="E3402" s="13"/>
      <c r="F3402" s="14"/>
      <c r="G3402" s="8" t="str">
        <f>IF(OR(B3402="",E3402=""),"",IF(E3402="No","Missed",IF(F3402="","",IF(F3402&lt;=Settings!$B$7,"On time","Late"))))</f>
        <v/>
      </c>
      <c r="H3402" s="15"/>
      <c r="I3402" s="16"/>
      <c r="J3402" s="16"/>
      <c r="K3402" s="17" t="str">
        <f>IF(J3402="","",ROUND(J3402*Settings!$B$8,2))</f>
        <v/>
      </c>
      <c r="L3402" s="16"/>
      <c r="M3402" s="8" t="str">
        <f t="shared" si="53"/>
        <v/>
      </c>
      <c r="N3402" s="9"/>
    </row>
    <row r="3403" spans="1:14" ht="15.75">
      <c r="A3403" s="11"/>
      <c r="B3403" s="9"/>
      <c r="C3403" s="12" t="str">
        <f>IF(B3403="","",IFERROR(INDEX('Cashier Roster'!$C$5:$C$64,MATCH(B3403,'Cashier Roster'!$B$5:$B$64,0)),"Not on roster"))</f>
        <v/>
      </c>
      <c r="D3403" s="12" t="str">
        <f>IF(B3403="","",IFERROR(INDEX('Cashier Roster'!$D$5:$D$64,MATCH(B3403,'Cashier Roster'!$B$5:$B$64,0)),""))</f>
        <v/>
      </c>
      <c r="E3403" s="13"/>
      <c r="F3403" s="14"/>
      <c r="G3403" s="8" t="str">
        <f>IF(OR(B3403="",E3403=""),"",IF(E3403="No","Missed",IF(F3403="","",IF(F3403&lt;=Settings!$B$7,"On time","Late"))))</f>
        <v/>
      </c>
      <c r="H3403" s="15"/>
      <c r="I3403" s="16"/>
      <c r="J3403" s="16"/>
      <c r="K3403" s="17" t="str">
        <f>IF(J3403="","",ROUND(J3403*Settings!$B$8,2))</f>
        <v/>
      </c>
      <c r="L3403" s="16"/>
      <c r="M3403" s="8" t="str">
        <f t="shared" si="53"/>
        <v/>
      </c>
      <c r="N3403" s="9"/>
    </row>
    <row r="3404" spans="1:14" ht="15.75">
      <c r="A3404" s="11"/>
      <c r="B3404" s="9"/>
      <c r="C3404" s="12" t="str">
        <f>IF(B3404="","",IFERROR(INDEX('Cashier Roster'!$C$5:$C$64,MATCH(B3404,'Cashier Roster'!$B$5:$B$64,0)),"Not on roster"))</f>
        <v/>
      </c>
      <c r="D3404" s="12" t="str">
        <f>IF(B3404="","",IFERROR(INDEX('Cashier Roster'!$D$5:$D$64,MATCH(B3404,'Cashier Roster'!$B$5:$B$64,0)),""))</f>
        <v/>
      </c>
      <c r="E3404" s="13"/>
      <c r="F3404" s="14"/>
      <c r="G3404" s="8" t="str">
        <f>IF(OR(B3404="",E3404=""),"",IF(E3404="No","Missed",IF(F3404="","",IF(F3404&lt;=Settings!$B$7,"On time","Late"))))</f>
        <v/>
      </c>
      <c r="H3404" s="15"/>
      <c r="I3404" s="16"/>
      <c r="J3404" s="16"/>
      <c r="K3404" s="17" t="str">
        <f>IF(J3404="","",ROUND(J3404*Settings!$B$8,2))</f>
        <v/>
      </c>
      <c r="L3404" s="16"/>
      <c r="M3404" s="8" t="str">
        <f t="shared" si="53"/>
        <v/>
      </c>
      <c r="N3404" s="9"/>
    </row>
    <row r="3405" spans="1:14" ht="15.75">
      <c r="A3405" s="11"/>
      <c r="B3405" s="9"/>
      <c r="C3405" s="12" t="str">
        <f>IF(B3405="","",IFERROR(INDEX('Cashier Roster'!$C$5:$C$64,MATCH(B3405,'Cashier Roster'!$B$5:$B$64,0)),"Not on roster"))</f>
        <v/>
      </c>
      <c r="D3405" s="12" t="str">
        <f>IF(B3405="","",IFERROR(INDEX('Cashier Roster'!$D$5:$D$64,MATCH(B3405,'Cashier Roster'!$B$5:$B$64,0)),""))</f>
        <v/>
      </c>
      <c r="E3405" s="13"/>
      <c r="F3405" s="14"/>
      <c r="G3405" s="8" t="str">
        <f>IF(OR(B3405="",E3405=""),"",IF(E3405="No","Missed",IF(F3405="","",IF(F3405&lt;=Settings!$B$7,"On time","Late"))))</f>
        <v/>
      </c>
      <c r="H3405" s="15"/>
      <c r="I3405" s="16"/>
      <c r="J3405" s="16"/>
      <c r="K3405" s="17" t="str">
        <f>IF(J3405="","",ROUND(J3405*Settings!$B$8,2))</f>
        <v/>
      </c>
      <c r="L3405" s="16"/>
      <c r="M3405" s="8" t="str">
        <f t="shared" si="53"/>
        <v/>
      </c>
      <c r="N3405" s="9"/>
    </row>
    <row r="3406" spans="1:14" ht="15.75">
      <c r="A3406" s="11"/>
      <c r="B3406" s="9"/>
      <c r="C3406" s="12" t="str">
        <f>IF(B3406="","",IFERROR(INDEX('Cashier Roster'!$C$5:$C$64,MATCH(B3406,'Cashier Roster'!$B$5:$B$64,0)),"Not on roster"))</f>
        <v/>
      </c>
      <c r="D3406" s="12" t="str">
        <f>IF(B3406="","",IFERROR(INDEX('Cashier Roster'!$D$5:$D$64,MATCH(B3406,'Cashier Roster'!$B$5:$B$64,0)),""))</f>
        <v/>
      </c>
      <c r="E3406" s="13"/>
      <c r="F3406" s="14"/>
      <c r="G3406" s="8" t="str">
        <f>IF(OR(B3406="",E3406=""),"",IF(E3406="No","Missed",IF(F3406="","",IF(F3406&lt;=Settings!$B$7,"On time","Late"))))</f>
        <v/>
      </c>
      <c r="H3406" s="15"/>
      <c r="I3406" s="16"/>
      <c r="J3406" s="16"/>
      <c r="K3406" s="17" t="str">
        <f>IF(J3406="","",ROUND(J3406*Settings!$B$8,2))</f>
        <v/>
      </c>
      <c r="L3406" s="16"/>
      <c r="M3406" s="8" t="str">
        <f t="shared" si="53"/>
        <v/>
      </c>
      <c r="N3406" s="9"/>
    </row>
    <row r="3407" spans="1:14" ht="15.75">
      <c r="A3407" s="11"/>
      <c r="B3407" s="9"/>
      <c r="C3407" s="12" t="str">
        <f>IF(B3407="","",IFERROR(INDEX('Cashier Roster'!$C$5:$C$64,MATCH(B3407,'Cashier Roster'!$B$5:$B$64,0)),"Not on roster"))</f>
        <v/>
      </c>
      <c r="D3407" s="12" t="str">
        <f>IF(B3407="","",IFERROR(INDEX('Cashier Roster'!$D$5:$D$64,MATCH(B3407,'Cashier Roster'!$B$5:$B$64,0)),""))</f>
        <v/>
      </c>
      <c r="E3407" s="13"/>
      <c r="F3407" s="14"/>
      <c r="G3407" s="8" t="str">
        <f>IF(OR(B3407="",E3407=""),"",IF(E3407="No","Missed",IF(F3407="","",IF(F3407&lt;=Settings!$B$7,"On time","Late"))))</f>
        <v/>
      </c>
      <c r="H3407" s="15"/>
      <c r="I3407" s="16"/>
      <c r="J3407" s="16"/>
      <c r="K3407" s="17" t="str">
        <f>IF(J3407="","",ROUND(J3407*Settings!$B$8,2))</f>
        <v/>
      </c>
      <c r="L3407" s="16"/>
      <c r="M3407" s="8" t="str">
        <f t="shared" si="53"/>
        <v/>
      </c>
      <c r="N3407" s="9"/>
    </row>
    <row r="3408" spans="1:14" ht="15.75">
      <c r="A3408" s="11"/>
      <c r="B3408" s="9"/>
      <c r="C3408" s="12" t="str">
        <f>IF(B3408="","",IFERROR(INDEX('Cashier Roster'!$C$5:$C$64,MATCH(B3408,'Cashier Roster'!$B$5:$B$64,0)),"Not on roster"))</f>
        <v/>
      </c>
      <c r="D3408" s="12" t="str">
        <f>IF(B3408="","",IFERROR(INDEX('Cashier Roster'!$D$5:$D$64,MATCH(B3408,'Cashier Roster'!$B$5:$B$64,0)),""))</f>
        <v/>
      </c>
      <c r="E3408" s="13"/>
      <c r="F3408" s="14"/>
      <c r="G3408" s="8" t="str">
        <f>IF(OR(B3408="",E3408=""),"",IF(E3408="No","Missed",IF(F3408="","",IF(F3408&lt;=Settings!$B$7,"On time","Late"))))</f>
        <v/>
      </c>
      <c r="H3408" s="15"/>
      <c r="I3408" s="16"/>
      <c r="J3408" s="16"/>
      <c r="K3408" s="17" t="str">
        <f>IF(J3408="","",ROUND(J3408*Settings!$B$8,2))</f>
        <v/>
      </c>
      <c r="L3408" s="16"/>
      <c r="M3408" s="8" t="str">
        <f t="shared" si="53"/>
        <v/>
      </c>
      <c r="N3408" s="9"/>
    </row>
    <row r="3409" spans="1:14" ht="15.75">
      <c r="A3409" s="11"/>
      <c r="B3409" s="9"/>
      <c r="C3409" s="12" t="str">
        <f>IF(B3409="","",IFERROR(INDEX('Cashier Roster'!$C$5:$C$64,MATCH(B3409,'Cashier Roster'!$B$5:$B$64,0)),"Not on roster"))</f>
        <v/>
      </c>
      <c r="D3409" s="12" t="str">
        <f>IF(B3409="","",IFERROR(INDEX('Cashier Roster'!$D$5:$D$64,MATCH(B3409,'Cashier Roster'!$B$5:$B$64,0)),""))</f>
        <v/>
      </c>
      <c r="E3409" s="13"/>
      <c r="F3409" s="14"/>
      <c r="G3409" s="8" t="str">
        <f>IF(OR(B3409="",E3409=""),"",IF(E3409="No","Missed",IF(F3409="","",IF(F3409&lt;=Settings!$B$7,"On time","Late"))))</f>
        <v/>
      </c>
      <c r="H3409" s="15"/>
      <c r="I3409" s="16"/>
      <c r="J3409" s="16"/>
      <c r="K3409" s="17" t="str">
        <f>IF(J3409="","",ROUND(J3409*Settings!$B$8,2))</f>
        <v/>
      </c>
      <c r="L3409" s="16"/>
      <c r="M3409" s="8" t="str">
        <f t="shared" si="53"/>
        <v/>
      </c>
      <c r="N3409" s="9"/>
    </row>
    <row r="3410" spans="1:14" ht="15.75">
      <c r="A3410" s="11"/>
      <c r="B3410" s="9"/>
      <c r="C3410" s="12" t="str">
        <f>IF(B3410="","",IFERROR(INDEX('Cashier Roster'!$C$5:$C$64,MATCH(B3410,'Cashier Roster'!$B$5:$B$64,0)),"Not on roster"))</f>
        <v/>
      </c>
      <c r="D3410" s="12" t="str">
        <f>IF(B3410="","",IFERROR(INDEX('Cashier Roster'!$D$5:$D$64,MATCH(B3410,'Cashier Roster'!$B$5:$B$64,0)),""))</f>
        <v/>
      </c>
      <c r="E3410" s="13"/>
      <c r="F3410" s="14"/>
      <c r="G3410" s="8" t="str">
        <f>IF(OR(B3410="",E3410=""),"",IF(E3410="No","Missed",IF(F3410="","",IF(F3410&lt;=Settings!$B$7,"On time","Late"))))</f>
        <v/>
      </c>
      <c r="H3410" s="15"/>
      <c r="I3410" s="16"/>
      <c r="J3410" s="16"/>
      <c r="K3410" s="17" t="str">
        <f>IF(J3410="","",ROUND(J3410*Settings!$B$8,2))</f>
        <v/>
      </c>
      <c r="L3410" s="16"/>
      <c r="M3410" s="8" t="str">
        <f t="shared" si="53"/>
        <v/>
      </c>
      <c r="N3410" s="9"/>
    </row>
    <row r="3411" spans="1:14" ht="15.75">
      <c r="A3411" s="11"/>
      <c r="B3411" s="9"/>
      <c r="C3411" s="12" t="str">
        <f>IF(B3411="","",IFERROR(INDEX('Cashier Roster'!$C$5:$C$64,MATCH(B3411,'Cashier Roster'!$B$5:$B$64,0)),"Not on roster"))</f>
        <v/>
      </c>
      <c r="D3411" s="12" t="str">
        <f>IF(B3411="","",IFERROR(INDEX('Cashier Roster'!$D$5:$D$64,MATCH(B3411,'Cashier Roster'!$B$5:$B$64,0)),""))</f>
        <v/>
      </c>
      <c r="E3411" s="13"/>
      <c r="F3411" s="14"/>
      <c r="G3411" s="8" t="str">
        <f>IF(OR(B3411="",E3411=""),"",IF(E3411="No","Missed",IF(F3411="","",IF(F3411&lt;=Settings!$B$7,"On time","Late"))))</f>
        <v/>
      </c>
      <c r="H3411" s="15"/>
      <c r="I3411" s="16"/>
      <c r="J3411" s="16"/>
      <c r="K3411" s="17" t="str">
        <f>IF(J3411="","",ROUND(J3411*Settings!$B$8,2))</f>
        <v/>
      </c>
      <c r="L3411" s="16"/>
      <c r="M3411" s="8" t="str">
        <f t="shared" si="53"/>
        <v/>
      </c>
      <c r="N3411" s="9"/>
    </row>
    <row r="3412" spans="1:14" ht="15.75">
      <c r="A3412" s="11"/>
      <c r="B3412" s="9"/>
      <c r="C3412" s="12" t="str">
        <f>IF(B3412="","",IFERROR(INDEX('Cashier Roster'!$C$5:$C$64,MATCH(B3412,'Cashier Roster'!$B$5:$B$64,0)),"Not on roster"))</f>
        <v/>
      </c>
      <c r="D3412" s="12" t="str">
        <f>IF(B3412="","",IFERROR(INDEX('Cashier Roster'!$D$5:$D$64,MATCH(B3412,'Cashier Roster'!$B$5:$B$64,0)),""))</f>
        <v/>
      </c>
      <c r="E3412" s="13"/>
      <c r="F3412" s="14"/>
      <c r="G3412" s="8" t="str">
        <f>IF(OR(B3412="",E3412=""),"",IF(E3412="No","Missed",IF(F3412="","",IF(F3412&lt;=Settings!$B$7,"On time","Late"))))</f>
        <v/>
      </c>
      <c r="H3412" s="15"/>
      <c r="I3412" s="16"/>
      <c r="J3412" s="16"/>
      <c r="K3412" s="17" t="str">
        <f>IF(J3412="","",ROUND(J3412*Settings!$B$8,2))</f>
        <v/>
      </c>
      <c r="L3412" s="16"/>
      <c r="M3412" s="8" t="str">
        <f t="shared" si="53"/>
        <v/>
      </c>
      <c r="N3412" s="9"/>
    </row>
    <row r="3413" spans="1:14" ht="15.75">
      <c r="A3413" s="11"/>
      <c r="B3413" s="9"/>
      <c r="C3413" s="12" t="str">
        <f>IF(B3413="","",IFERROR(INDEX('Cashier Roster'!$C$5:$C$64,MATCH(B3413,'Cashier Roster'!$B$5:$B$64,0)),"Not on roster"))</f>
        <v/>
      </c>
      <c r="D3413" s="12" t="str">
        <f>IF(B3413="","",IFERROR(INDEX('Cashier Roster'!$D$5:$D$64,MATCH(B3413,'Cashier Roster'!$B$5:$B$64,0)),""))</f>
        <v/>
      </c>
      <c r="E3413" s="13"/>
      <c r="F3413" s="14"/>
      <c r="G3413" s="8" t="str">
        <f>IF(OR(B3413="",E3413=""),"",IF(E3413="No","Missed",IF(F3413="","",IF(F3413&lt;=Settings!$B$7,"On time","Late"))))</f>
        <v/>
      </c>
      <c r="H3413" s="15"/>
      <c r="I3413" s="16"/>
      <c r="J3413" s="16"/>
      <c r="K3413" s="17" t="str">
        <f>IF(J3413="","",ROUND(J3413*Settings!$B$8,2))</f>
        <v/>
      </c>
      <c r="L3413" s="16"/>
      <c r="M3413" s="8" t="str">
        <f t="shared" si="53"/>
        <v/>
      </c>
      <c r="N3413" s="9"/>
    </row>
    <row r="3414" spans="1:14" ht="15.75">
      <c r="A3414" s="11"/>
      <c r="B3414" s="9"/>
      <c r="C3414" s="12" t="str">
        <f>IF(B3414="","",IFERROR(INDEX('Cashier Roster'!$C$5:$C$64,MATCH(B3414,'Cashier Roster'!$B$5:$B$64,0)),"Not on roster"))</f>
        <v/>
      </c>
      <c r="D3414" s="12" t="str">
        <f>IF(B3414="","",IFERROR(INDEX('Cashier Roster'!$D$5:$D$64,MATCH(B3414,'Cashier Roster'!$B$5:$B$64,0)),""))</f>
        <v/>
      </c>
      <c r="E3414" s="13"/>
      <c r="F3414" s="14"/>
      <c r="G3414" s="8" t="str">
        <f>IF(OR(B3414="",E3414=""),"",IF(E3414="No","Missed",IF(F3414="","",IF(F3414&lt;=Settings!$B$7,"On time","Late"))))</f>
        <v/>
      </c>
      <c r="H3414" s="15"/>
      <c r="I3414" s="16"/>
      <c r="J3414" s="16"/>
      <c r="K3414" s="17" t="str">
        <f>IF(J3414="","",ROUND(J3414*Settings!$B$8,2))</f>
        <v/>
      </c>
      <c r="L3414" s="16"/>
      <c r="M3414" s="8" t="str">
        <f t="shared" si="53"/>
        <v/>
      </c>
      <c r="N3414" s="9"/>
    </row>
    <row r="3415" spans="1:14" ht="15.75">
      <c r="A3415" s="11"/>
      <c r="B3415" s="9"/>
      <c r="C3415" s="12" t="str">
        <f>IF(B3415="","",IFERROR(INDEX('Cashier Roster'!$C$5:$C$64,MATCH(B3415,'Cashier Roster'!$B$5:$B$64,0)),"Not on roster"))</f>
        <v/>
      </c>
      <c r="D3415" s="12" t="str">
        <f>IF(B3415="","",IFERROR(INDEX('Cashier Roster'!$D$5:$D$64,MATCH(B3415,'Cashier Roster'!$B$5:$B$64,0)),""))</f>
        <v/>
      </c>
      <c r="E3415" s="13"/>
      <c r="F3415" s="14"/>
      <c r="G3415" s="8" t="str">
        <f>IF(OR(B3415="",E3415=""),"",IF(E3415="No","Missed",IF(F3415="","",IF(F3415&lt;=Settings!$B$7,"On time","Late"))))</f>
        <v/>
      </c>
      <c r="H3415" s="15"/>
      <c r="I3415" s="16"/>
      <c r="J3415" s="16"/>
      <c r="K3415" s="17" t="str">
        <f>IF(J3415="","",ROUND(J3415*Settings!$B$8,2))</f>
        <v/>
      </c>
      <c r="L3415" s="16"/>
      <c r="M3415" s="8" t="str">
        <f t="shared" si="53"/>
        <v/>
      </c>
      <c r="N3415" s="9"/>
    </row>
    <row r="3416" spans="1:14" ht="15.75">
      <c r="A3416" s="11"/>
      <c r="B3416" s="9"/>
      <c r="C3416" s="12" t="str">
        <f>IF(B3416="","",IFERROR(INDEX('Cashier Roster'!$C$5:$C$64,MATCH(B3416,'Cashier Roster'!$B$5:$B$64,0)),"Not on roster"))</f>
        <v/>
      </c>
      <c r="D3416" s="12" t="str">
        <f>IF(B3416="","",IFERROR(INDEX('Cashier Roster'!$D$5:$D$64,MATCH(B3416,'Cashier Roster'!$B$5:$B$64,0)),""))</f>
        <v/>
      </c>
      <c r="E3416" s="13"/>
      <c r="F3416" s="14"/>
      <c r="G3416" s="8" t="str">
        <f>IF(OR(B3416="",E3416=""),"",IF(E3416="No","Missed",IF(F3416="","",IF(F3416&lt;=Settings!$B$7,"On time","Late"))))</f>
        <v/>
      </c>
      <c r="H3416" s="15"/>
      <c r="I3416" s="16"/>
      <c r="J3416" s="16"/>
      <c r="K3416" s="17" t="str">
        <f>IF(J3416="","",ROUND(J3416*Settings!$B$8,2))</f>
        <v/>
      </c>
      <c r="L3416" s="16"/>
      <c r="M3416" s="8" t="str">
        <f t="shared" si="53"/>
        <v/>
      </c>
      <c r="N3416" s="9"/>
    </row>
    <row r="3417" spans="1:14" ht="15.75">
      <c r="A3417" s="11"/>
      <c r="B3417" s="9"/>
      <c r="C3417" s="12" t="str">
        <f>IF(B3417="","",IFERROR(INDEX('Cashier Roster'!$C$5:$C$64,MATCH(B3417,'Cashier Roster'!$B$5:$B$64,0)),"Not on roster"))</f>
        <v/>
      </c>
      <c r="D3417" s="12" t="str">
        <f>IF(B3417="","",IFERROR(INDEX('Cashier Roster'!$D$5:$D$64,MATCH(B3417,'Cashier Roster'!$B$5:$B$64,0)),""))</f>
        <v/>
      </c>
      <c r="E3417" s="13"/>
      <c r="F3417" s="14"/>
      <c r="G3417" s="8" t="str">
        <f>IF(OR(B3417="",E3417=""),"",IF(E3417="No","Missed",IF(F3417="","",IF(F3417&lt;=Settings!$B$7,"On time","Late"))))</f>
        <v/>
      </c>
      <c r="H3417" s="15"/>
      <c r="I3417" s="16"/>
      <c r="J3417" s="16"/>
      <c r="K3417" s="17" t="str">
        <f>IF(J3417="","",ROUND(J3417*Settings!$B$8,2))</f>
        <v/>
      </c>
      <c r="L3417" s="16"/>
      <c r="M3417" s="8" t="str">
        <f t="shared" si="53"/>
        <v/>
      </c>
      <c r="N3417" s="9"/>
    </row>
    <row r="3418" spans="1:14" ht="15.75">
      <c r="A3418" s="11"/>
      <c r="B3418" s="9"/>
      <c r="C3418" s="12" t="str">
        <f>IF(B3418="","",IFERROR(INDEX('Cashier Roster'!$C$5:$C$64,MATCH(B3418,'Cashier Roster'!$B$5:$B$64,0)),"Not on roster"))</f>
        <v/>
      </c>
      <c r="D3418" s="12" t="str">
        <f>IF(B3418="","",IFERROR(INDEX('Cashier Roster'!$D$5:$D$64,MATCH(B3418,'Cashier Roster'!$B$5:$B$64,0)),""))</f>
        <v/>
      </c>
      <c r="E3418" s="13"/>
      <c r="F3418" s="14"/>
      <c r="G3418" s="8" t="str">
        <f>IF(OR(B3418="",E3418=""),"",IF(E3418="No","Missed",IF(F3418="","",IF(F3418&lt;=Settings!$B$7,"On time","Late"))))</f>
        <v/>
      </c>
      <c r="H3418" s="15"/>
      <c r="I3418" s="16"/>
      <c r="J3418" s="16"/>
      <c r="K3418" s="17" t="str">
        <f>IF(J3418="","",ROUND(J3418*Settings!$B$8,2))</f>
        <v/>
      </c>
      <c r="L3418" s="16"/>
      <c r="M3418" s="8" t="str">
        <f t="shared" si="53"/>
        <v/>
      </c>
      <c r="N3418" s="9"/>
    </row>
    <row r="3419" spans="1:14" ht="15.75">
      <c r="A3419" s="11"/>
      <c r="B3419" s="9"/>
      <c r="C3419" s="12" t="str">
        <f>IF(B3419="","",IFERROR(INDEX('Cashier Roster'!$C$5:$C$64,MATCH(B3419,'Cashier Roster'!$B$5:$B$64,0)),"Not on roster"))</f>
        <v/>
      </c>
      <c r="D3419" s="12" t="str">
        <f>IF(B3419="","",IFERROR(INDEX('Cashier Roster'!$D$5:$D$64,MATCH(B3419,'Cashier Roster'!$B$5:$B$64,0)),""))</f>
        <v/>
      </c>
      <c r="E3419" s="13"/>
      <c r="F3419" s="14"/>
      <c r="G3419" s="8" t="str">
        <f>IF(OR(B3419="",E3419=""),"",IF(E3419="No","Missed",IF(F3419="","",IF(F3419&lt;=Settings!$B$7,"On time","Late"))))</f>
        <v/>
      </c>
      <c r="H3419" s="15"/>
      <c r="I3419" s="16"/>
      <c r="J3419" s="16"/>
      <c r="K3419" s="17" t="str">
        <f>IF(J3419="","",ROUND(J3419*Settings!$B$8,2))</f>
        <v/>
      </c>
      <c r="L3419" s="16"/>
      <c r="M3419" s="8" t="str">
        <f t="shared" si="53"/>
        <v/>
      </c>
      <c r="N3419" s="9"/>
    </row>
    <row r="3420" spans="1:14" ht="15.75">
      <c r="A3420" s="11"/>
      <c r="B3420" s="9"/>
      <c r="C3420" s="12" t="str">
        <f>IF(B3420="","",IFERROR(INDEX('Cashier Roster'!$C$5:$C$64,MATCH(B3420,'Cashier Roster'!$B$5:$B$64,0)),"Not on roster"))</f>
        <v/>
      </c>
      <c r="D3420" s="12" t="str">
        <f>IF(B3420="","",IFERROR(INDEX('Cashier Roster'!$D$5:$D$64,MATCH(B3420,'Cashier Roster'!$B$5:$B$64,0)),""))</f>
        <v/>
      </c>
      <c r="E3420" s="13"/>
      <c r="F3420" s="14"/>
      <c r="G3420" s="8" t="str">
        <f>IF(OR(B3420="",E3420=""),"",IF(E3420="No","Missed",IF(F3420="","",IF(F3420&lt;=Settings!$B$7,"On time","Late"))))</f>
        <v/>
      </c>
      <c r="H3420" s="15"/>
      <c r="I3420" s="16"/>
      <c r="J3420" s="16"/>
      <c r="K3420" s="17" t="str">
        <f>IF(J3420="","",ROUND(J3420*Settings!$B$8,2))</f>
        <v/>
      </c>
      <c r="L3420" s="16"/>
      <c r="M3420" s="8" t="str">
        <f t="shared" si="53"/>
        <v/>
      </c>
      <c r="N3420" s="9"/>
    </row>
    <row r="3421" spans="1:14" ht="15.75">
      <c r="A3421" s="11"/>
      <c r="B3421" s="9"/>
      <c r="C3421" s="12" t="str">
        <f>IF(B3421="","",IFERROR(INDEX('Cashier Roster'!$C$5:$C$64,MATCH(B3421,'Cashier Roster'!$B$5:$B$64,0)),"Not on roster"))</f>
        <v/>
      </c>
      <c r="D3421" s="12" t="str">
        <f>IF(B3421="","",IFERROR(INDEX('Cashier Roster'!$D$5:$D$64,MATCH(B3421,'Cashier Roster'!$B$5:$B$64,0)),""))</f>
        <v/>
      </c>
      <c r="E3421" s="13"/>
      <c r="F3421" s="14"/>
      <c r="G3421" s="8" t="str">
        <f>IF(OR(B3421="",E3421=""),"",IF(E3421="No","Missed",IF(F3421="","",IF(F3421&lt;=Settings!$B$7,"On time","Late"))))</f>
        <v/>
      </c>
      <c r="H3421" s="15"/>
      <c r="I3421" s="16"/>
      <c r="J3421" s="16"/>
      <c r="K3421" s="17" t="str">
        <f>IF(J3421="","",ROUND(J3421*Settings!$B$8,2))</f>
        <v/>
      </c>
      <c r="L3421" s="16"/>
      <c r="M3421" s="8" t="str">
        <f t="shared" si="53"/>
        <v/>
      </c>
      <c r="N3421" s="9"/>
    </row>
    <row r="3422" spans="1:14" ht="15.75">
      <c r="A3422" s="11"/>
      <c r="B3422" s="9"/>
      <c r="C3422" s="12" t="str">
        <f>IF(B3422="","",IFERROR(INDEX('Cashier Roster'!$C$5:$C$64,MATCH(B3422,'Cashier Roster'!$B$5:$B$64,0)),"Not on roster"))</f>
        <v/>
      </c>
      <c r="D3422" s="12" t="str">
        <f>IF(B3422="","",IFERROR(INDEX('Cashier Roster'!$D$5:$D$64,MATCH(B3422,'Cashier Roster'!$B$5:$B$64,0)),""))</f>
        <v/>
      </c>
      <c r="E3422" s="13"/>
      <c r="F3422" s="14"/>
      <c r="G3422" s="8" t="str">
        <f>IF(OR(B3422="",E3422=""),"",IF(E3422="No","Missed",IF(F3422="","",IF(F3422&lt;=Settings!$B$7,"On time","Late"))))</f>
        <v/>
      </c>
      <c r="H3422" s="15"/>
      <c r="I3422" s="16"/>
      <c r="J3422" s="16"/>
      <c r="K3422" s="17" t="str">
        <f>IF(J3422="","",ROUND(J3422*Settings!$B$8,2))</f>
        <v/>
      </c>
      <c r="L3422" s="16"/>
      <c r="M3422" s="8" t="str">
        <f t="shared" si="53"/>
        <v/>
      </c>
      <c r="N3422" s="9"/>
    </row>
    <row r="3423" spans="1:14" ht="15.75">
      <c r="A3423" s="11"/>
      <c r="B3423" s="9"/>
      <c r="C3423" s="12" t="str">
        <f>IF(B3423="","",IFERROR(INDEX('Cashier Roster'!$C$5:$C$64,MATCH(B3423,'Cashier Roster'!$B$5:$B$64,0)),"Not on roster"))</f>
        <v/>
      </c>
      <c r="D3423" s="12" t="str">
        <f>IF(B3423="","",IFERROR(INDEX('Cashier Roster'!$D$5:$D$64,MATCH(B3423,'Cashier Roster'!$B$5:$B$64,0)),""))</f>
        <v/>
      </c>
      <c r="E3423" s="13"/>
      <c r="F3423" s="14"/>
      <c r="G3423" s="8" t="str">
        <f>IF(OR(B3423="",E3423=""),"",IF(E3423="No","Missed",IF(F3423="","",IF(F3423&lt;=Settings!$B$7,"On time","Late"))))</f>
        <v/>
      </c>
      <c r="H3423" s="15"/>
      <c r="I3423" s="16"/>
      <c r="J3423" s="16"/>
      <c r="K3423" s="17" t="str">
        <f>IF(J3423="","",ROUND(J3423*Settings!$B$8,2))</f>
        <v/>
      </c>
      <c r="L3423" s="16"/>
      <c r="M3423" s="8" t="str">
        <f t="shared" si="53"/>
        <v/>
      </c>
      <c r="N3423" s="9"/>
    </row>
    <row r="3424" spans="1:14" ht="15.75">
      <c r="A3424" s="11"/>
      <c r="B3424" s="9"/>
      <c r="C3424" s="12" t="str">
        <f>IF(B3424="","",IFERROR(INDEX('Cashier Roster'!$C$5:$C$64,MATCH(B3424,'Cashier Roster'!$B$5:$B$64,0)),"Not on roster"))</f>
        <v/>
      </c>
      <c r="D3424" s="12" t="str">
        <f>IF(B3424="","",IFERROR(INDEX('Cashier Roster'!$D$5:$D$64,MATCH(B3424,'Cashier Roster'!$B$5:$B$64,0)),""))</f>
        <v/>
      </c>
      <c r="E3424" s="13"/>
      <c r="F3424" s="14"/>
      <c r="G3424" s="8" t="str">
        <f>IF(OR(B3424="",E3424=""),"",IF(E3424="No","Missed",IF(F3424="","",IF(F3424&lt;=Settings!$B$7,"On time","Late"))))</f>
        <v/>
      </c>
      <c r="H3424" s="15"/>
      <c r="I3424" s="16"/>
      <c r="J3424" s="16"/>
      <c r="K3424" s="17" t="str">
        <f>IF(J3424="","",ROUND(J3424*Settings!$B$8,2))</f>
        <v/>
      </c>
      <c r="L3424" s="16"/>
      <c r="M3424" s="8" t="str">
        <f t="shared" si="53"/>
        <v/>
      </c>
      <c r="N3424" s="9"/>
    </row>
    <row r="3425" spans="1:14" ht="15.75">
      <c r="A3425" s="11"/>
      <c r="B3425" s="9"/>
      <c r="C3425" s="12" t="str">
        <f>IF(B3425="","",IFERROR(INDEX('Cashier Roster'!$C$5:$C$64,MATCH(B3425,'Cashier Roster'!$B$5:$B$64,0)),"Not on roster"))</f>
        <v/>
      </c>
      <c r="D3425" s="12" t="str">
        <f>IF(B3425="","",IFERROR(INDEX('Cashier Roster'!$D$5:$D$64,MATCH(B3425,'Cashier Roster'!$B$5:$B$64,0)),""))</f>
        <v/>
      </c>
      <c r="E3425" s="13"/>
      <c r="F3425" s="14"/>
      <c r="G3425" s="8" t="str">
        <f>IF(OR(B3425="",E3425=""),"",IF(E3425="No","Missed",IF(F3425="","",IF(F3425&lt;=Settings!$B$7,"On time","Late"))))</f>
        <v/>
      </c>
      <c r="H3425" s="15"/>
      <c r="I3425" s="16"/>
      <c r="J3425" s="16"/>
      <c r="K3425" s="17" t="str">
        <f>IF(J3425="","",ROUND(J3425*Settings!$B$8,2))</f>
        <v/>
      </c>
      <c r="L3425" s="16"/>
      <c r="M3425" s="8" t="str">
        <f t="shared" si="53"/>
        <v/>
      </c>
      <c r="N3425" s="9"/>
    </row>
    <row r="3426" spans="1:14" ht="15.75">
      <c r="A3426" s="11"/>
      <c r="B3426" s="9"/>
      <c r="C3426" s="12" t="str">
        <f>IF(B3426="","",IFERROR(INDEX('Cashier Roster'!$C$5:$C$64,MATCH(B3426,'Cashier Roster'!$B$5:$B$64,0)),"Not on roster"))</f>
        <v/>
      </c>
      <c r="D3426" s="12" t="str">
        <f>IF(B3426="","",IFERROR(INDEX('Cashier Roster'!$D$5:$D$64,MATCH(B3426,'Cashier Roster'!$B$5:$B$64,0)),""))</f>
        <v/>
      </c>
      <c r="E3426" s="13"/>
      <c r="F3426" s="14"/>
      <c r="G3426" s="8" t="str">
        <f>IF(OR(B3426="",E3426=""),"",IF(E3426="No","Missed",IF(F3426="","",IF(F3426&lt;=Settings!$B$7,"On time","Late"))))</f>
        <v/>
      </c>
      <c r="H3426" s="15"/>
      <c r="I3426" s="16"/>
      <c r="J3426" s="16"/>
      <c r="K3426" s="17" t="str">
        <f>IF(J3426="","",ROUND(J3426*Settings!$B$8,2))</f>
        <v/>
      </c>
      <c r="L3426" s="16"/>
      <c r="M3426" s="8" t="str">
        <f t="shared" si="53"/>
        <v/>
      </c>
      <c r="N3426" s="9"/>
    </row>
    <row r="3427" spans="1:14" ht="15.75">
      <c r="A3427" s="11"/>
      <c r="B3427" s="9"/>
      <c r="C3427" s="12" t="str">
        <f>IF(B3427="","",IFERROR(INDEX('Cashier Roster'!$C$5:$C$64,MATCH(B3427,'Cashier Roster'!$B$5:$B$64,0)),"Not on roster"))</f>
        <v/>
      </c>
      <c r="D3427" s="12" t="str">
        <f>IF(B3427="","",IFERROR(INDEX('Cashier Roster'!$D$5:$D$64,MATCH(B3427,'Cashier Roster'!$B$5:$B$64,0)),""))</f>
        <v/>
      </c>
      <c r="E3427" s="13"/>
      <c r="F3427" s="14"/>
      <c r="G3427" s="8" t="str">
        <f>IF(OR(B3427="",E3427=""),"",IF(E3427="No","Missed",IF(F3427="","",IF(F3427&lt;=Settings!$B$7,"On time","Late"))))</f>
        <v/>
      </c>
      <c r="H3427" s="15"/>
      <c r="I3427" s="16"/>
      <c r="J3427" s="16"/>
      <c r="K3427" s="17" t="str">
        <f>IF(J3427="","",ROUND(J3427*Settings!$B$8,2))</f>
        <v/>
      </c>
      <c r="L3427" s="16"/>
      <c r="M3427" s="8" t="str">
        <f t="shared" si="53"/>
        <v/>
      </c>
      <c r="N3427" s="9"/>
    </row>
    <row r="3428" spans="1:14" ht="15.75">
      <c r="A3428" s="11"/>
      <c r="B3428" s="9"/>
      <c r="C3428" s="12" t="str">
        <f>IF(B3428="","",IFERROR(INDEX('Cashier Roster'!$C$5:$C$64,MATCH(B3428,'Cashier Roster'!$B$5:$B$64,0)),"Not on roster"))</f>
        <v/>
      </c>
      <c r="D3428" s="12" t="str">
        <f>IF(B3428="","",IFERROR(INDEX('Cashier Roster'!$D$5:$D$64,MATCH(B3428,'Cashier Roster'!$B$5:$B$64,0)),""))</f>
        <v/>
      </c>
      <c r="E3428" s="13"/>
      <c r="F3428" s="14"/>
      <c r="G3428" s="8" t="str">
        <f>IF(OR(B3428="",E3428=""),"",IF(E3428="No","Missed",IF(F3428="","",IF(F3428&lt;=Settings!$B$7,"On time","Late"))))</f>
        <v/>
      </c>
      <c r="H3428" s="15"/>
      <c r="I3428" s="16"/>
      <c r="J3428" s="16"/>
      <c r="K3428" s="17" t="str">
        <f>IF(J3428="","",ROUND(J3428*Settings!$B$8,2))</f>
        <v/>
      </c>
      <c r="L3428" s="16"/>
      <c r="M3428" s="8" t="str">
        <f t="shared" si="53"/>
        <v/>
      </c>
      <c r="N3428" s="9"/>
    </row>
    <row r="3429" spans="1:14" ht="15.75">
      <c r="A3429" s="11"/>
      <c r="B3429" s="9"/>
      <c r="C3429" s="12" t="str">
        <f>IF(B3429="","",IFERROR(INDEX('Cashier Roster'!$C$5:$C$64,MATCH(B3429,'Cashier Roster'!$B$5:$B$64,0)),"Not on roster"))</f>
        <v/>
      </c>
      <c r="D3429" s="12" t="str">
        <f>IF(B3429="","",IFERROR(INDEX('Cashier Roster'!$D$5:$D$64,MATCH(B3429,'Cashier Roster'!$B$5:$B$64,0)),""))</f>
        <v/>
      </c>
      <c r="E3429" s="13"/>
      <c r="F3429" s="14"/>
      <c r="G3429" s="8" t="str">
        <f>IF(OR(B3429="",E3429=""),"",IF(E3429="No","Missed",IF(F3429="","",IF(F3429&lt;=Settings!$B$7,"On time","Late"))))</f>
        <v/>
      </c>
      <c r="H3429" s="15"/>
      <c r="I3429" s="16"/>
      <c r="J3429" s="16"/>
      <c r="K3429" s="17" t="str">
        <f>IF(J3429="","",ROUND(J3429*Settings!$B$8,2))</f>
        <v/>
      </c>
      <c r="L3429" s="16"/>
      <c r="M3429" s="8" t="str">
        <f t="shared" si="53"/>
        <v/>
      </c>
      <c r="N3429" s="9"/>
    </row>
    <row r="3430" spans="1:14" ht="15.75">
      <c r="A3430" s="11"/>
      <c r="B3430" s="9"/>
      <c r="C3430" s="12" t="str">
        <f>IF(B3430="","",IFERROR(INDEX('Cashier Roster'!$C$5:$C$64,MATCH(B3430,'Cashier Roster'!$B$5:$B$64,0)),"Not on roster"))</f>
        <v/>
      </c>
      <c r="D3430" s="12" t="str">
        <f>IF(B3430="","",IFERROR(INDEX('Cashier Roster'!$D$5:$D$64,MATCH(B3430,'Cashier Roster'!$B$5:$B$64,0)),""))</f>
        <v/>
      </c>
      <c r="E3430" s="13"/>
      <c r="F3430" s="14"/>
      <c r="G3430" s="8" t="str">
        <f>IF(OR(B3430="",E3430=""),"",IF(E3430="No","Missed",IF(F3430="","",IF(F3430&lt;=Settings!$B$7,"On time","Late"))))</f>
        <v/>
      </c>
      <c r="H3430" s="15"/>
      <c r="I3430" s="16"/>
      <c r="J3430" s="16"/>
      <c r="K3430" s="17" t="str">
        <f>IF(J3430="","",ROUND(J3430*Settings!$B$8,2))</f>
        <v/>
      </c>
      <c r="L3430" s="16"/>
      <c r="M3430" s="8" t="str">
        <f t="shared" si="53"/>
        <v/>
      </c>
      <c r="N3430" s="9"/>
    </row>
    <row r="3431" spans="1:14" ht="15.75">
      <c r="A3431" s="11"/>
      <c r="B3431" s="9"/>
      <c r="C3431" s="12" t="str">
        <f>IF(B3431="","",IFERROR(INDEX('Cashier Roster'!$C$5:$C$64,MATCH(B3431,'Cashier Roster'!$B$5:$B$64,0)),"Not on roster"))</f>
        <v/>
      </c>
      <c r="D3431" s="12" t="str">
        <f>IF(B3431="","",IFERROR(INDEX('Cashier Roster'!$D$5:$D$64,MATCH(B3431,'Cashier Roster'!$B$5:$B$64,0)),""))</f>
        <v/>
      </c>
      <c r="E3431" s="13"/>
      <c r="F3431" s="14"/>
      <c r="G3431" s="8" t="str">
        <f>IF(OR(B3431="",E3431=""),"",IF(E3431="No","Missed",IF(F3431="","",IF(F3431&lt;=Settings!$B$7,"On time","Late"))))</f>
        <v/>
      </c>
      <c r="H3431" s="15"/>
      <c r="I3431" s="16"/>
      <c r="J3431" s="16"/>
      <c r="K3431" s="17" t="str">
        <f>IF(J3431="","",ROUND(J3431*Settings!$B$8,2))</f>
        <v/>
      </c>
      <c r="L3431" s="16"/>
      <c r="M3431" s="8" t="str">
        <f t="shared" si="53"/>
        <v/>
      </c>
      <c r="N3431" s="9"/>
    </row>
    <row r="3432" spans="1:14" ht="15.75">
      <c r="A3432" s="11"/>
      <c r="B3432" s="9"/>
      <c r="C3432" s="12" t="str">
        <f>IF(B3432="","",IFERROR(INDEX('Cashier Roster'!$C$5:$C$64,MATCH(B3432,'Cashier Roster'!$B$5:$B$64,0)),"Not on roster"))</f>
        <v/>
      </c>
      <c r="D3432" s="12" t="str">
        <f>IF(B3432="","",IFERROR(INDEX('Cashier Roster'!$D$5:$D$64,MATCH(B3432,'Cashier Roster'!$B$5:$B$64,0)),""))</f>
        <v/>
      </c>
      <c r="E3432" s="13"/>
      <c r="F3432" s="14"/>
      <c r="G3432" s="8" t="str">
        <f>IF(OR(B3432="",E3432=""),"",IF(E3432="No","Missed",IF(F3432="","",IF(F3432&lt;=Settings!$B$7,"On time","Late"))))</f>
        <v/>
      </c>
      <c r="H3432" s="15"/>
      <c r="I3432" s="16"/>
      <c r="J3432" s="16"/>
      <c r="K3432" s="17" t="str">
        <f>IF(J3432="","",ROUND(J3432*Settings!$B$8,2))</f>
        <v/>
      </c>
      <c r="L3432" s="16"/>
      <c r="M3432" s="8" t="str">
        <f t="shared" si="53"/>
        <v/>
      </c>
      <c r="N3432" s="9"/>
    </row>
    <row r="3433" spans="1:14" ht="15.75">
      <c r="A3433" s="11"/>
      <c r="B3433" s="9"/>
      <c r="C3433" s="12" t="str">
        <f>IF(B3433="","",IFERROR(INDEX('Cashier Roster'!$C$5:$C$64,MATCH(B3433,'Cashier Roster'!$B$5:$B$64,0)),"Not on roster"))</f>
        <v/>
      </c>
      <c r="D3433" s="12" t="str">
        <f>IF(B3433="","",IFERROR(INDEX('Cashier Roster'!$D$5:$D$64,MATCH(B3433,'Cashier Roster'!$B$5:$B$64,0)),""))</f>
        <v/>
      </c>
      <c r="E3433" s="13"/>
      <c r="F3433" s="14"/>
      <c r="G3433" s="8" t="str">
        <f>IF(OR(B3433="",E3433=""),"",IF(E3433="No","Missed",IF(F3433="","",IF(F3433&lt;=Settings!$B$7,"On time","Late"))))</f>
        <v/>
      </c>
      <c r="H3433" s="15"/>
      <c r="I3433" s="16"/>
      <c r="J3433" s="16"/>
      <c r="K3433" s="17" t="str">
        <f>IF(J3433="","",ROUND(J3433*Settings!$B$8,2))</f>
        <v/>
      </c>
      <c r="L3433" s="16"/>
      <c r="M3433" s="8" t="str">
        <f t="shared" si="53"/>
        <v/>
      </c>
      <c r="N3433" s="9"/>
    </row>
    <row r="3434" spans="1:14" ht="15.75">
      <c r="A3434" s="11"/>
      <c r="B3434" s="9"/>
      <c r="C3434" s="12" t="str">
        <f>IF(B3434="","",IFERROR(INDEX('Cashier Roster'!$C$5:$C$64,MATCH(B3434,'Cashier Roster'!$B$5:$B$64,0)),"Not on roster"))</f>
        <v/>
      </c>
      <c r="D3434" s="12" t="str">
        <f>IF(B3434="","",IFERROR(INDEX('Cashier Roster'!$D$5:$D$64,MATCH(B3434,'Cashier Roster'!$B$5:$B$64,0)),""))</f>
        <v/>
      </c>
      <c r="E3434" s="13"/>
      <c r="F3434" s="14"/>
      <c r="G3434" s="8" t="str">
        <f>IF(OR(B3434="",E3434=""),"",IF(E3434="No","Missed",IF(F3434="","",IF(F3434&lt;=Settings!$B$7,"On time","Late"))))</f>
        <v/>
      </c>
      <c r="H3434" s="15"/>
      <c r="I3434" s="16"/>
      <c r="J3434" s="16"/>
      <c r="K3434" s="17" t="str">
        <f>IF(J3434="","",ROUND(J3434*Settings!$B$8,2))</f>
        <v/>
      </c>
      <c r="L3434" s="16"/>
      <c r="M3434" s="8" t="str">
        <f t="shared" si="53"/>
        <v/>
      </c>
      <c r="N3434" s="9"/>
    </row>
    <row r="3435" spans="1:14" ht="15.75">
      <c r="A3435" s="11"/>
      <c r="B3435" s="9"/>
      <c r="C3435" s="12" t="str">
        <f>IF(B3435="","",IFERROR(INDEX('Cashier Roster'!$C$5:$C$64,MATCH(B3435,'Cashier Roster'!$B$5:$B$64,0)),"Not on roster"))</f>
        <v/>
      </c>
      <c r="D3435" s="12" t="str">
        <f>IF(B3435="","",IFERROR(INDEX('Cashier Roster'!$D$5:$D$64,MATCH(B3435,'Cashier Roster'!$B$5:$B$64,0)),""))</f>
        <v/>
      </c>
      <c r="E3435" s="13"/>
      <c r="F3435" s="14"/>
      <c r="G3435" s="8" t="str">
        <f>IF(OR(B3435="",E3435=""),"",IF(E3435="No","Missed",IF(F3435="","",IF(F3435&lt;=Settings!$B$7,"On time","Late"))))</f>
        <v/>
      </c>
      <c r="H3435" s="15"/>
      <c r="I3435" s="16"/>
      <c r="J3435" s="16"/>
      <c r="K3435" s="17" t="str">
        <f>IF(J3435="","",ROUND(J3435*Settings!$B$8,2))</f>
        <v/>
      </c>
      <c r="L3435" s="16"/>
      <c r="M3435" s="8" t="str">
        <f t="shared" si="53"/>
        <v/>
      </c>
      <c r="N3435" s="9"/>
    </row>
    <row r="3436" spans="1:14" ht="15.75">
      <c r="A3436" s="11"/>
      <c r="B3436" s="9"/>
      <c r="C3436" s="12" t="str">
        <f>IF(B3436="","",IFERROR(INDEX('Cashier Roster'!$C$5:$C$64,MATCH(B3436,'Cashier Roster'!$B$5:$B$64,0)),"Not on roster"))</f>
        <v/>
      </c>
      <c r="D3436" s="12" t="str">
        <f>IF(B3436="","",IFERROR(INDEX('Cashier Roster'!$D$5:$D$64,MATCH(B3436,'Cashier Roster'!$B$5:$B$64,0)),""))</f>
        <v/>
      </c>
      <c r="E3436" s="13"/>
      <c r="F3436" s="14"/>
      <c r="G3436" s="8" t="str">
        <f>IF(OR(B3436="",E3436=""),"",IF(E3436="No","Missed",IF(F3436="","",IF(F3436&lt;=Settings!$B$7,"On time","Late"))))</f>
        <v/>
      </c>
      <c r="H3436" s="15"/>
      <c r="I3436" s="16"/>
      <c r="J3436" s="16"/>
      <c r="K3436" s="17" t="str">
        <f>IF(J3436="","",ROUND(J3436*Settings!$B$8,2))</f>
        <v/>
      </c>
      <c r="L3436" s="16"/>
      <c r="M3436" s="8" t="str">
        <f t="shared" si="53"/>
        <v/>
      </c>
      <c r="N3436" s="9"/>
    </row>
    <row r="3437" spans="1:14" ht="15.75">
      <c r="A3437" s="11"/>
      <c r="B3437" s="9"/>
      <c r="C3437" s="12" t="str">
        <f>IF(B3437="","",IFERROR(INDEX('Cashier Roster'!$C$5:$C$64,MATCH(B3437,'Cashier Roster'!$B$5:$B$64,0)),"Not on roster"))</f>
        <v/>
      </c>
      <c r="D3437" s="12" t="str">
        <f>IF(B3437="","",IFERROR(INDEX('Cashier Roster'!$D$5:$D$64,MATCH(B3437,'Cashier Roster'!$B$5:$B$64,0)),""))</f>
        <v/>
      </c>
      <c r="E3437" s="13"/>
      <c r="F3437" s="14"/>
      <c r="G3437" s="8" t="str">
        <f>IF(OR(B3437="",E3437=""),"",IF(E3437="No","Missed",IF(F3437="","",IF(F3437&lt;=Settings!$B$7,"On time","Late"))))</f>
        <v/>
      </c>
      <c r="H3437" s="15"/>
      <c r="I3437" s="16"/>
      <c r="J3437" s="16"/>
      <c r="K3437" s="17" t="str">
        <f>IF(J3437="","",ROUND(J3437*Settings!$B$8,2))</f>
        <v/>
      </c>
      <c r="L3437" s="16"/>
      <c r="M3437" s="8" t="str">
        <f t="shared" si="53"/>
        <v/>
      </c>
      <c r="N3437" s="9"/>
    </row>
    <row r="3438" spans="1:14" ht="15.75">
      <c r="A3438" s="11"/>
      <c r="B3438" s="9"/>
      <c r="C3438" s="12" t="str">
        <f>IF(B3438="","",IFERROR(INDEX('Cashier Roster'!$C$5:$C$64,MATCH(B3438,'Cashier Roster'!$B$5:$B$64,0)),"Not on roster"))</f>
        <v/>
      </c>
      <c r="D3438" s="12" t="str">
        <f>IF(B3438="","",IFERROR(INDEX('Cashier Roster'!$D$5:$D$64,MATCH(B3438,'Cashier Roster'!$B$5:$B$64,0)),""))</f>
        <v/>
      </c>
      <c r="E3438" s="13"/>
      <c r="F3438" s="14"/>
      <c r="G3438" s="8" t="str">
        <f>IF(OR(B3438="",E3438=""),"",IF(E3438="No","Missed",IF(F3438="","",IF(F3438&lt;=Settings!$B$7,"On time","Late"))))</f>
        <v/>
      </c>
      <c r="H3438" s="15"/>
      <c r="I3438" s="16"/>
      <c r="J3438" s="16"/>
      <c r="K3438" s="17" t="str">
        <f>IF(J3438="","",ROUND(J3438*Settings!$B$8,2))</f>
        <v/>
      </c>
      <c r="L3438" s="16"/>
      <c r="M3438" s="8" t="str">
        <f t="shared" si="53"/>
        <v/>
      </c>
      <c r="N3438" s="9"/>
    </row>
    <row r="3439" spans="1:14" ht="15.75">
      <c r="A3439" s="11"/>
      <c r="B3439" s="9"/>
      <c r="C3439" s="12" t="str">
        <f>IF(B3439="","",IFERROR(INDEX('Cashier Roster'!$C$5:$C$64,MATCH(B3439,'Cashier Roster'!$B$5:$B$64,0)),"Not on roster"))</f>
        <v/>
      </c>
      <c r="D3439" s="12" t="str">
        <f>IF(B3439="","",IFERROR(INDEX('Cashier Roster'!$D$5:$D$64,MATCH(B3439,'Cashier Roster'!$B$5:$B$64,0)),""))</f>
        <v/>
      </c>
      <c r="E3439" s="13"/>
      <c r="F3439" s="14"/>
      <c r="G3439" s="8" t="str">
        <f>IF(OR(B3439="",E3439=""),"",IF(E3439="No","Missed",IF(F3439="","",IF(F3439&lt;=Settings!$B$7,"On time","Late"))))</f>
        <v/>
      </c>
      <c r="H3439" s="15"/>
      <c r="I3439" s="16"/>
      <c r="J3439" s="16"/>
      <c r="K3439" s="17" t="str">
        <f>IF(J3439="","",ROUND(J3439*Settings!$B$8,2))</f>
        <v/>
      </c>
      <c r="L3439" s="16"/>
      <c r="M3439" s="8" t="str">
        <f t="shared" si="53"/>
        <v/>
      </c>
      <c r="N3439" s="9"/>
    </row>
    <row r="3440" spans="1:14" ht="15.75">
      <c r="A3440" s="11"/>
      <c r="B3440" s="9"/>
      <c r="C3440" s="12" t="str">
        <f>IF(B3440="","",IFERROR(INDEX('Cashier Roster'!$C$5:$C$64,MATCH(B3440,'Cashier Roster'!$B$5:$B$64,0)),"Not on roster"))</f>
        <v/>
      </c>
      <c r="D3440" s="12" t="str">
        <f>IF(B3440="","",IFERROR(INDEX('Cashier Roster'!$D$5:$D$64,MATCH(B3440,'Cashier Roster'!$B$5:$B$64,0)),""))</f>
        <v/>
      </c>
      <c r="E3440" s="13"/>
      <c r="F3440" s="14"/>
      <c r="G3440" s="8" t="str">
        <f>IF(OR(B3440="",E3440=""),"",IF(E3440="No","Missed",IF(F3440="","",IF(F3440&lt;=Settings!$B$7,"On time","Late"))))</f>
        <v/>
      </c>
      <c r="H3440" s="15"/>
      <c r="I3440" s="16"/>
      <c r="J3440" s="16"/>
      <c r="K3440" s="17" t="str">
        <f>IF(J3440="","",ROUND(J3440*Settings!$B$8,2))</f>
        <v/>
      </c>
      <c r="L3440" s="16"/>
      <c r="M3440" s="8" t="str">
        <f t="shared" si="53"/>
        <v/>
      </c>
      <c r="N3440" s="9"/>
    </row>
    <row r="3441" spans="1:14" ht="15.75">
      <c r="A3441" s="11"/>
      <c r="B3441" s="9"/>
      <c r="C3441" s="12" t="str">
        <f>IF(B3441="","",IFERROR(INDEX('Cashier Roster'!$C$5:$C$64,MATCH(B3441,'Cashier Roster'!$B$5:$B$64,0)),"Not on roster"))</f>
        <v/>
      </c>
      <c r="D3441" s="12" t="str">
        <f>IF(B3441="","",IFERROR(INDEX('Cashier Roster'!$D$5:$D$64,MATCH(B3441,'Cashier Roster'!$B$5:$B$64,0)),""))</f>
        <v/>
      </c>
      <c r="E3441" s="13"/>
      <c r="F3441" s="14"/>
      <c r="G3441" s="8" t="str">
        <f>IF(OR(B3441="",E3441=""),"",IF(E3441="No","Missed",IF(F3441="","",IF(F3441&lt;=Settings!$B$7,"On time","Late"))))</f>
        <v/>
      </c>
      <c r="H3441" s="15"/>
      <c r="I3441" s="16"/>
      <c r="J3441" s="16"/>
      <c r="K3441" s="17" t="str">
        <f>IF(J3441="","",ROUND(J3441*Settings!$B$8,2))</f>
        <v/>
      </c>
      <c r="L3441" s="16"/>
      <c r="M3441" s="8" t="str">
        <f t="shared" si="53"/>
        <v/>
      </c>
      <c r="N3441" s="9"/>
    </row>
    <row r="3442" spans="1:14" ht="15.75">
      <c r="A3442" s="11"/>
      <c r="B3442" s="9"/>
      <c r="C3442" s="12" t="str">
        <f>IF(B3442="","",IFERROR(INDEX('Cashier Roster'!$C$5:$C$64,MATCH(B3442,'Cashier Roster'!$B$5:$B$64,0)),"Not on roster"))</f>
        <v/>
      </c>
      <c r="D3442" s="12" t="str">
        <f>IF(B3442="","",IFERROR(INDEX('Cashier Roster'!$D$5:$D$64,MATCH(B3442,'Cashier Roster'!$B$5:$B$64,0)),""))</f>
        <v/>
      </c>
      <c r="E3442" s="13"/>
      <c r="F3442" s="14"/>
      <c r="G3442" s="8" t="str">
        <f>IF(OR(B3442="",E3442=""),"",IF(E3442="No","Missed",IF(F3442="","",IF(F3442&lt;=Settings!$B$7,"On time","Late"))))</f>
        <v/>
      </c>
      <c r="H3442" s="15"/>
      <c r="I3442" s="16"/>
      <c r="J3442" s="16"/>
      <c r="K3442" s="17" t="str">
        <f>IF(J3442="","",ROUND(J3442*Settings!$B$8,2))</f>
        <v/>
      </c>
      <c r="L3442" s="16"/>
      <c r="M3442" s="8" t="str">
        <f t="shared" si="53"/>
        <v/>
      </c>
      <c r="N3442" s="9"/>
    </row>
    <row r="3443" spans="1:14" ht="15.75">
      <c r="A3443" s="11"/>
      <c r="B3443" s="9"/>
      <c r="C3443" s="12" t="str">
        <f>IF(B3443="","",IFERROR(INDEX('Cashier Roster'!$C$5:$C$64,MATCH(B3443,'Cashier Roster'!$B$5:$B$64,0)),"Not on roster"))</f>
        <v/>
      </c>
      <c r="D3443" s="12" t="str">
        <f>IF(B3443="","",IFERROR(INDEX('Cashier Roster'!$D$5:$D$64,MATCH(B3443,'Cashier Roster'!$B$5:$B$64,0)),""))</f>
        <v/>
      </c>
      <c r="E3443" s="13"/>
      <c r="F3443" s="14"/>
      <c r="G3443" s="8" t="str">
        <f>IF(OR(B3443="",E3443=""),"",IF(E3443="No","Missed",IF(F3443="","",IF(F3443&lt;=Settings!$B$7,"On time","Late"))))</f>
        <v/>
      </c>
      <c r="H3443" s="15"/>
      <c r="I3443" s="16"/>
      <c r="J3443" s="16"/>
      <c r="K3443" s="17" t="str">
        <f>IF(J3443="","",ROUND(J3443*Settings!$B$8,2))</f>
        <v/>
      </c>
      <c r="L3443" s="16"/>
      <c r="M3443" s="8" t="str">
        <f t="shared" si="53"/>
        <v/>
      </c>
      <c r="N3443" s="9"/>
    </row>
    <row r="3444" spans="1:14" ht="15.75">
      <c r="A3444" s="11"/>
      <c r="B3444" s="9"/>
      <c r="C3444" s="12" t="str">
        <f>IF(B3444="","",IFERROR(INDEX('Cashier Roster'!$C$5:$C$64,MATCH(B3444,'Cashier Roster'!$B$5:$B$64,0)),"Not on roster"))</f>
        <v/>
      </c>
      <c r="D3444" s="12" t="str">
        <f>IF(B3444="","",IFERROR(INDEX('Cashier Roster'!$D$5:$D$64,MATCH(B3444,'Cashier Roster'!$B$5:$B$64,0)),""))</f>
        <v/>
      </c>
      <c r="E3444" s="13"/>
      <c r="F3444" s="14"/>
      <c r="G3444" s="8" t="str">
        <f>IF(OR(B3444="",E3444=""),"",IF(E3444="No","Missed",IF(F3444="","",IF(F3444&lt;=Settings!$B$7,"On time","Late"))))</f>
        <v/>
      </c>
      <c r="H3444" s="15"/>
      <c r="I3444" s="16"/>
      <c r="J3444" s="16"/>
      <c r="K3444" s="17" t="str">
        <f>IF(J3444="","",ROUND(J3444*Settings!$B$8,2))</f>
        <v/>
      </c>
      <c r="L3444" s="16"/>
      <c r="M3444" s="8" t="str">
        <f t="shared" si="53"/>
        <v/>
      </c>
      <c r="N3444" s="9"/>
    </row>
    <row r="3445" spans="1:14" ht="15.75">
      <c r="A3445" s="11"/>
      <c r="B3445" s="9"/>
      <c r="C3445" s="12" t="str">
        <f>IF(B3445="","",IFERROR(INDEX('Cashier Roster'!$C$5:$C$64,MATCH(B3445,'Cashier Roster'!$B$5:$B$64,0)),"Not on roster"))</f>
        <v/>
      </c>
      <c r="D3445" s="12" t="str">
        <f>IF(B3445="","",IFERROR(INDEX('Cashier Roster'!$D$5:$D$64,MATCH(B3445,'Cashier Roster'!$B$5:$B$64,0)),""))</f>
        <v/>
      </c>
      <c r="E3445" s="13"/>
      <c r="F3445" s="14"/>
      <c r="G3445" s="8" t="str">
        <f>IF(OR(B3445="",E3445=""),"",IF(E3445="No","Missed",IF(F3445="","",IF(F3445&lt;=Settings!$B$7,"On time","Late"))))</f>
        <v/>
      </c>
      <c r="H3445" s="15"/>
      <c r="I3445" s="16"/>
      <c r="J3445" s="16"/>
      <c r="K3445" s="17" t="str">
        <f>IF(J3445="","",ROUND(J3445*Settings!$B$8,2))</f>
        <v/>
      </c>
      <c r="L3445" s="16"/>
      <c r="M3445" s="8" t="str">
        <f t="shared" si="53"/>
        <v/>
      </c>
      <c r="N3445" s="9"/>
    </row>
    <row r="3446" spans="1:14" ht="15.75">
      <c r="A3446" s="11"/>
      <c r="B3446" s="9"/>
      <c r="C3446" s="12" t="str">
        <f>IF(B3446="","",IFERROR(INDEX('Cashier Roster'!$C$5:$C$64,MATCH(B3446,'Cashier Roster'!$B$5:$B$64,0)),"Not on roster"))</f>
        <v/>
      </c>
      <c r="D3446" s="12" t="str">
        <f>IF(B3446="","",IFERROR(INDEX('Cashier Roster'!$D$5:$D$64,MATCH(B3446,'Cashier Roster'!$B$5:$B$64,0)),""))</f>
        <v/>
      </c>
      <c r="E3446" s="13"/>
      <c r="F3446" s="14"/>
      <c r="G3446" s="8" t="str">
        <f>IF(OR(B3446="",E3446=""),"",IF(E3446="No","Missed",IF(F3446="","",IF(F3446&lt;=Settings!$B$7,"On time","Late"))))</f>
        <v/>
      </c>
      <c r="H3446" s="15"/>
      <c r="I3446" s="16"/>
      <c r="J3446" s="16"/>
      <c r="K3446" s="17" t="str">
        <f>IF(J3446="","",ROUND(J3446*Settings!$B$8,2))</f>
        <v/>
      </c>
      <c r="L3446" s="16"/>
      <c r="M3446" s="8" t="str">
        <f t="shared" si="53"/>
        <v/>
      </c>
      <c r="N3446" s="9"/>
    </row>
    <row r="3447" spans="1:14" ht="15.75">
      <c r="A3447" s="11"/>
      <c r="B3447" s="9"/>
      <c r="C3447" s="12" t="str">
        <f>IF(B3447="","",IFERROR(INDEX('Cashier Roster'!$C$5:$C$64,MATCH(B3447,'Cashier Roster'!$B$5:$B$64,0)),"Not on roster"))</f>
        <v/>
      </c>
      <c r="D3447" s="12" t="str">
        <f>IF(B3447="","",IFERROR(INDEX('Cashier Roster'!$D$5:$D$64,MATCH(B3447,'Cashier Roster'!$B$5:$B$64,0)),""))</f>
        <v/>
      </c>
      <c r="E3447" s="13"/>
      <c r="F3447" s="14"/>
      <c r="G3447" s="8" t="str">
        <f>IF(OR(B3447="",E3447=""),"",IF(E3447="No","Missed",IF(F3447="","",IF(F3447&lt;=Settings!$B$7,"On time","Late"))))</f>
        <v/>
      </c>
      <c r="H3447" s="15"/>
      <c r="I3447" s="16"/>
      <c r="J3447" s="16"/>
      <c r="K3447" s="17" t="str">
        <f>IF(J3447="","",ROUND(J3447*Settings!$B$8,2))</f>
        <v/>
      </c>
      <c r="L3447" s="16"/>
      <c r="M3447" s="8" t="str">
        <f t="shared" si="53"/>
        <v/>
      </c>
      <c r="N3447" s="9"/>
    </row>
    <row r="3448" spans="1:14" ht="15.75">
      <c r="A3448" s="11"/>
      <c r="B3448" s="9"/>
      <c r="C3448" s="12" t="str">
        <f>IF(B3448="","",IFERROR(INDEX('Cashier Roster'!$C$5:$C$64,MATCH(B3448,'Cashier Roster'!$B$5:$B$64,0)),"Not on roster"))</f>
        <v/>
      </c>
      <c r="D3448" s="12" t="str">
        <f>IF(B3448="","",IFERROR(INDEX('Cashier Roster'!$D$5:$D$64,MATCH(B3448,'Cashier Roster'!$B$5:$B$64,0)),""))</f>
        <v/>
      </c>
      <c r="E3448" s="13"/>
      <c r="F3448" s="14"/>
      <c r="G3448" s="8" t="str">
        <f>IF(OR(B3448="",E3448=""),"",IF(E3448="No","Missed",IF(F3448="","",IF(F3448&lt;=Settings!$B$7,"On time","Late"))))</f>
        <v/>
      </c>
      <c r="H3448" s="15"/>
      <c r="I3448" s="16"/>
      <c r="J3448" s="16"/>
      <c r="K3448" s="17" t="str">
        <f>IF(J3448="","",ROUND(J3448*Settings!$B$8,2))</f>
        <v/>
      </c>
      <c r="L3448" s="16"/>
      <c r="M3448" s="8" t="str">
        <f t="shared" si="53"/>
        <v/>
      </c>
      <c r="N3448" s="9"/>
    </row>
    <row r="3449" spans="1:14" ht="15.75">
      <c r="A3449" s="11"/>
      <c r="B3449" s="9"/>
      <c r="C3449" s="12" t="str">
        <f>IF(B3449="","",IFERROR(INDEX('Cashier Roster'!$C$5:$C$64,MATCH(B3449,'Cashier Roster'!$B$5:$B$64,0)),"Not on roster"))</f>
        <v/>
      </c>
      <c r="D3449" s="12" t="str">
        <f>IF(B3449="","",IFERROR(INDEX('Cashier Roster'!$D$5:$D$64,MATCH(B3449,'Cashier Roster'!$B$5:$B$64,0)),""))</f>
        <v/>
      </c>
      <c r="E3449" s="13"/>
      <c r="F3449" s="14"/>
      <c r="G3449" s="8" t="str">
        <f>IF(OR(B3449="",E3449=""),"",IF(E3449="No","Missed",IF(F3449="","",IF(F3449&lt;=Settings!$B$7,"On time","Late"))))</f>
        <v/>
      </c>
      <c r="H3449" s="15"/>
      <c r="I3449" s="16"/>
      <c r="J3449" s="16"/>
      <c r="K3449" s="17" t="str">
        <f>IF(J3449="","",ROUND(J3449*Settings!$B$8,2))</f>
        <v/>
      </c>
      <c r="L3449" s="16"/>
      <c r="M3449" s="8" t="str">
        <f t="shared" si="53"/>
        <v/>
      </c>
      <c r="N3449" s="9"/>
    </row>
    <row r="3450" spans="1:14" ht="15.75">
      <c r="A3450" s="11"/>
      <c r="B3450" s="9"/>
      <c r="C3450" s="12" t="str">
        <f>IF(B3450="","",IFERROR(INDEX('Cashier Roster'!$C$5:$C$64,MATCH(B3450,'Cashier Roster'!$B$5:$B$64,0)),"Not on roster"))</f>
        <v/>
      </c>
      <c r="D3450" s="12" t="str">
        <f>IF(B3450="","",IFERROR(INDEX('Cashier Roster'!$D$5:$D$64,MATCH(B3450,'Cashier Roster'!$B$5:$B$64,0)),""))</f>
        <v/>
      </c>
      <c r="E3450" s="13"/>
      <c r="F3450" s="14"/>
      <c r="G3450" s="8" t="str">
        <f>IF(OR(B3450="",E3450=""),"",IF(E3450="No","Missed",IF(F3450="","",IF(F3450&lt;=Settings!$B$7,"On time","Late"))))</f>
        <v/>
      </c>
      <c r="H3450" s="15"/>
      <c r="I3450" s="16"/>
      <c r="J3450" s="16"/>
      <c r="K3450" s="17" t="str">
        <f>IF(J3450="","",ROUND(J3450*Settings!$B$8,2))</f>
        <v/>
      </c>
      <c r="L3450" s="16"/>
      <c r="M3450" s="8" t="str">
        <f t="shared" si="53"/>
        <v/>
      </c>
      <c r="N3450" s="9"/>
    </row>
    <row r="3451" spans="1:14" ht="15.75">
      <c r="A3451" s="11"/>
      <c r="B3451" s="9"/>
      <c r="C3451" s="12" t="str">
        <f>IF(B3451="","",IFERROR(INDEX('Cashier Roster'!$C$5:$C$64,MATCH(B3451,'Cashier Roster'!$B$5:$B$64,0)),"Not on roster"))</f>
        <v/>
      </c>
      <c r="D3451" s="12" t="str">
        <f>IF(B3451="","",IFERROR(INDEX('Cashier Roster'!$D$5:$D$64,MATCH(B3451,'Cashier Roster'!$B$5:$B$64,0)),""))</f>
        <v/>
      </c>
      <c r="E3451" s="13"/>
      <c r="F3451" s="14"/>
      <c r="G3451" s="8" t="str">
        <f>IF(OR(B3451="",E3451=""),"",IF(E3451="No","Missed",IF(F3451="","",IF(F3451&lt;=Settings!$B$7,"On time","Late"))))</f>
        <v/>
      </c>
      <c r="H3451" s="15"/>
      <c r="I3451" s="16"/>
      <c r="J3451" s="16"/>
      <c r="K3451" s="17" t="str">
        <f>IF(J3451="","",ROUND(J3451*Settings!$B$8,2))</f>
        <v/>
      </c>
      <c r="L3451" s="16"/>
      <c r="M3451" s="8" t="str">
        <f t="shared" si="53"/>
        <v/>
      </c>
      <c r="N3451" s="9"/>
    </row>
    <row r="3452" spans="1:14" ht="15.75">
      <c r="A3452" s="11"/>
      <c r="B3452" s="9"/>
      <c r="C3452" s="12" t="str">
        <f>IF(B3452="","",IFERROR(INDEX('Cashier Roster'!$C$5:$C$64,MATCH(B3452,'Cashier Roster'!$B$5:$B$64,0)),"Not on roster"))</f>
        <v/>
      </c>
      <c r="D3452" s="12" t="str">
        <f>IF(B3452="","",IFERROR(INDEX('Cashier Roster'!$D$5:$D$64,MATCH(B3452,'Cashier Roster'!$B$5:$B$64,0)),""))</f>
        <v/>
      </c>
      <c r="E3452" s="13"/>
      <c r="F3452" s="14"/>
      <c r="G3452" s="8" t="str">
        <f>IF(OR(B3452="",E3452=""),"",IF(E3452="No","Missed",IF(F3452="","",IF(F3452&lt;=Settings!$B$7,"On time","Late"))))</f>
        <v/>
      </c>
      <c r="H3452" s="15"/>
      <c r="I3452" s="16"/>
      <c r="J3452" s="16"/>
      <c r="K3452" s="17" t="str">
        <f>IF(J3452="","",ROUND(J3452*Settings!$B$8,2))</f>
        <v/>
      </c>
      <c r="L3452" s="16"/>
      <c r="M3452" s="8" t="str">
        <f t="shared" si="53"/>
        <v/>
      </c>
      <c r="N3452" s="9"/>
    </row>
    <row r="3453" spans="1:14" ht="15.75">
      <c r="A3453" s="11"/>
      <c r="B3453" s="9"/>
      <c r="C3453" s="12" t="str">
        <f>IF(B3453="","",IFERROR(INDEX('Cashier Roster'!$C$5:$C$64,MATCH(B3453,'Cashier Roster'!$B$5:$B$64,0)),"Not on roster"))</f>
        <v/>
      </c>
      <c r="D3453" s="12" t="str">
        <f>IF(B3453="","",IFERROR(INDEX('Cashier Roster'!$D$5:$D$64,MATCH(B3453,'Cashier Roster'!$B$5:$B$64,0)),""))</f>
        <v/>
      </c>
      <c r="E3453" s="13"/>
      <c r="F3453" s="14"/>
      <c r="G3453" s="8" t="str">
        <f>IF(OR(B3453="",E3453=""),"",IF(E3453="No","Missed",IF(F3453="","",IF(F3453&lt;=Settings!$B$7,"On time","Late"))))</f>
        <v/>
      </c>
      <c r="H3453" s="15"/>
      <c r="I3453" s="16"/>
      <c r="J3453" s="16"/>
      <c r="K3453" s="17" t="str">
        <f>IF(J3453="","",ROUND(J3453*Settings!$B$8,2))</f>
        <v/>
      </c>
      <c r="L3453" s="16"/>
      <c r="M3453" s="8" t="str">
        <f t="shared" si="53"/>
        <v/>
      </c>
      <c r="N3453" s="9"/>
    </row>
    <row r="3454" spans="1:14" ht="15.75">
      <c r="A3454" s="11"/>
      <c r="B3454" s="9"/>
      <c r="C3454" s="12" t="str">
        <f>IF(B3454="","",IFERROR(INDEX('Cashier Roster'!$C$5:$C$64,MATCH(B3454,'Cashier Roster'!$B$5:$B$64,0)),"Not on roster"))</f>
        <v/>
      </c>
      <c r="D3454" s="12" t="str">
        <f>IF(B3454="","",IFERROR(INDEX('Cashier Roster'!$D$5:$D$64,MATCH(B3454,'Cashier Roster'!$B$5:$B$64,0)),""))</f>
        <v/>
      </c>
      <c r="E3454" s="13"/>
      <c r="F3454" s="14"/>
      <c r="G3454" s="8" t="str">
        <f>IF(OR(B3454="",E3454=""),"",IF(E3454="No","Missed",IF(F3454="","",IF(F3454&lt;=Settings!$B$7,"On time","Late"))))</f>
        <v/>
      </c>
      <c r="H3454" s="15"/>
      <c r="I3454" s="16"/>
      <c r="J3454" s="16"/>
      <c r="K3454" s="17" t="str">
        <f>IF(J3454="","",ROUND(J3454*Settings!$B$8,2))</f>
        <v/>
      </c>
      <c r="L3454" s="16"/>
      <c r="M3454" s="8" t="str">
        <f t="shared" si="53"/>
        <v/>
      </c>
      <c r="N3454" s="9"/>
    </row>
    <row r="3455" spans="1:14" ht="15.75">
      <c r="A3455" s="11"/>
      <c r="B3455" s="9"/>
      <c r="C3455" s="12" t="str">
        <f>IF(B3455="","",IFERROR(INDEX('Cashier Roster'!$C$5:$C$64,MATCH(B3455,'Cashier Roster'!$B$5:$B$64,0)),"Not on roster"))</f>
        <v/>
      </c>
      <c r="D3455" s="12" t="str">
        <f>IF(B3455="","",IFERROR(INDEX('Cashier Roster'!$D$5:$D$64,MATCH(B3455,'Cashier Roster'!$B$5:$B$64,0)),""))</f>
        <v/>
      </c>
      <c r="E3455" s="13"/>
      <c r="F3455" s="14"/>
      <c r="G3455" s="8" t="str">
        <f>IF(OR(B3455="",E3455=""),"",IF(E3455="No","Missed",IF(F3455="","",IF(F3455&lt;=Settings!$B$7,"On time","Late"))))</f>
        <v/>
      </c>
      <c r="H3455" s="15"/>
      <c r="I3455" s="16"/>
      <c r="J3455" s="16"/>
      <c r="K3455" s="17" t="str">
        <f>IF(J3455="","",ROUND(J3455*Settings!$B$8,2))</f>
        <v/>
      </c>
      <c r="L3455" s="16"/>
      <c r="M3455" s="8" t="str">
        <f t="shared" si="53"/>
        <v/>
      </c>
      <c r="N3455" s="9"/>
    </row>
    <row r="3456" spans="1:14" ht="15.75">
      <c r="A3456" s="11"/>
      <c r="B3456" s="9"/>
      <c r="C3456" s="12" t="str">
        <f>IF(B3456="","",IFERROR(INDEX('Cashier Roster'!$C$5:$C$64,MATCH(B3456,'Cashier Roster'!$B$5:$B$64,0)),"Not on roster"))</f>
        <v/>
      </c>
      <c r="D3456" s="12" t="str">
        <f>IF(B3456="","",IFERROR(INDEX('Cashier Roster'!$D$5:$D$64,MATCH(B3456,'Cashier Roster'!$B$5:$B$64,0)),""))</f>
        <v/>
      </c>
      <c r="E3456" s="13"/>
      <c r="F3456" s="14"/>
      <c r="G3456" s="8" t="str">
        <f>IF(OR(B3456="",E3456=""),"",IF(E3456="No","Missed",IF(F3456="","",IF(F3456&lt;=Settings!$B$7,"On time","Late"))))</f>
        <v/>
      </c>
      <c r="H3456" s="15"/>
      <c r="I3456" s="16"/>
      <c r="J3456" s="16"/>
      <c r="K3456" s="17" t="str">
        <f>IF(J3456="","",ROUND(J3456*Settings!$B$8,2))</f>
        <v/>
      </c>
      <c r="L3456" s="16"/>
      <c r="M3456" s="8" t="str">
        <f t="shared" si="53"/>
        <v/>
      </c>
      <c r="N3456" s="9"/>
    </row>
    <row r="3457" spans="1:14" ht="15.75">
      <c r="A3457" s="11"/>
      <c r="B3457" s="9"/>
      <c r="C3457" s="12" t="str">
        <f>IF(B3457="","",IFERROR(INDEX('Cashier Roster'!$C$5:$C$64,MATCH(B3457,'Cashier Roster'!$B$5:$B$64,0)),"Not on roster"))</f>
        <v/>
      </c>
      <c r="D3457" s="12" t="str">
        <f>IF(B3457="","",IFERROR(INDEX('Cashier Roster'!$D$5:$D$64,MATCH(B3457,'Cashier Roster'!$B$5:$B$64,0)),""))</f>
        <v/>
      </c>
      <c r="E3457" s="13"/>
      <c r="F3457" s="14"/>
      <c r="G3457" s="8" t="str">
        <f>IF(OR(B3457="",E3457=""),"",IF(E3457="No","Missed",IF(F3457="","",IF(F3457&lt;=Settings!$B$7,"On time","Late"))))</f>
        <v/>
      </c>
      <c r="H3457" s="15"/>
      <c r="I3457" s="16"/>
      <c r="J3457" s="16"/>
      <c r="K3457" s="17" t="str">
        <f>IF(J3457="","",ROUND(J3457*Settings!$B$8,2))</f>
        <v/>
      </c>
      <c r="L3457" s="16"/>
      <c r="M3457" s="8" t="str">
        <f t="shared" si="53"/>
        <v/>
      </c>
      <c r="N3457" s="9"/>
    </row>
    <row r="3458" spans="1:14" ht="15.75">
      <c r="A3458" s="11"/>
      <c r="B3458" s="9"/>
      <c r="C3458" s="12" t="str">
        <f>IF(B3458="","",IFERROR(INDEX('Cashier Roster'!$C$5:$C$64,MATCH(B3458,'Cashier Roster'!$B$5:$B$64,0)),"Not on roster"))</f>
        <v/>
      </c>
      <c r="D3458" s="12" t="str">
        <f>IF(B3458="","",IFERROR(INDEX('Cashier Roster'!$D$5:$D$64,MATCH(B3458,'Cashier Roster'!$B$5:$B$64,0)),""))</f>
        <v/>
      </c>
      <c r="E3458" s="13"/>
      <c r="F3458" s="14"/>
      <c r="G3458" s="8" t="str">
        <f>IF(OR(B3458="",E3458=""),"",IF(E3458="No","Missed",IF(F3458="","",IF(F3458&lt;=Settings!$B$7,"On time","Late"))))</f>
        <v/>
      </c>
      <c r="H3458" s="15"/>
      <c r="I3458" s="16"/>
      <c r="J3458" s="16"/>
      <c r="K3458" s="17" t="str">
        <f>IF(J3458="","",ROUND(J3458*Settings!$B$8,2))</f>
        <v/>
      </c>
      <c r="L3458" s="16"/>
      <c r="M3458" s="8" t="str">
        <f t="shared" si="53"/>
        <v/>
      </c>
      <c r="N3458" s="9"/>
    </row>
    <row r="3459" spans="1:14" ht="15.75">
      <c r="A3459" s="11"/>
      <c r="B3459" s="9"/>
      <c r="C3459" s="12" t="str">
        <f>IF(B3459="","",IFERROR(INDEX('Cashier Roster'!$C$5:$C$64,MATCH(B3459,'Cashier Roster'!$B$5:$B$64,0)),"Not on roster"))</f>
        <v/>
      </c>
      <c r="D3459" s="12" t="str">
        <f>IF(B3459="","",IFERROR(INDEX('Cashier Roster'!$D$5:$D$64,MATCH(B3459,'Cashier Roster'!$B$5:$B$64,0)),""))</f>
        <v/>
      </c>
      <c r="E3459" s="13"/>
      <c r="F3459" s="14"/>
      <c r="G3459" s="8" t="str">
        <f>IF(OR(B3459="",E3459=""),"",IF(E3459="No","Missed",IF(F3459="","",IF(F3459&lt;=Settings!$B$7,"On time","Late"))))</f>
        <v/>
      </c>
      <c r="H3459" s="15"/>
      <c r="I3459" s="16"/>
      <c r="J3459" s="16"/>
      <c r="K3459" s="17" t="str">
        <f>IF(J3459="","",ROUND(J3459*Settings!$B$8,2))</f>
        <v/>
      </c>
      <c r="L3459" s="16"/>
      <c r="M3459" s="8" t="str">
        <f t="shared" si="53"/>
        <v/>
      </c>
      <c r="N3459" s="9"/>
    </row>
    <row r="3460" spans="1:14" ht="15.75">
      <c r="A3460" s="11"/>
      <c r="B3460" s="9"/>
      <c r="C3460" s="12" t="str">
        <f>IF(B3460="","",IFERROR(INDEX('Cashier Roster'!$C$5:$C$64,MATCH(B3460,'Cashier Roster'!$B$5:$B$64,0)),"Not on roster"))</f>
        <v/>
      </c>
      <c r="D3460" s="12" t="str">
        <f>IF(B3460="","",IFERROR(INDEX('Cashier Roster'!$D$5:$D$64,MATCH(B3460,'Cashier Roster'!$B$5:$B$64,0)),""))</f>
        <v/>
      </c>
      <c r="E3460" s="13"/>
      <c r="F3460" s="14"/>
      <c r="G3460" s="8" t="str">
        <f>IF(OR(B3460="",E3460=""),"",IF(E3460="No","Missed",IF(F3460="","",IF(F3460&lt;=Settings!$B$7,"On time","Late"))))</f>
        <v/>
      </c>
      <c r="H3460" s="15"/>
      <c r="I3460" s="16"/>
      <c r="J3460" s="16"/>
      <c r="K3460" s="17" t="str">
        <f>IF(J3460="","",ROUND(J3460*Settings!$B$8,2))</f>
        <v/>
      </c>
      <c r="L3460" s="16"/>
      <c r="M3460" s="8" t="str">
        <f t="shared" si="53"/>
        <v/>
      </c>
      <c r="N3460" s="9"/>
    </row>
    <row r="3461" spans="1:14" ht="15.75">
      <c r="A3461" s="11"/>
      <c r="B3461" s="9"/>
      <c r="C3461" s="12" t="str">
        <f>IF(B3461="","",IFERROR(INDEX('Cashier Roster'!$C$5:$C$64,MATCH(B3461,'Cashier Roster'!$B$5:$B$64,0)),"Not on roster"))</f>
        <v/>
      </c>
      <c r="D3461" s="12" t="str">
        <f>IF(B3461="","",IFERROR(INDEX('Cashier Roster'!$D$5:$D$64,MATCH(B3461,'Cashier Roster'!$B$5:$B$64,0)),""))</f>
        <v/>
      </c>
      <c r="E3461" s="13"/>
      <c r="F3461" s="14"/>
      <c r="G3461" s="8" t="str">
        <f>IF(OR(B3461="",E3461=""),"",IF(E3461="No","Missed",IF(F3461="","",IF(F3461&lt;=Settings!$B$7,"On time","Late"))))</f>
        <v/>
      </c>
      <c r="H3461" s="15"/>
      <c r="I3461" s="16"/>
      <c r="J3461" s="16"/>
      <c r="K3461" s="17" t="str">
        <f>IF(J3461="","",ROUND(J3461*Settings!$B$8,2))</f>
        <v/>
      </c>
      <c r="L3461" s="16"/>
      <c r="M3461" s="8" t="str">
        <f t="shared" ref="M3461:M3524" si="54">IF(L3461="","",IF(L3461&lt;=0,"Yes","No"))</f>
        <v/>
      </c>
      <c r="N3461" s="9"/>
    </row>
    <row r="3462" spans="1:14" ht="15.75">
      <c r="A3462" s="11"/>
      <c r="B3462" s="9"/>
      <c r="C3462" s="12" t="str">
        <f>IF(B3462="","",IFERROR(INDEX('Cashier Roster'!$C$5:$C$64,MATCH(B3462,'Cashier Roster'!$B$5:$B$64,0)),"Not on roster"))</f>
        <v/>
      </c>
      <c r="D3462" s="12" t="str">
        <f>IF(B3462="","",IFERROR(INDEX('Cashier Roster'!$D$5:$D$64,MATCH(B3462,'Cashier Roster'!$B$5:$B$64,0)),""))</f>
        <v/>
      </c>
      <c r="E3462" s="13"/>
      <c r="F3462" s="14"/>
      <c r="G3462" s="8" t="str">
        <f>IF(OR(B3462="",E3462=""),"",IF(E3462="No","Missed",IF(F3462="","",IF(F3462&lt;=Settings!$B$7,"On time","Late"))))</f>
        <v/>
      </c>
      <c r="H3462" s="15"/>
      <c r="I3462" s="16"/>
      <c r="J3462" s="16"/>
      <c r="K3462" s="17" t="str">
        <f>IF(J3462="","",ROUND(J3462*Settings!$B$8,2))</f>
        <v/>
      </c>
      <c r="L3462" s="16"/>
      <c r="M3462" s="8" t="str">
        <f t="shared" si="54"/>
        <v/>
      </c>
      <c r="N3462" s="9"/>
    </row>
    <row r="3463" spans="1:14" ht="15.75">
      <c r="A3463" s="11"/>
      <c r="B3463" s="9"/>
      <c r="C3463" s="12" t="str">
        <f>IF(B3463="","",IFERROR(INDEX('Cashier Roster'!$C$5:$C$64,MATCH(B3463,'Cashier Roster'!$B$5:$B$64,0)),"Not on roster"))</f>
        <v/>
      </c>
      <c r="D3463" s="12" t="str">
        <f>IF(B3463="","",IFERROR(INDEX('Cashier Roster'!$D$5:$D$64,MATCH(B3463,'Cashier Roster'!$B$5:$B$64,0)),""))</f>
        <v/>
      </c>
      <c r="E3463" s="13"/>
      <c r="F3463" s="14"/>
      <c r="G3463" s="8" t="str">
        <f>IF(OR(B3463="",E3463=""),"",IF(E3463="No","Missed",IF(F3463="","",IF(F3463&lt;=Settings!$B$7,"On time","Late"))))</f>
        <v/>
      </c>
      <c r="H3463" s="15"/>
      <c r="I3463" s="16"/>
      <c r="J3463" s="16"/>
      <c r="K3463" s="17" t="str">
        <f>IF(J3463="","",ROUND(J3463*Settings!$B$8,2))</f>
        <v/>
      </c>
      <c r="L3463" s="16"/>
      <c r="M3463" s="8" t="str">
        <f t="shared" si="54"/>
        <v/>
      </c>
      <c r="N3463" s="9"/>
    </row>
    <row r="3464" spans="1:14" ht="15.75">
      <c r="A3464" s="11"/>
      <c r="B3464" s="9"/>
      <c r="C3464" s="12" t="str">
        <f>IF(B3464="","",IFERROR(INDEX('Cashier Roster'!$C$5:$C$64,MATCH(B3464,'Cashier Roster'!$B$5:$B$64,0)),"Not on roster"))</f>
        <v/>
      </c>
      <c r="D3464" s="12" t="str">
        <f>IF(B3464="","",IFERROR(INDEX('Cashier Roster'!$D$5:$D$64,MATCH(B3464,'Cashier Roster'!$B$5:$B$64,0)),""))</f>
        <v/>
      </c>
      <c r="E3464" s="13"/>
      <c r="F3464" s="14"/>
      <c r="G3464" s="8" t="str">
        <f>IF(OR(B3464="",E3464=""),"",IF(E3464="No","Missed",IF(F3464="","",IF(F3464&lt;=Settings!$B$7,"On time","Late"))))</f>
        <v/>
      </c>
      <c r="H3464" s="15"/>
      <c r="I3464" s="16"/>
      <c r="J3464" s="16"/>
      <c r="K3464" s="17" t="str">
        <f>IF(J3464="","",ROUND(J3464*Settings!$B$8,2))</f>
        <v/>
      </c>
      <c r="L3464" s="16"/>
      <c r="M3464" s="8" t="str">
        <f t="shared" si="54"/>
        <v/>
      </c>
      <c r="N3464" s="9"/>
    </row>
    <row r="3465" spans="1:14" ht="15.75">
      <c r="A3465" s="11"/>
      <c r="B3465" s="9"/>
      <c r="C3465" s="12" t="str">
        <f>IF(B3465="","",IFERROR(INDEX('Cashier Roster'!$C$5:$C$64,MATCH(B3465,'Cashier Roster'!$B$5:$B$64,0)),"Not on roster"))</f>
        <v/>
      </c>
      <c r="D3465" s="12" t="str">
        <f>IF(B3465="","",IFERROR(INDEX('Cashier Roster'!$D$5:$D$64,MATCH(B3465,'Cashier Roster'!$B$5:$B$64,0)),""))</f>
        <v/>
      </c>
      <c r="E3465" s="13"/>
      <c r="F3465" s="14"/>
      <c r="G3465" s="8" t="str">
        <f>IF(OR(B3465="",E3465=""),"",IF(E3465="No","Missed",IF(F3465="","",IF(F3465&lt;=Settings!$B$7,"On time","Late"))))</f>
        <v/>
      </c>
      <c r="H3465" s="15"/>
      <c r="I3465" s="16"/>
      <c r="J3465" s="16"/>
      <c r="K3465" s="17" t="str">
        <f>IF(J3465="","",ROUND(J3465*Settings!$B$8,2))</f>
        <v/>
      </c>
      <c r="L3465" s="16"/>
      <c r="M3465" s="8" t="str">
        <f t="shared" si="54"/>
        <v/>
      </c>
      <c r="N3465" s="9"/>
    </row>
    <row r="3466" spans="1:14" ht="15.75">
      <c r="A3466" s="11"/>
      <c r="B3466" s="9"/>
      <c r="C3466" s="12" t="str">
        <f>IF(B3466="","",IFERROR(INDEX('Cashier Roster'!$C$5:$C$64,MATCH(B3466,'Cashier Roster'!$B$5:$B$64,0)),"Not on roster"))</f>
        <v/>
      </c>
      <c r="D3466" s="12" t="str">
        <f>IF(B3466="","",IFERROR(INDEX('Cashier Roster'!$D$5:$D$64,MATCH(B3466,'Cashier Roster'!$B$5:$B$64,0)),""))</f>
        <v/>
      </c>
      <c r="E3466" s="13"/>
      <c r="F3466" s="14"/>
      <c r="G3466" s="8" t="str">
        <f>IF(OR(B3466="",E3466=""),"",IF(E3466="No","Missed",IF(F3466="","",IF(F3466&lt;=Settings!$B$7,"On time","Late"))))</f>
        <v/>
      </c>
      <c r="H3466" s="15"/>
      <c r="I3466" s="16"/>
      <c r="J3466" s="16"/>
      <c r="K3466" s="17" t="str">
        <f>IF(J3466="","",ROUND(J3466*Settings!$B$8,2))</f>
        <v/>
      </c>
      <c r="L3466" s="16"/>
      <c r="M3466" s="8" t="str">
        <f t="shared" si="54"/>
        <v/>
      </c>
      <c r="N3466" s="9"/>
    </row>
    <row r="3467" spans="1:14" ht="15.75">
      <c r="A3467" s="11"/>
      <c r="B3467" s="9"/>
      <c r="C3467" s="12" t="str">
        <f>IF(B3467="","",IFERROR(INDEX('Cashier Roster'!$C$5:$C$64,MATCH(B3467,'Cashier Roster'!$B$5:$B$64,0)),"Not on roster"))</f>
        <v/>
      </c>
      <c r="D3467" s="12" t="str">
        <f>IF(B3467="","",IFERROR(INDEX('Cashier Roster'!$D$5:$D$64,MATCH(B3467,'Cashier Roster'!$B$5:$B$64,0)),""))</f>
        <v/>
      </c>
      <c r="E3467" s="13"/>
      <c r="F3467" s="14"/>
      <c r="G3467" s="8" t="str">
        <f>IF(OR(B3467="",E3467=""),"",IF(E3467="No","Missed",IF(F3467="","",IF(F3467&lt;=Settings!$B$7,"On time","Late"))))</f>
        <v/>
      </c>
      <c r="H3467" s="15"/>
      <c r="I3467" s="16"/>
      <c r="J3467" s="16"/>
      <c r="K3467" s="17" t="str">
        <f>IF(J3467="","",ROUND(J3467*Settings!$B$8,2))</f>
        <v/>
      </c>
      <c r="L3467" s="16"/>
      <c r="M3467" s="8" t="str">
        <f t="shared" si="54"/>
        <v/>
      </c>
      <c r="N3467" s="9"/>
    </row>
    <row r="3468" spans="1:14" ht="15.75">
      <c r="A3468" s="11"/>
      <c r="B3468" s="9"/>
      <c r="C3468" s="12" t="str">
        <f>IF(B3468="","",IFERROR(INDEX('Cashier Roster'!$C$5:$C$64,MATCH(B3468,'Cashier Roster'!$B$5:$B$64,0)),"Not on roster"))</f>
        <v/>
      </c>
      <c r="D3468" s="12" t="str">
        <f>IF(B3468="","",IFERROR(INDEX('Cashier Roster'!$D$5:$D$64,MATCH(B3468,'Cashier Roster'!$B$5:$B$64,0)),""))</f>
        <v/>
      </c>
      <c r="E3468" s="13"/>
      <c r="F3468" s="14"/>
      <c r="G3468" s="8" t="str">
        <f>IF(OR(B3468="",E3468=""),"",IF(E3468="No","Missed",IF(F3468="","",IF(F3468&lt;=Settings!$B$7,"On time","Late"))))</f>
        <v/>
      </c>
      <c r="H3468" s="15"/>
      <c r="I3468" s="16"/>
      <c r="J3468" s="16"/>
      <c r="K3468" s="17" t="str">
        <f>IF(J3468="","",ROUND(J3468*Settings!$B$8,2))</f>
        <v/>
      </c>
      <c r="L3468" s="16"/>
      <c r="M3468" s="8" t="str">
        <f t="shared" si="54"/>
        <v/>
      </c>
      <c r="N3468" s="9"/>
    </row>
    <row r="3469" spans="1:14" ht="15.75">
      <c r="A3469" s="11"/>
      <c r="B3469" s="9"/>
      <c r="C3469" s="12" t="str">
        <f>IF(B3469="","",IFERROR(INDEX('Cashier Roster'!$C$5:$C$64,MATCH(B3469,'Cashier Roster'!$B$5:$B$64,0)),"Not on roster"))</f>
        <v/>
      </c>
      <c r="D3469" s="12" t="str">
        <f>IF(B3469="","",IFERROR(INDEX('Cashier Roster'!$D$5:$D$64,MATCH(B3469,'Cashier Roster'!$B$5:$B$64,0)),""))</f>
        <v/>
      </c>
      <c r="E3469" s="13"/>
      <c r="F3469" s="14"/>
      <c r="G3469" s="8" t="str">
        <f>IF(OR(B3469="",E3469=""),"",IF(E3469="No","Missed",IF(F3469="","",IF(F3469&lt;=Settings!$B$7,"On time","Late"))))</f>
        <v/>
      </c>
      <c r="H3469" s="15"/>
      <c r="I3469" s="16"/>
      <c r="J3469" s="16"/>
      <c r="K3469" s="17" t="str">
        <f>IF(J3469="","",ROUND(J3469*Settings!$B$8,2))</f>
        <v/>
      </c>
      <c r="L3469" s="16"/>
      <c r="M3469" s="8" t="str">
        <f t="shared" si="54"/>
        <v/>
      </c>
      <c r="N3469" s="9"/>
    </row>
    <row r="3470" spans="1:14" ht="15.75">
      <c r="A3470" s="11"/>
      <c r="B3470" s="9"/>
      <c r="C3470" s="12" t="str">
        <f>IF(B3470="","",IFERROR(INDEX('Cashier Roster'!$C$5:$C$64,MATCH(B3470,'Cashier Roster'!$B$5:$B$64,0)),"Not on roster"))</f>
        <v/>
      </c>
      <c r="D3470" s="12" t="str">
        <f>IF(B3470="","",IFERROR(INDEX('Cashier Roster'!$D$5:$D$64,MATCH(B3470,'Cashier Roster'!$B$5:$B$64,0)),""))</f>
        <v/>
      </c>
      <c r="E3470" s="13"/>
      <c r="F3470" s="14"/>
      <c r="G3470" s="8" t="str">
        <f>IF(OR(B3470="",E3470=""),"",IF(E3470="No","Missed",IF(F3470="","",IF(F3470&lt;=Settings!$B$7,"On time","Late"))))</f>
        <v/>
      </c>
      <c r="H3470" s="15"/>
      <c r="I3470" s="16"/>
      <c r="J3470" s="16"/>
      <c r="K3470" s="17" t="str">
        <f>IF(J3470="","",ROUND(J3470*Settings!$B$8,2))</f>
        <v/>
      </c>
      <c r="L3470" s="16"/>
      <c r="M3470" s="8" t="str">
        <f t="shared" si="54"/>
        <v/>
      </c>
      <c r="N3470" s="9"/>
    </row>
    <row r="3471" spans="1:14" ht="15.75">
      <c r="A3471" s="11"/>
      <c r="B3471" s="9"/>
      <c r="C3471" s="12" t="str">
        <f>IF(B3471="","",IFERROR(INDEX('Cashier Roster'!$C$5:$C$64,MATCH(B3471,'Cashier Roster'!$B$5:$B$64,0)),"Not on roster"))</f>
        <v/>
      </c>
      <c r="D3471" s="12" t="str">
        <f>IF(B3471="","",IFERROR(INDEX('Cashier Roster'!$D$5:$D$64,MATCH(B3471,'Cashier Roster'!$B$5:$B$64,0)),""))</f>
        <v/>
      </c>
      <c r="E3471" s="13"/>
      <c r="F3471" s="14"/>
      <c r="G3471" s="8" t="str">
        <f>IF(OR(B3471="",E3471=""),"",IF(E3471="No","Missed",IF(F3471="","",IF(F3471&lt;=Settings!$B$7,"On time","Late"))))</f>
        <v/>
      </c>
      <c r="H3471" s="15"/>
      <c r="I3471" s="16"/>
      <c r="J3471" s="16"/>
      <c r="K3471" s="17" t="str">
        <f>IF(J3471="","",ROUND(J3471*Settings!$B$8,2))</f>
        <v/>
      </c>
      <c r="L3471" s="16"/>
      <c r="M3471" s="8" t="str">
        <f t="shared" si="54"/>
        <v/>
      </c>
      <c r="N3471" s="9"/>
    </row>
    <row r="3472" spans="1:14" ht="15.75">
      <c r="A3472" s="11"/>
      <c r="B3472" s="9"/>
      <c r="C3472" s="12" t="str">
        <f>IF(B3472="","",IFERROR(INDEX('Cashier Roster'!$C$5:$C$64,MATCH(B3472,'Cashier Roster'!$B$5:$B$64,0)),"Not on roster"))</f>
        <v/>
      </c>
      <c r="D3472" s="12" t="str">
        <f>IF(B3472="","",IFERROR(INDEX('Cashier Roster'!$D$5:$D$64,MATCH(B3472,'Cashier Roster'!$B$5:$B$64,0)),""))</f>
        <v/>
      </c>
      <c r="E3472" s="13"/>
      <c r="F3472" s="14"/>
      <c r="G3472" s="8" t="str">
        <f>IF(OR(B3472="",E3472=""),"",IF(E3472="No","Missed",IF(F3472="","",IF(F3472&lt;=Settings!$B$7,"On time","Late"))))</f>
        <v/>
      </c>
      <c r="H3472" s="15"/>
      <c r="I3472" s="16"/>
      <c r="J3472" s="16"/>
      <c r="K3472" s="17" t="str">
        <f>IF(J3472="","",ROUND(J3472*Settings!$B$8,2))</f>
        <v/>
      </c>
      <c r="L3472" s="16"/>
      <c r="M3472" s="8" t="str">
        <f t="shared" si="54"/>
        <v/>
      </c>
      <c r="N3472" s="9"/>
    </row>
    <row r="3473" spans="1:14" ht="15.75">
      <c r="A3473" s="11"/>
      <c r="B3473" s="9"/>
      <c r="C3473" s="12" t="str">
        <f>IF(B3473="","",IFERROR(INDEX('Cashier Roster'!$C$5:$C$64,MATCH(B3473,'Cashier Roster'!$B$5:$B$64,0)),"Not on roster"))</f>
        <v/>
      </c>
      <c r="D3473" s="12" t="str">
        <f>IF(B3473="","",IFERROR(INDEX('Cashier Roster'!$D$5:$D$64,MATCH(B3473,'Cashier Roster'!$B$5:$B$64,0)),""))</f>
        <v/>
      </c>
      <c r="E3473" s="13"/>
      <c r="F3473" s="14"/>
      <c r="G3473" s="8" t="str">
        <f>IF(OR(B3473="",E3473=""),"",IF(E3473="No","Missed",IF(F3473="","",IF(F3473&lt;=Settings!$B$7,"On time","Late"))))</f>
        <v/>
      </c>
      <c r="H3473" s="15"/>
      <c r="I3473" s="16"/>
      <c r="J3473" s="16"/>
      <c r="K3473" s="17" t="str">
        <f>IF(J3473="","",ROUND(J3473*Settings!$B$8,2))</f>
        <v/>
      </c>
      <c r="L3473" s="16"/>
      <c r="M3473" s="8" t="str">
        <f t="shared" si="54"/>
        <v/>
      </c>
      <c r="N3473" s="9"/>
    </row>
    <row r="3474" spans="1:14" ht="15.75">
      <c r="A3474" s="11"/>
      <c r="B3474" s="9"/>
      <c r="C3474" s="12" t="str">
        <f>IF(B3474="","",IFERROR(INDEX('Cashier Roster'!$C$5:$C$64,MATCH(B3474,'Cashier Roster'!$B$5:$B$64,0)),"Not on roster"))</f>
        <v/>
      </c>
      <c r="D3474" s="12" t="str">
        <f>IF(B3474="","",IFERROR(INDEX('Cashier Roster'!$D$5:$D$64,MATCH(B3474,'Cashier Roster'!$B$5:$B$64,0)),""))</f>
        <v/>
      </c>
      <c r="E3474" s="13"/>
      <c r="F3474" s="14"/>
      <c r="G3474" s="8" t="str">
        <f>IF(OR(B3474="",E3474=""),"",IF(E3474="No","Missed",IF(F3474="","",IF(F3474&lt;=Settings!$B$7,"On time","Late"))))</f>
        <v/>
      </c>
      <c r="H3474" s="15"/>
      <c r="I3474" s="16"/>
      <c r="J3474" s="16"/>
      <c r="K3474" s="17" t="str">
        <f>IF(J3474="","",ROUND(J3474*Settings!$B$8,2))</f>
        <v/>
      </c>
      <c r="L3474" s="16"/>
      <c r="M3474" s="8" t="str">
        <f t="shared" si="54"/>
        <v/>
      </c>
      <c r="N3474" s="9"/>
    </row>
    <row r="3475" spans="1:14" ht="15.75">
      <c r="A3475" s="11"/>
      <c r="B3475" s="9"/>
      <c r="C3475" s="12" t="str">
        <f>IF(B3475="","",IFERROR(INDEX('Cashier Roster'!$C$5:$C$64,MATCH(B3475,'Cashier Roster'!$B$5:$B$64,0)),"Not on roster"))</f>
        <v/>
      </c>
      <c r="D3475" s="12" t="str">
        <f>IF(B3475="","",IFERROR(INDEX('Cashier Roster'!$D$5:$D$64,MATCH(B3475,'Cashier Roster'!$B$5:$B$64,0)),""))</f>
        <v/>
      </c>
      <c r="E3475" s="13"/>
      <c r="F3475" s="14"/>
      <c r="G3475" s="8" t="str">
        <f>IF(OR(B3475="",E3475=""),"",IF(E3475="No","Missed",IF(F3475="","",IF(F3475&lt;=Settings!$B$7,"On time","Late"))))</f>
        <v/>
      </c>
      <c r="H3475" s="15"/>
      <c r="I3475" s="16"/>
      <c r="J3475" s="16"/>
      <c r="K3475" s="17" t="str">
        <f>IF(J3475="","",ROUND(J3475*Settings!$B$8,2))</f>
        <v/>
      </c>
      <c r="L3475" s="16"/>
      <c r="M3475" s="8" t="str">
        <f t="shared" si="54"/>
        <v/>
      </c>
      <c r="N3475" s="9"/>
    </row>
    <row r="3476" spans="1:14" ht="15.75">
      <c r="A3476" s="11"/>
      <c r="B3476" s="9"/>
      <c r="C3476" s="12" t="str">
        <f>IF(B3476="","",IFERROR(INDEX('Cashier Roster'!$C$5:$C$64,MATCH(B3476,'Cashier Roster'!$B$5:$B$64,0)),"Not on roster"))</f>
        <v/>
      </c>
      <c r="D3476" s="12" t="str">
        <f>IF(B3476="","",IFERROR(INDEX('Cashier Roster'!$D$5:$D$64,MATCH(B3476,'Cashier Roster'!$B$5:$B$64,0)),""))</f>
        <v/>
      </c>
      <c r="E3476" s="13"/>
      <c r="F3476" s="14"/>
      <c r="G3476" s="8" t="str">
        <f>IF(OR(B3476="",E3476=""),"",IF(E3476="No","Missed",IF(F3476="","",IF(F3476&lt;=Settings!$B$7,"On time","Late"))))</f>
        <v/>
      </c>
      <c r="H3476" s="15"/>
      <c r="I3476" s="16"/>
      <c r="J3476" s="16"/>
      <c r="K3476" s="17" t="str">
        <f>IF(J3476="","",ROUND(J3476*Settings!$B$8,2))</f>
        <v/>
      </c>
      <c r="L3476" s="16"/>
      <c r="M3476" s="8" t="str">
        <f t="shared" si="54"/>
        <v/>
      </c>
      <c r="N3476" s="9"/>
    </row>
    <row r="3477" spans="1:14" ht="15.75">
      <c r="A3477" s="11"/>
      <c r="B3477" s="9"/>
      <c r="C3477" s="12" t="str">
        <f>IF(B3477="","",IFERROR(INDEX('Cashier Roster'!$C$5:$C$64,MATCH(B3477,'Cashier Roster'!$B$5:$B$64,0)),"Not on roster"))</f>
        <v/>
      </c>
      <c r="D3477" s="12" t="str">
        <f>IF(B3477="","",IFERROR(INDEX('Cashier Roster'!$D$5:$D$64,MATCH(B3477,'Cashier Roster'!$B$5:$B$64,0)),""))</f>
        <v/>
      </c>
      <c r="E3477" s="13"/>
      <c r="F3477" s="14"/>
      <c r="G3477" s="8" t="str">
        <f>IF(OR(B3477="",E3477=""),"",IF(E3477="No","Missed",IF(F3477="","",IF(F3477&lt;=Settings!$B$7,"On time","Late"))))</f>
        <v/>
      </c>
      <c r="H3477" s="15"/>
      <c r="I3477" s="16"/>
      <c r="J3477" s="16"/>
      <c r="K3477" s="17" t="str">
        <f>IF(J3477="","",ROUND(J3477*Settings!$B$8,2))</f>
        <v/>
      </c>
      <c r="L3477" s="16"/>
      <c r="M3477" s="8" t="str">
        <f t="shared" si="54"/>
        <v/>
      </c>
      <c r="N3477" s="9"/>
    </row>
    <row r="3478" spans="1:14" ht="15.75">
      <c r="A3478" s="11"/>
      <c r="B3478" s="9"/>
      <c r="C3478" s="12" t="str">
        <f>IF(B3478="","",IFERROR(INDEX('Cashier Roster'!$C$5:$C$64,MATCH(B3478,'Cashier Roster'!$B$5:$B$64,0)),"Not on roster"))</f>
        <v/>
      </c>
      <c r="D3478" s="12" t="str">
        <f>IF(B3478="","",IFERROR(INDEX('Cashier Roster'!$D$5:$D$64,MATCH(B3478,'Cashier Roster'!$B$5:$B$64,0)),""))</f>
        <v/>
      </c>
      <c r="E3478" s="13"/>
      <c r="F3478" s="14"/>
      <c r="G3478" s="8" t="str">
        <f>IF(OR(B3478="",E3478=""),"",IF(E3478="No","Missed",IF(F3478="","",IF(F3478&lt;=Settings!$B$7,"On time","Late"))))</f>
        <v/>
      </c>
      <c r="H3478" s="15"/>
      <c r="I3478" s="16"/>
      <c r="J3478" s="16"/>
      <c r="K3478" s="17" t="str">
        <f>IF(J3478="","",ROUND(J3478*Settings!$B$8,2))</f>
        <v/>
      </c>
      <c r="L3478" s="16"/>
      <c r="M3478" s="8" t="str">
        <f t="shared" si="54"/>
        <v/>
      </c>
      <c r="N3478" s="9"/>
    </row>
    <row r="3479" spans="1:14" ht="15.75">
      <c r="A3479" s="11"/>
      <c r="B3479" s="9"/>
      <c r="C3479" s="12" t="str">
        <f>IF(B3479="","",IFERROR(INDEX('Cashier Roster'!$C$5:$C$64,MATCH(B3479,'Cashier Roster'!$B$5:$B$64,0)),"Not on roster"))</f>
        <v/>
      </c>
      <c r="D3479" s="12" t="str">
        <f>IF(B3479="","",IFERROR(INDEX('Cashier Roster'!$D$5:$D$64,MATCH(B3479,'Cashier Roster'!$B$5:$B$64,0)),""))</f>
        <v/>
      </c>
      <c r="E3479" s="13"/>
      <c r="F3479" s="14"/>
      <c r="G3479" s="8" t="str">
        <f>IF(OR(B3479="",E3479=""),"",IF(E3479="No","Missed",IF(F3479="","",IF(F3479&lt;=Settings!$B$7,"On time","Late"))))</f>
        <v/>
      </c>
      <c r="H3479" s="15"/>
      <c r="I3479" s="16"/>
      <c r="J3479" s="16"/>
      <c r="K3479" s="17" t="str">
        <f>IF(J3479="","",ROUND(J3479*Settings!$B$8,2))</f>
        <v/>
      </c>
      <c r="L3479" s="16"/>
      <c r="M3479" s="8" t="str">
        <f t="shared" si="54"/>
        <v/>
      </c>
      <c r="N3479" s="9"/>
    </row>
    <row r="3480" spans="1:14" ht="15.75">
      <c r="A3480" s="11"/>
      <c r="B3480" s="9"/>
      <c r="C3480" s="12" t="str">
        <f>IF(B3480="","",IFERROR(INDEX('Cashier Roster'!$C$5:$C$64,MATCH(B3480,'Cashier Roster'!$B$5:$B$64,0)),"Not on roster"))</f>
        <v/>
      </c>
      <c r="D3480" s="12" t="str">
        <f>IF(B3480="","",IFERROR(INDEX('Cashier Roster'!$D$5:$D$64,MATCH(B3480,'Cashier Roster'!$B$5:$B$64,0)),""))</f>
        <v/>
      </c>
      <c r="E3480" s="13"/>
      <c r="F3480" s="14"/>
      <c r="G3480" s="8" t="str">
        <f>IF(OR(B3480="",E3480=""),"",IF(E3480="No","Missed",IF(F3480="","",IF(F3480&lt;=Settings!$B$7,"On time","Late"))))</f>
        <v/>
      </c>
      <c r="H3480" s="15"/>
      <c r="I3480" s="16"/>
      <c r="J3480" s="16"/>
      <c r="K3480" s="17" t="str">
        <f>IF(J3480="","",ROUND(J3480*Settings!$B$8,2))</f>
        <v/>
      </c>
      <c r="L3480" s="16"/>
      <c r="M3480" s="8" t="str">
        <f t="shared" si="54"/>
        <v/>
      </c>
      <c r="N3480" s="9"/>
    </row>
    <row r="3481" spans="1:14" ht="15.75">
      <c r="A3481" s="11"/>
      <c r="B3481" s="9"/>
      <c r="C3481" s="12" t="str">
        <f>IF(B3481="","",IFERROR(INDEX('Cashier Roster'!$C$5:$C$64,MATCH(B3481,'Cashier Roster'!$B$5:$B$64,0)),"Not on roster"))</f>
        <v/>
      </c>
      <c r="D3481" s="12" t="str">
        <f>IF(B3481="","",IFERROR(INDEX('Cashier Roster'!$D$5:$D$64,MATCH(B3481,'Cashier Roster'!$B$5:$B$64,0)),""))</f>
        <v/>
      </c>
      <c r="E3481" s="13"/>
      <c r="F3481" s="14"/>
      <c r="G3481" s="8" t="str">
        <f>IF(OR(B3481="",E3481=""),"",IF(E3481="No","Missed",IF(F3481="","",IF(F3481&lt;=Settings!$B$7,"On time","Late"))))</f>
        <v/>
      </c>
      <c r="H3481" s="15"/>
      <c r="I3481" s="16"/>
      <c r="J3481" s="16"/>
      <c r="K3481" s="17" t="str">
        <f>IF(J3481="","",ROUND(J3481*Settings!$B$8,2))</f>
        <v/>
      </c>
      <c r="L3481" s="16"/>
      <c r="M3481" s="8" t="str">
        <f t="shared" si="54"/>
        <v/>
      </c>
      <c r="N3481" s="9"/>
    </row>
    <row r="3482" spans="1:14" ht="15.75">
      <c r="A3482" s="11"/>
      <c r="B3482" s="9"/>
      <c r="C3482" s="12" t="str">
        <f>IF(B3482="","",IFERROR(INDEX('Cashier Roster'!$C$5:$C$64,MATCH(B3482,'Cashier Roster'!$B$5:$B$64,0)),"Not on roster"))</f>
        <v/>
      </c>
      <c r="D3482" s="12" t="str">
        <f>IF(B3482="","",IFERROR(INDEX('Cashier Roster'!$D$5:$D$64,MATCH(B3482,'Cashier Roster'!$B$5:$B$64,0)),""))</f>
        <v/>
      </c>
      <c r="E3482" s="13"/>
      <c r="F3482" s="14"/>
      <c r="G3482" s="8" t="str">
        <f>IF(OR(B3482="",E3482=""),"",IF(E3482="No","Missed",IF(F3482="","",IF(F3482&lt;=Settings!$B$7,"On time","Late"))))</f>
        <v/>
      </c>
      <c r="H3482" s="15"/>
      <c r="I3482" s="16"/>
      <c r="J3482" s="16"/>
      <c r="K3482" s="17" t="str">
        <f>IF(J3482="","",ROUND(J3482*Settings!$B$8,2))</f>
        <v/>
      </c>
      <c r="L3482" s="16"/>
      <c r="M3482" s="8" t="str">
        <f t="shared" si="54"/>
        <v/>
      </c>
      <c r="N3482" s="9"/>
    </row>
    <row r="3483" spans="1:14" ht="15.75">
      <c r="A3483" s="11"/>
      <c r="B3483" s="9"/>
      <c r="C3483" s="12" t="str">
        <f>IF(B3483="","",IFERROR(INDEX('Cashier Roster'!$C$5:$C$64,MATCH(B3483,'Cashier Roster'!$B$5:$B$64,0)),"Not on roster"))</f>
        <v/>
      </c>
      <c r="D3483" s="12" t="str">
        <f>IF(B3483="","",IFERROR(INDEX('Cashier Roster'!$D$5:$D$64,MATCH(B3483,'Cashier Roster'!$B$5:$B$64,0)),""))</f>
        <v/>
      </c>
      <c r="E3483" s="13"/>
      <c r="F3483" s="14"/>
      <c r="G3483" s="8" t="str">
        <f>IF(OR(B3483="",E3483=""),"",IF(E3483="No","Missed",IF(F3483="","",IF(F3483&lt;=Settings!$B$7,"On time","Late"))))</f>
        <v/>
      </c>
      <c r="H3483" s="15"/>
      <c r="I3483" s="16"/>
      <c r="J3483" s="16"/>
      <c r="K3483" s="17" t="str">
        <f>IF(J3483="","",ROUND(J3483*Settings!$B$8,2))</f>
        <v/>
      </c>
      <c r="L3483" s="16"/>
      <c r="M3483" s="8" t="str">
        <f t="shared" si="54"/>
        <v/>
      </c>
      <c r="N3483" s="9"/>
    </row>
    <row r="3484" spans="1:14" ht="15.75">
      <c r="A3484" s="11"/>
      <c r="B3484" s="9"/>
      <c r="C3484" s="12" t="str">
        <f>IF(B3484="","",IFERROR(INDEX('Cashier Roster'!$C$5:$C$64,MATCH(B3484,'Cashier Roster'!$B$5:$B$64,0)),"Not on roster"))</f>
        <v/>
      </c>
      <c r="D3484" s="12" t="str">
        <f>IF(B3484="","",IFERROR(INDEX('Cashier Roster'!$D$5:$D$64,MATCH(B3484,'Cashier Roster'!$B$5:$B$64,0)),""))</f>
        <v/>
      </c>
      <c r="E3484" s="13"/>
      <c r="F3484" s="14"/>
      <c r="G3484" s="8" t="str">
        <f>IF(OR(B3484="",E3484=""),"",IF(E3484="No","Missed",IF(F3484="","",IF(F3484&lt;=Settings!$B$7,"On time","Late"))))</f>
        <v/>
      </c>
      <c r="H3484" s="15"/>
      <c r="I3484" s="16"/>
      <c r="J3484" s="16"/>
      <c r="K3484" s="17" t="str">
        <f>IF(J3484="","",ROUND(J3484*Settings!$B$8,2))</f>
        <v/>
      </c>
      <c r="L3484" s="16"/>
      <c r="M3484" s="8" t="str">
        <f t="shared" si="54"/>
        <v/>
      </c>
      <c r="N3484" s="9"/>
    </row>
    <row r="3485" spans="1:14" ht="15.75">
      <c r="A3485" s="11"/>
      <c r="B3485" s="9"/>
      <c r="C3485" s="12" t="str">
        <f>IF(B3485="","",IFERROR(INDEX('Cashier Roster'!$C$5:$C$64,MATCH(B3485,'Cashier Roster'!$B$5:$B$64,0)),"Not on roster"))</f>
        <v/>
      </c>
      <c r="D3485" s="12" t="str">
        <f>IF(B3485="","",IFERROR(INDEX('Cashier Roster'!$D$5:$D$64,MATCH(B3485,'Cashier Roster'!$B$5:$B$64,0)),""))</f>
        <v/>
      </c>
      <c r="E3485" s="13"/>
      <c r="F3485" s="14"/>
      <c r="G3485" s="8" t="str">
        <f>IF(OR(B3485="",E3485=""),"",IF(E3485="No","Missed",IF(F3485="","",IF(F3485&lt;=Settings!$B$7,"On time","Late"))))</f>
        <v/>
      </c>
      <c r="H3485" s="15"/>
      <c r="I3485" s="16"/>
      <c r="J3485" s="16"/>
      <c r="K3485" s="17" t="str">
        <f>IF(J3485="","",ROUND(J3485*Settings!$B$8,2))</f>
        <v/>
      </c>
      <c r="L3485" s="16"/>
      <c r="M3485" s="8" t="str">
        <f t="shared" si="54"/>
        <v/>
      </c>
      <c r="N3485" s="9"/>
    </row>
    <row r="3486" spans="1:14" ht="15.75">
      <c r="A3486" s="11"/>
      <c r="B3486" s="9"/>
      <c r="C3486" s="12" t="str">
        <f>IF(B3486="","",IFERROR(INDEX('Cashier Roster'!$C$5:$C$64,MATCH(B3486,'Cashier Roster'!$B$5:$B$64,0)),"Not on roster"))</f>
        <v/>
      </c>
      <c r="D3486" s="12" t="str">
        <f>IF(B3486="","",IFERROR(INDEX('Cashier Roster'!$D$5:$D$64,MATCH(B3486,'Cashier Roster'!$B$5:$B$64,0)),""))</f>
        <v/>
      </c>
      <c r="E3486" s="13"/>
      <c r="F3486" s="14"/>
      <c r="G3486" s="8" t="str">
        <f>IF(OR(B3486="",E3486=""),"",IF(E3486="No","Missed",IF(F3486="","",IF(F3486&lt;=Settings!$B$7,"On time","Late"))))</f>
        <v/>
      </c>
      <c r="H3486" s="15"/>
      <c r="I3486" s="16"/>
      <c r="J3486" s="16"/>
      <c r="K3486" s="17" t="str">
        <f>IF(J3486="","",ROUND(J3486*Settings!$B$8,2))</f>
        <v/>
      </c>
      <c r="L3486" s="16"/>
      <c r="M3486" s="8" t="str">
        <f t="shared" si="54"/>
        <v/>
      </c>
      <c r="N3486" s="9"/>
    </row>
    <row r="3487" spans="1:14" ht="15.75">
      <c r="A3487" s="11"/>
      <c r="B3487" s="9"/>
      <c r="C3487" s="12" t="str">
        <f>IF(B3487="","",IFERROR(INDEX('Cashier Roster'!$C$5:$C$64,MATCH(B3487,'Cashier Roster'!$B$5:$B$64,0)),"Not on roster"))</f>
        <v/>
      </c>
      <c r="D3487" s="12" t="str">
        <f>IF(B3487="","",IFERROR(INDEX('Cashier Roster'!$D$5:$D$64,MATCH(B3487,'Cashier Roster'!$B$5:$B$64,0)),""))</f>
        <v/>
      </c>
      <c r="E3487" s="13"/>
      <c r="F3487" s="14"/>
      <c r="G3487" s="8" t="str">
        <f>IF(OR(B3487="",E3487=""),"",IF(E3487="No","Missed",IF(F3487="","",IF(F3487&lt;=Settings!$B$7,"On time","Late"))))</f>
        <v/>
      </c>
      <c r="H3487" s="15"/>
      <c r="I3487" s="16"/>
      <c r="J3487" s="16"/>
      <c r="K3487" s="17" t="str">
        <f>IF(J3487="","",ROUND(J3487*Settings!$B$8,2))</f>
        <v/>
      </c>
      <c r="L3487" s="16"/>
      <c r="M3487" s="8" t="str">
        <f t="shared" si="54"/>
        <v/>
      </c>
      <c r="N3487" s="9"/>
    </row>
    <row r="3488" spans="1:14" ht="15.75">
      <c r="A3488" s="11"/>
      <c r="B3488" s="9"/>
      <c r="C3488" s="12" t="str">
        <f>IF(B3488="","",IFERROR(INDEX('Cashier Roster'!$C$5:$C$64,MATCH(B3488,'Cashier Roster'!$B$5:$B$64,0)),"Not on roster"))</f>
        <v/>
      </c>
      <c r="D3488" s="12" t="str">
        <f>IF(B3488="","",IFERROR(INDEX('Cashier Roster'!$D$5:$D$64,MATCH(B3488,'Cashier Roster'!$B$5:$B$64,0)),""))</f>
        <v/>
      </c>
      <c r="E3488" s="13"/>
      <c r="F3488" s="14"/>
      <c r="G3488" s="8" t="str">
        <f>IF(OR(B3488="",E3488=""),"",IF(E3488="No","Missed",IF(F3488="","",IF(F3488&lt;=Settings!$B$7,"On time","Late"))))</f>
        <v/>
      </c>
      <c r="H3488" s="15"/>
      <c r="I3488" s="16"/>
      <c r="J3488" s="16"/>
      <c r="K3488" s="17" t="str">
        <f>IF(J3488="","",ROUND(J3488*Settings!$B$8,2))</f>
        <v/>
      </c>
      <c r="L3488" s="16"/>
      <c r="M3488" s="8" t="str">
        <f t="shared" si="54"/>
        <v/>
      </c>
      <c r="N3488" s="9"/>
    </row>
    <row r="3489" spans="1:14" ht="15.75">
      <c r="A3489" s="11"/>
      <c r="B3489" s="9"/>
      <c r="C3489" s="12" t="str">
        <f>IF(B3489="","",IFERROR(INDEX('Cashier Roster'!$C$5:$C$64,MATCH(B3489,'Cashier Roster'!$B$5:$B$64,0)),"Not on roster"))</f>
        <v/>
      </c>
      <c r="D3489" s="12" t="str">
        <f>IF(B3489="","",IFERROR(INDEX('Cashier Roster'!$D$5:$D$64,MATCH(B3489,'Cashier Roster'!$B$5:$B$64,0)),""))</f>
        <v/>
      </c>
      <c r="E3489" s="13"/>
      <c r="F3489" s="14"/>
      <c r="G3489" s="8" t="str">
        <f>IF(OR(B3489="",E3489=""),"",IF(E3489="No","Missed",IF(F3489="","",IF(F3489&lt;=Settings!$B$7,"On time","Late"))))</f>
        <v/>
      </c>
      <c r="H3489" s="15"/>
      <c r="I3489" s="16"/>
      <c r="J3489" s="16"/>
      <c r="K3489" s="17" t="str">
        <f>IF(J3489="","",ROUND(J3489*Settings!$B$8,2))</f>
        <v/>
      </c>
      <c r="L3489" s="16"/>
      <c r="M3489" s="8" t="str">
        <f t="shared" si="54"/>
        <v/>
      </c>
      <c r="N3489" s="9"/>
    </row>
    <row r="3490" spans="1:14" ht="15.75">
      <c r="A3490" s="11"/>
      <c r="B3490" s="9"/>
      <c r="C3490" s="12" t="str">
        <f>IF(B3490="","",IFERROR(INDEX('Cashier Roster'!$C$5:$C$64,MATCH(B3490,'Cashier Roster'!$B$5:$B$64,0)),"Not on roster"))</f>
        <v/>
      </c>
      <c r="D3490" s="12" t="str">
        <f>IF(B3490="","",IFERROR(INDEX('Cashier Roster'!$D$5:$D$64,MATCH(B3490,'Cashier Roster'!$B$5:$B$64,0)),""))</f>
        <v/>
      </c>
      <c r="E3490" s="13"/>
      <c r="F3490" s="14"/>
      <c r="G3490" s="8" t="str">
        <f>IF(OR(B3490="",E3490=""),"",IF(E3490="No","Missed",IF(F3490="","",IF(F3490&lt;=Settings!$B$7,"On time","Late"))))</f>
        <v/>
      </c>
      <c r="H3490" s="15"/>
      <c r="I3490" s="16"/>
      <c r="J3490" s="16"/>
      <c r="K3490" s="17" t="str">
        <f>IF(J3490="","",ROUND(J3490*Settings!$B$8,2))</f>
        <v/>
      </c>
      <c r="L3490" s="16"/>
      <c r="M3490" s="8" t="str">
        <f t="shared" si="54"/>
        <v/>
      </c>
      <c r="N3490" s="9"/>
    </row>
    <row r="3491" spans="1:14" ht="15.75">
      <c r="A3491" s="11"/>
      <c r="B3491" s="9"/>
      <c r="C3491" s="12" t="str">
        <f>IF(B3491="","",IFERROR(INDEX('Cashier Roster'!$C$5:$C$64,MATCH(B3491,'Cashier Roster'!$B$5:$B$64,0)),"Not on roster"))</f>
        <v/>
      </c>
      <c r="D3491" s="12" t="str">
        <f>IF(B3491="","",IFERROR(INDEX('Cashier Roster'!$D$5:$D$64,MATCH(B3491,'Cashier Roster'!$B$5:$B$64,0)),""))</f>
        <v/>
      </c>
      <c r="E3491" s="13"/>
      <c r="F3491" s="14"/>
      <c r="G3491" s="8" t="str">
        <f>IF(OR(B3491="",E3491=""),"",IF(E3491="No","Missed",IF(F3491="","",IF(F3491&lt;=Settings!$B$7,"On time","Late"))))</f>
        <v/>
      </c>
      <c r="H3491" s="15"/>
      <c r="I3491" s="16"/>
      <c r="J3491" s="16"/>
      <c r="K3491" s="17" t="str">
        <f>IF(J3491="","",ROUND(J3491*Settings!$B$8,2))</f>
        <v/>
      </c>
      <c r="L3491" s="16"/>
      <c r="M3491" s="8" t="str">
        <f t="shared" si="54"/>
        <v/>
      </c>
      <c r="N3491" s="9"/>
    </row>
    <row r="3492" spans="1:14" ht="15.75">
      <c r="A3492" s="11"/>
      <c r="B3492" s="9"/>
      <c r="C3492" s="12" t="str">
        <f>IF(B3492="","",IFERROR(INDEX('Cashier Roster'!$C$5:$C$64,MATCH(B3492,'Cashier Roster'!$B$5:$B$64,0)),"Not on roster"))</f>
        <v/>
      </c>
      <c r="D3492" s="12" t="str">
        <f>IF(B3492="","",IFERROR(INDEX('Cashier Roster'!$D$5:$D$64,MATCH(B3492,'Cashier Roster'!$B$5:$B$64,0)),""))</f>
        <v/>
      </c>
      <c r="E3492" s="13"/>
      <c r="F3492" s="14"/>
      <c r="G3492" s="8" t="str">
        <f>IF(OR(B3492="",E3492=""),"",IF(E3492="No","Missed",IF(F3492="","",IF(F3492&lt;=Settings!$B$7,"On time","Late"))))</f>
        <v/>
      </c>
      <c r="H3492" s="15"/>
      <c r="I3492" s="16"/>
      <c r="J3492" s="16"/>
      <c r="K3492" s="17" t="str">
        <f>IF(J3492="","",ROUND(J3492*Settings!$B$8,2))</f>
        <v/>
      </c>
      <c r="L3492" s="16"/>
      <c r="M3492" s="8" t="str">
        <f t="shared" si="54"/>
        <v/>
      </c>
      <c r="N3492" s="9"/>
    </row>
    <row r="3493" spans="1:14" ht="15.75">
      <c r="A3493" s="11"/>
      <c r="B3493" s="9"/>
      <c r="C3493" s="12" t="str">
        <f>IF(B3493="","",IFERROR(INDEX('Cashier Roster'!$C$5:$C$64,MATCH(B3493,'Cashier Roster'!$B$5:$B$64,0)),"Not on roster"))</f>
        <v/>
      </c>
      <c r="D3493" s="12" t="str">
        <f>IF(B3493="","",IFERROR(INDEX('Cashier Roster'!$D$5:$D$64,MATCH(B3493,'Cashier Roster'!$B$5:$B$64,0)),""))</f>
        <v/>
      </c>
      <c r="E3493" s="13"/>
      <c r="F3493" s="14"/>
      <c r="G3493" s="8" t="str">
        <f>IF(OR(B3493="",E3493=""),"",IF(E3493="No","Missed",IF(F3493="","",IF(F3493&lt;=Settings!$B$7,"On time","Late"))))</f>
        <v/>
      </c>
      <c r="H3493" s="15"/>
      <c r="I3493" s="16"/>
      <c r="J3493" s="16"/>
      <c r="K3493" s="17" t="str">
        <f>IF(J3493="","",ROUND(J3493*Settings!$B$8,2))</f>
        <v/>
      </c>
      <c r="L3493" s="16"/>
      <c r="M3493" s="8" t="str">
        <f t="shared" si="54"/>
        <v/>
      </c>
      <c r="N3493" s="9"/>
    </row>
    <row r="3494" spans="1:14" ht="15.75">
      <c r="A3494" s="11"/>
      <c r="B3494" s="9"/>
      <c r="C3494" s="12" t="str">
        <f>IF(B3494="","",IFERROR(INDEX('Cashier Roster'!$C$5:$C$64,MATCH(B3494,'Cashier Roster'!$B$5:$B$64,0)),"Not on roster"))</f>
        <v/>
      </c>
      <c r="D3494" s="12" t="str">
        <f>IF(B3494="","",IFERROR(INDEX('Cashier Roster'!$D$5:$D$64,MATCH(B3494,'Cashier Roster'!$B$5:$B$64,0)),""))</f>
        <v/>
      </c>
      <c r="E3494" s="13"/>
      <c r="F3494" s="14"/>
      <c r="G3494" s="8" t="str">
        <f>IF(OR(B3494="",E3494=""),"",IF(E3494="No","Missed",IF(F3494="","",IF(F3494&lt;=Settings!$B$7,"On time","Late"))))</f>
        <v/>
      </c>
      <c r="H3494" s="15"/>
      <c r="I3494" s="16"/>
      <c r="J3494" s="16"/>
      <c r="K3494" s="17" t="str">
        <f>IF(J3494="","",ROUND(J3494*Settings!$B$8,2))</f>
        <v/>
      </c>
      <c r="L3494" s="16"/>
      <c r="M3494" s="8" t="str">
        <f t="shared" si="54"/>
        <v/>
      </c>
      <c r="N3494" s="9"/>
    </row>
    <row r="3495" spans="1:14" ht="15.75">
      <c r="A3495" s="11"/>
      <c r="B3495" s="9"/>
      <c r="C3495" s="12" t="str">
        <f>IF(B3495="","",IFERROR(INDEX('Cashier Roster'!$C$5:$C$64,MATCH(B3495,'Cashier Roster'!$B$5:$B$64,0)),"Not on roster"))</f>
        <v/>
      </c>
      <c r="D3495" s="12" t="str">
        <f>IF(B3495="","",IFERROR(INDEX('Cashier Roster'!$D$5:$D$64,MATCH(B3495,'Cashier Roster'!$B$5:$B$64,0)),""))</f>
        <v/>
      </c>
      <c r="E3495" s="13"/>
      <c r="F3495" s="14"/>
      <c r="G3495" s="8" t="str">
        <f>IF(OR(B3495="",E3495=""),"",IF(E3495="No","Missed",IF(F3495="","",IF(F3495&lt;=Settings!$B$7,"On time","Late"))))</f>
        <v/>
      </c>
      <c r="H3495" s="15"/>
      <c r="I3495" s="16"/>
      <c r="J3495" s="16"/>
      <c r="K3495" s="17" t="str">
        <f>IF(J3495="","",ROUND(J3495*Settings!$B$8,2))</f>
        <v/>
      </c>
      <c r="L3495" s="16"/>
      <c r="M3495" s="8" t="str">
        <f t="shared" si="54"/>
        <v/>
      </c>
      <c r="N3495" s="9"/>
    </row>
    <row r="3496" spans="1:14" ht="15.75">
      <c r="A3496" s="11"/>
      <c r="B3496" s="9"/>
      <c r="C3496" s="12" t="str">
        <f>IF(B3496="","",IFERROR(INDEX('Cashier Roster'!$C$5:$C$64,MATCH(B3496,'Cashier Roster'!$B$5:$B$64,0)),"Not on roster"))</f>
        <v/>
      </c>
      <c r="D3496" s="12" t="str">
        <f>IF(B3496="","",IFERROR(INDEX('Cashier Roster'!$D$5:$D$64,MATCH(B3496,'Cashier Roster'!$B$5:$B$64,0)),""))</f>
        <v/>
      </c>
      <c r="E3496" s="13"/>
      <c r="F3496" s="14"/>
      <c r="G3496" s="8" t="str">
        <f>IF(OR(B3496="",E3496=""),"",IF(E3496="No","Missed",IF(F3496="","",IF(F3496&lt;=Settings!$B$7,"On time","Late"))))</f>
        <v/>
      </c>
      <c r="H3496" s="15"/>
      <c r="I3496" s="16"/>
      <c r="J3496" s="16"/>
      <c r="K3496" s="17" t="str">
        <f>IF(J3496="","",ROUND(J3496*Settings!$B$8,2))</f>
        <v/>
      </c>
      <c r="L3496" s="16"/>
      <c r="M3496" s="8" t="str">
        <f t="shared" si="54"/>
        <v/>
      </c>
      <c r="N3496" s="9"/>
    </row>
    <row r="3497" spans="1:14" ht="15.75">
      <c r="A3497" s="11"/>
      <c r="B3497" s="9"/>
      <c r="C3497" s="12" t="str">
        <f>IF(B3497="","",IFERROR(INDEX('Cashier Roster'!$C$5:$C$64,MATCH(B3497,'Cashier Roster'!$B$5:$B$64,0)),"Not on roster"))</f>
        <v/>
      </c>
      <c r="D3497" s="12" t="str">
        <f>IF(B3497="","",IFERROR(INDEX('Cashier Roster'!$D$5:$D$64,MATCH(B3497,'Cashier Roster'!$B$5:$B$64,0)),""))</f>
        <v/>
      </c>
      <c r="E3497" s="13"/>
      <c r="F3497" s="14"/>
      <c r="G3497" s="8" t="str">
        <f>IF(OR(B3497="",E3497=""),"",IF(E3497="No","Missed",IF(F3497="","",IF(F3497&lt;=Settings!$B$7,"On time","Late"))))</f>
        <v/>
      </c>
      <c r="H3497" s="15"/>
      <c r="I3497" s="16"/>
      <c r="J3497" s="16"/>
      <c r="K3497" s="17" t="str">
        <f>IF(J3497="","",ROUND(J3497*Settings!$B$8,2))</f>
        <v/>
      </c>
      <c r="L3497" s="16"/>
      <c r="M3497" s="8" t="str">
        <f t="shared" si="54"/>
        <v/>
      </c>
      <c r="N3497" s="9"/>
    </row>
    <row r="3498" spans="1:14" ht="15.75">
      <c r="A3498" s="11"/>
      <c r="B3498" s="9"/>
      <c r="C3498" s="12" t="str">
        <f>IF(B3498="","",IFERROR(INDEX('Cashier Roster'!$C$5:$C$64,MATCH(B3498,'Cashier Roster'!$B$5:$B$64,0)),"Not on roster"))</f>
        <v/>
      </c>
      <c r="D3498" s="12" t="str">
        <f>IF(B3498="","",IFERROR(INDEX('Cashier Roster'!$D$5:$D$64,MATCH(B3498,'Cashier Roster'!$B$5:$B$64,0)),""))</f>
        <v/>
      </c>
      <c r="E3498" s="13"/>
      <c r="F3498" s="14"/>
      <c r="G3498" s="8" t="str">
        <f>IF(OR(B3498="",E3498=""),"",IF(E3498="No","Missed",IF(F3498="","",IF(F3498&lt;=Settings!$B$7,"On time","Late"))))</f>
        <v/>
      </c>
      <c r="H3498" s="15"/>
      <c r="I3498" s="16"/>
      <c r="J3498" s="16"/>
      <c r="K3498" s="17" t="str">
        <f>IF(J3498="","",ROUND(J3498*Settings!$B$8,2))</f>
        <v/>
      </c>
      <c r="L3498" s="16"/>
      <c r="M3498" s="8" t="str">
        <f t="shared" si="54"/>
        <v/>
      </c>
      <c r="N3498" s="9"/>
    </row>
    <row r="3499" spans="1:14" ht="15.75">
      <c r="A3499" s="11"/>
      <c r="B3499" s="9"/>
      <c r="C3499" s="12" t="str">
        <f>IF(B3499="","",IFERROR(INDEX('Cashier Roster'!$C$5:$C$64,MATCH(B3499,'Cashier Roster'!$B$5:$B$64,0)),"Not on roster"))</f>
        <v/>
      </c>
      <c r="D3499" s="12" t="str">
        <f>IF(B3499="","",IFERROR(INDEX('Cashier Roster'!$D$5:$D$64,MATCH(B3499,'Cashier Roster'!$B$5:$B$64,0)),""))</f>
        <v/>
      </c>
      <c r="E3499" s="13"/>
      <c r="F3499" s="14"/>
      <c r="G3499" s="8" t="str">
        <f>IF(OR(B3499="",E3499=""),"",IF(E3499="No","Missed",IF(F3499="","",IF(F3499&lt;=Settings!$B$7,"On time","Late"))))</f>
        <v/>
      </c>
      <c r="H3499" s="15"/>
      <c r="I3499" s="16"/>
      <c r="J3499" s="16"/>
      <c r="K3499" s="17" t="str">
        <f>IF(J3499="","",ROUND(J3499*Settings!$B$8,2))</f>
        <v/>
      </c>
      <c r="L3499" s="16"/>
      <c r="M3499" s="8" t="str">
        <f t="shared" si="54"/>
        <v/>
      </c>
      <c r="N3499" s="9"/>
    </row>
    <row r="3500" spans="1:14" ht="15.75">
      <c r="A3500" s="11"/>
      <c r="B3500" s="9"/>
      <c r="C3500" s="12" t="str">
        <f>IF(B3500="","",IFERROR(INDEX('Cashier Roster'!$C$5:$C$64,MATCH(B3500,'Cashier Roster'!$B$5:$B$64,0)),"Not on roster"))</f>
        <v/>
      </c>
      <c r="D3500" s="12" t="str">
        <f>IF(B3500="","",IFERROR(INDEX('Cashier Roster'!$D$5:$D$64,MATCH(B3500,'Cashier Roster'!$B$5:$B$64,0)),""))</f>
        <v/>
      </c>
      <c r="E3500" s="13"/>
      <c r="F3500" s="14"/>
      <c r="G3500" s="8" t="str">
        <f>IF(OR(B3500="",E3500=""),"",IF(E3500="No","Missed",IF(F3500="","",IF(F3500&lt;=Settings!$B$7,"On time","Late"))))</f>
        <v/>
      </c>
      <c r="H3500" s="15"/>
      <c r="I3500" s="16"/>
      <c r="J3500" s="16"/>
      <c r="K3500" s="17" t="str">
        <f>IF(J3500="","",ROUND(J3500*Settings!$B$8,2))</f>
        <v/>
      </c>
      <c r="L3500" s="16"/>
      <c r="M3500" s="8" t="str">
        <f t="shared" si="54"/>
        <v/>
      </c>
      <c r="N3500" s="9"/>
    </row>
    <row r="3501" spans="1:14" ht="15.75">
      <c r="A3501" s="11"/>
      <c r="B3501" s="9"/>
      <c r="C3501" s="12" t="str">
        <f>IF(B3501="","",IFERROR(INDEX('Cashier Roster'!$C$5:$C$64,MATCH(B3501,'Cashier Roster'!$B$5:$B$64,0)),"Not on roster"))</f>
        <v/>
      </c>
      <c r="D3501" s="12" t="str">
        <f>IF(B3501="","",IFERROR(INDEX('Cashier Roster'!$D$5:$D$64,MATCH(B3501,'Cashier Roster'!$B$5:$B$64,0)),""))</f>
        <v/>
      </c>
      <c r="E3501" s="13"/>
      <c r="F3501" s="14"/>
      <c r="G3501" s="8" t="str">
        <f>IF(OR(B3501="",E3501=""),"",IF(E3501="No","Missed",IF(F3501="","",IF(F3501&lt;=Settings!$B$7,"On time","Late"))))</f>
        <v/>
      </c>
      <c r="H3501" s="15"/>
      <c r="I3501" s="16"/>
      <c r="J3501" s="16"/>
      <c r="K3501" s="17" t="str">
        <f>IF(J3501="","",ROUND(J3501*Settings!$B$8,2))</f>
        <v/>
      </c>
      <c r="L3501" s="16"/>
      <c r="M3501" s="8" t="str">
        <f t="shared" si="54"/>
        <v/>
      </c>
      <c r="N3501" s="9"/>
    </row>
    <row r="3502" spans="1:14" ht="15.75">
      <c r="A3502" s="11"/>
      <c r="B3502" s="9"/>
      <c r="C3502" s="12" t="str">
        <f>IF(B3502="","",IFERROR(INDEX('Cashier Roster'!$C$5:$C$64,MATCH(B3502,'Cashier Roster'!$B$5:$B$64,0)),"Not on roster"))</f>
        <v/>
      </c>
      <c r="D3502" s="12" t="str">
        <f>IF(B3502="","",IFERROR(INDEX('Cashier Roster'!$D$5:$D$64,MATCH(B3502,'Cashier Roster'!$B$5:$B$64,0)),""))</f>
        <v/>
      </c>
      <c r="E3502" s="13"/>
      <c r="F3502" s="14"/>
      <c r="G3502" s="8" t="str">
        <f>IF(OR(B3502="",E3502=""),"",IF(E3502="No","Missed",IF(F3502="","",IF(F3502&lt;=Settings!$B$7,"On time","Late"))))</f>
        <v/>
      </c>
      <c r="H3502" s="15"/>
      <c r="I3502" s="16"/>
      <c r="J3502" s="16"/>
      <c r="K3502" s="17" t="str">
        <f>IF(J3502="","",ROUND(J3502*Settings!$B$8,2))</f>
        <v/>
      </c>
      <c r="L3502" s="16"/>
      <c r="M3502" s="8" t="str">
        <f t="shared" si="54"/>
        <v/>
      </c>
      <c r="N3502" s="9"/>
    </row>
    <row r="3503" spans="1:14" ht="15.75">
      <c r="A3503" s="11"/>
      <c r="B3503" s="9"/>
      <c r="C3503" s="12" t="str">
        <f>IF(B3503="","",IFERROR(INDEX('Cashier Roster'!$C$5:$C$64,MATCH(B3503,'Cashier Roster'!$B$5:$B$64,0)),"Not on roster"))</f>
        <v/>
      </c>
      <c r="D3503" s="12" t="str">
        <f>IF(B3503="","",IFERROR(INDEX('Cashier Roster'!$D$5:$D$64,MATCH(B3503,'Cashier Roster'!$B$5:$B$64,0)),""))</f>
        <v/>
      </c>
      <c r="E3503" s="13"/>
      <c r="F3503" s="14"/>
      <c r="G3503" s="8" t="str">
        <f>IF(OR(B3503="",E3503=""),"",IF(E3503="No","Missed",IF(F3503="","",IF(F3503&lt;=Settings!$B$7,"On time","Late"))))</f>
        <v/>
      </c>
      <c r="H3503" s="15"/>
      <c r="I3503" s="16"/>
      <c r="J3503" s="16"/>
      <c r="K3503" s="17" t="str">
        <f>IF(J3503="","",ROUND(J3503*Settings!$B$8,2))</f>
        <v/>
      </c>
      <c r="L3503" s="16"/>
      <c r="M3503" s="8" t="str">
        <f t="shared" si="54"/>
        <v/>
      </c>
      <c r="N3503" s="9"/>
    </row>
    <row r="3504" spans="1:14" ht="15.75">
      <c r="A3504" s="11"/>
      <c r="B3504" s="9"/>
      <c r="C3504" s="12" t="str">
        <f>IF(B3504="","",IFERROR(INDEX('Cashier Roster'!$C$5:$C$64,MATCH(B3504,'Cashier Roster'!$B$5:$B$64,0)),"Not on roster"))</f>
        <v/>
      </c>
      <c r="D3504" s="12" t="str">
        <f>IF(B3504="","",IFERROR(INDEX('Cashier Roster'!$D$5:$D$64,MATCH(B3504,'Cashier Roster'!$B$5:$B$64,0)),""))</f>
        <v/>
      </c>
      <c r="E3504" s="13"/>
      <c r="F3504" s="14"/>
      <c r="G3504" s="8" t="str">
        <f>IF(OR(B3504="",E3504=""),"",IF(E3504="No","Missed",IF(F3504="","",IF(F3504&lt;=Settings!$B$7,"On time","Late"))))</f>
        <v/>
      </c>
      <c r="H3504" s="15"/>
      <c r="I3504" s="16"/>
      <c r="J3504" s="16"/>
      <c r="K3504" s="17" t="str">
        <f>IF(J3504="","",ROUND(J3504*Settings!$B$8,2))</f>
        <v/>
      </c>
      <c r="L3504" s="16"/>
      <c r="M3504" s="8" t="str">
        <f t="shared" si="54"/>
        <v/>
      </c>
      <c r="N3504" s="9"/>
    </row>
    <row r="3505" spans="1:14" ht="15.75">
      <c r="A3505" s="11"/>
      <c r="B3505" s="9"/>
      <c r="C3505" s="12" t="str">
        <f>IF(B3505="","",IFERROR(INDEX('Cashier Roster'!$C$5:$C$64,MATCH(B3505,'Cashier Roster'!$B$5:$B$64,0)),"Not on roster"))</f>
        <v/>
      </c>
      <c r="D3505" s="12" t="str">
        <f>IF(B3505="","",IFERROR(INDEX('Cashier Roster'!$D$5:$D$64,MATCH(B3505,'Cashier Roster'!$B$5:$B$64,0)),""))</f>
        <v/>
      </c>
      <c r="E3505" s="13"/>
      <c r="F3505" s="14"/>
      <c r="G3505" s="8" t="str">
        <f>IF(OR(B3505="",E3505=""),"",IF(E3505="No","Missed",IF(F3505="","",IF(F3505&lt;=Settings!$B$7,"On time","Late"))))</f>
        <v/>
      </c>
      <c r="H3505" s="15"/>
      <c r="I3505" s="16"/>
      <c r="J3505" s="16"/>
      <c r="K3505" s="17" t="str">
        <f>IF(J3505="","",ROUND(J3505*Settings!$B$8,2))</f>
        <v/>
      </c>
      <c r="L3505" s="16"/>
      <c r="M3505" s="8" t="str">
        <f t="shared" si="54"/>
        <v/>
      </c>
      <c r="N3505" s="9"/>
    </row>
    <row r="3506" spans="1:14" ht="15.75">
      <c r="A3506" s="11"/>
      <c r="B3506" s="9"/>
      <c r="C3506" s="12" t="str">
        <f>IF(B3506="","",IFERROR(INDEX('Cashier Roster'!$C$5:$C$64,MATCH(B3506,'Cashier Roster'!$B$5:$B$64,0)),"Not on roster"))</f>
        <v/>
      </c>
      <c r="D3506" s="12" t="str">
        <f>IF(B3506="","",IFERROR(INDEX('Cashier Roster'!$D$5:$D$64,MATCH(B3506,'Cashier Roster'!$B$5:$B$64,0)),""))</f>
        <v/>
      </c>
      <c r="E3506" s="13"/>
      <c r="F3506" s="14"/>
      <c r="G3506" s="8" t="str">
        <f>IF(OR(B3506="",E3506=""),"",IF(E3506="No","Missed",IF(F3506="","",IF(F3506&lt;=Settings!$B$7,"On time","Late"))))</f>
        <v/>
      </c>
      <c r="H3506" s="15"/>
      <c r="I3506" s="16"/>
      <c r="J3506" s="16"/>
      <c r="K3506" s="17" t="str">
        <f>IF(J3506="","",ROUND(J3506*Settings!$B$8,2))</f>
        <v/>
      </c>
      <c r="L3506" s="16"/>
      <c r="M3506" s="8" t="str">
        <f t="shared" si="54"/>
        <v/>
      </c>
      <c r="N3506" s="9"/>
    </row>
    <row r="3507" spans="1:14" ht="15.75">
      <c r="A3507" s="11"/>
      <c r="B3507" s="9"/>
      <c r="C3507" s="12" t="str">
        <f>IF(B3507="","",IFERROR(INDEX('Cashier Roster'!$C$5:$C$64,MATCH(B3507,'Cashier Roster'!$B$5:$B$64,0)),"Not on roster"))</f>
        <v/>
      </c>
      <c r="D3507" s="12" t="str">
        <f>IF(B3507="","",IFERROR(INDEX('Cashier Roster'!$D$5:$D$64,MATCH(B3507,'Cashier Roster'!$B$5:$B$64,0)),""))</f>
        <v/>
      </c>
      <c r="E3507" s="13"/>
      <c r="F3507" s="14"/>
      <c r="G3507" s="8" t="str">
        <f>IF(OR(B3507="",E3507=""),"",IF(E3507="No","Missed",IF(F3507="","",IF(F3507&lt;=Settings!$B$7,"On time","Late"))))</f>
        <v/>
      </c>
      <c r="H3507" s="15"/>
      <c r="I3507" s="16"/>
      <c r="J3507" s="16"/>
      <c r="K3507" s="17" t="str">
        <f>IF(J3507="","",ROUND(J3507*Settings!$B$8,2))</f>
        <v/>
      </c>
      <c r="L3507" s="16"/>
      <c r="M3507" s="8" t="str">
        <f t="shared" si="54"/>
        <v/>
      </c>
      <c r="N3507" s="9"/>
    </row>
    <row r="3508" spans="1:14" ht="15.75">
      <c r="A3508" s="11"/>
      <c r="B3508" s="9"/>
      <c r="C3508" s="12" t="str">
        <f>IF(B3508="","",IFERROR(INDEX('Cashier Roster'!$C$5:$C$64,MATCH(B3508,'Cashier Roster'!$B$5:$B$64,0)),"Not on roster"))</f>
        <v/>
      </c>
      <c r="D3508" s="12" t="str">
        <f>IF(B3508="","",IFERROR(INDEX('Cashier Roster'!$D$5:$D$64,MATCH(B3508,'Cashier Roster'!$B$5:$B$64,0)),""))</f>
        <v/>
      </c>
      <c r="E3508" s="13"/>
      <c r="F3508" s="14"/>
      <c r="G3508" s="8" t="str">
        <f>IF(OR(B3508="",E3508=""),"",IF(E3508="No","Missed",IF(F3508="","",IF(F3508&lt;=Settings!$B$7,"On time","Late"))))</f>
        <v/>
      </c>
      <c r="H3508" s="15"/>
      <c r="I3508" s="16"/>
      <c r="J3508" s="16"/>
      <c r="K3508" s="17" t="str">
        <f>IF(J3508="","",ROUND(J3508*Settings!$B$8,2))</f>
        <v/>
      </c>
      <c r="L3508" s="16"/>
      <c r="M3508" s="8" t="str">
        <f t="shared" si="54"/>
        <v/>
      </c>
      <c r="N3508" s="9"/>
    </row>
    <row r="3509" spans="1:14" ht="15.75">
      <c r="A3509" s="11"/>
      <c r="B3509" s="9"/>
      <c r="C3509" s="12" t="str">
        <f>IF(B3509="","",IFERROR(INDEX('Cashier Roster'!$C$5:$C$64,MATCH(B3509,'Cashier Roster'!$B$5:$B$64,0)),"Not on roster"))</f>
        <v/>
      </c>
      <c r="D3509" s="12" t="str">
        <f>IF(B3509="","",IFERROR(INDEX('Cashier Roster'!$D$5:$D$64,MATCH(B3509,'Cashier Roster'!$B$5:$B$64,0)),""))</f>
        <v/>
      </c>
      <c r="E3509" s="13"/>
      <c r="F3509" s="14"/>
      <c r="G3509" s="8" t="str">
        <f>IF(OR(B3509="",E3509=""),"",IF(E3509="No","Missed",IF(F3509="","",IF(F3509&lt;=Settings!$B$7,"On time","Late"))))</f>
        <v/>
      </c>
      <c r="H3509" s="15"/>
      <c r="I3509" s="16"/>
      <c r="J3509" s="16"/>
      <c r="K3509" s="17" t="str">
        <f>IF(J3509="","",ROUND(J3509*Settings!$B$8,2))</f>
        <v/>
      </c>
      <c r="L3509" s="16"/>
      <c r="M3509" s="8" t="str">
        <f t="shared" si="54"/>
        <v/>
      </c>
      <c r="N3509" s="9"/>
    </row>
    <row r="3510" spans="1:14" ht="15.75">
      <c r="A3510" s="11"/>
      <c r="B3510" s="9"/>
      <c r="C3510" s="12" t="str">
        <f>IF(B3510="","",IFERROR(INDEX('Cashier Roster'!$C$5:$C$64,MATCH(B3510,'Cashier Roster'!$B$5:$B$64,0)),"Not on roster"))</f>
        <v/>
      </c>
      <c r="D3510" s="12" t="str">
        <f>IF(B3510="","",IFERROR(INDEX('Cashier Roster'!$D$5:$D$64,MATCH(B3510,'Cashier Roster'!$B$5:$B$64,0)),""))</f>
        <v/>
      </c>
      <c r="E3510" s="13"/>
      <c r="F3510" s="14"/>
      <c r="G3510" s="8" t="str">
        <f>IF(OR(B3510="",E3510=""),"",IF(E3510="No","Missed",IF(F3510="","",IF(F3510&lt;=Settings!$B$7,"On time","Late"))))</f>
        <v/>
      </c>
      <c r="H3510" s="15"/>
      <c r="I3510" s="16"/>
      <c r="J3510" s="16"/>
      <c r="K3510" s="17" t="str">
        <f>IF(J3510="","",ROUND(J3510*Settings!$B$8,2))</f>
        <v/>
      </c>
      <c r="L3510" s="16"/>
      <c r="M3510" s="8" t="str">
        <f t="shared" si="54"/>
        <v/>
      </c>
      <c r="N3510" s="9"/>
    </row>
    <row r="3511" spans="1:14" ht="15.75">
      <c r="A3511" s="11"/>
      <c r="B3511" s="9"/>
      <c r="C3511" s="12" t="str">
        <f>IF(B3511="","",IFERROR(INDEX('Cashier Roster'!$C$5:$C$64,MATCH(B3511,'Cashier Roster'!$B$5:$B$64,0)),"Not on roster"))</f>
        <v/>
      </c>
      <c r="D3511" s="12" t="str">
        <f>IF(B3511="","",IFERROR(INDEX('Cashier Roster'!$D$5:$D$64,MATCH(B3511,'Cashier Roster'!$B$5:$B$64,0)),""))</f>
        <v/>
      </c>
      <c r="E3511" s="13"/>
      <c r="F3511" s="14"/>
      <c r="G3511" s="8" t="str">
        <f>IF(OR(B3511="",E3511=""),"",IF(E3511="No","Missed",IF(F3511="","",IF(F3511&lt;=Settings!$B$7,"On time","Late"))))</f>
        <v/>
      </c>
      <c r="H3511" s="15"/>
      <c r="I3511" s="16"/>
      <c r="J3511" s="16"/>
      <c r="K3511" s="17" t="str">
        <f>IF(J3511="","",ROUND(J3511*Settings!$B$8,2))</f>
        <v/>
      </c>
      <c r="L3511" s="16"/>
      <c r="M3511" s="8" t="str">
        <f t="shared" si="54"/>
        <v/>
      </c>
      <c r="N3511" s="9"/>
    </row>
    <row r="3512" spans="1:14" ht="15.75">
      <c r="A3512" s="11"/>
      <c r="B3512" s="9"/>
      <c r="C3512" s="12" t="str">
        <f>IF(B3512="","",IFERROR(INDEX('Cashier Roster'!$C$5:$C$64,MATCH(B3512,'Cashier Roster'!$B$5:$B$64,0)),"Not on roster"))</f>
        <v/>
      </c>
      <c r="D3512" s="12" t="str">
        <f>IF(B3512="","",IFERROR(INDEX('Cashier Roster'!$D$5:$D$64,MATCH(B3512,'Cashier Roster'!$B$5:$B$64,0)),""))</f>
        <v/>
      </c>
      <c r="E3512" s="13"/>
      <c r="F3512" s="14"/>
      <c r="G3512" s="8" t="str">
        <f>IF(OR(B3512="",E3512=""),"",IF(E3512="No","Missed",IF(F3512="","",IF(F3512&lt;=Settings!$B$7,"On time","Late"))))</f>
        <v/>
      </c>
      <c r="H3512" s="15"/>
      <c r="I3512" s="16"/>
      <c r="J3512" s="16"/>
      <c r="K3512" s="17" t="str">
        <f>IF(J3512="","",ROUND(J3512*Settings!$B$8,2))</f>
        <v/>
      </c>
      <c r="L3512" s="16"/>
      <c r="M3512" s="8" t="str">
        <f t="shared" si="54"/>
        <v/>
      </c>
      <c r="N3512" s="9"/>
    </row>
    <row r="3513" spans="1:14" ht="15.75">
      <c r="A3513" s="11"/>
      <c r="B3513" s="9"/>
      <c r="C3513" s="12" t="str">
        <f>IF(B3513="","",IFERROR(INDEX('Cashier Roster'!$C$5:$C$64,MATCH(B3513,'Cashier Roster'!$B$5:$B$64,0)),"Not on roster"))</f>
        <v/>
      </c>
      <c r="D3513" s="12" t="str">
        <f>IF(B3513="","",IFERROR(INDEX('Cashier Roster'!$D$5:$D$64,MATCH(B3513,'Cashier Roster'!$B$5:$B$64,0)),""))</f>
        <v/>
      </c>
      <c r="E3513" s="13"/>
      <c r="F3513" s="14"/>
      <c r="G3513" s="8" t="str">
        <f>IF(OR(B3513="",E3513=""),"",IF(E3513="No","Missed",IF(F3513="","",IF(F3513&lt;=Settings!$B$7,"On time","Late"))))</f>
        <v/>
      </c>
      <c r="H3513" s="15"/>
      <c r="I3513" s="16"/>
      <c r="J3513" s="16"/>
      <c r="K3513" s="17" t="str">
        <f>IF(J3513="","",ROUND(J3513*Settings!$B$8,2))</f>
        <v/>
      </c>
      <c r="L3513" s="16"/>
      <c r="M3513" s="8" t="str">
        <f t="shared" si="54"/>
        <v/>
      </c>
      <c r="N3513" s="9"/>
    </row>
    <row r="3514" spans="1:14" ht="15.75">
      <c r="A3514" s="11"/>
      <c r="B3514" s="9"/>
      <c r="C3514" s="12" t="str">
        <f>IF(B3514="","",IFERROR(INDEX('Cashier Roster'!$C$5:$C$64,MATCH(B3514,'Cashier Roster'!$B$5:$B$64,0)),"Not on roster"))</f>
        <v/>
      </c>
      <c r="D3514" s="12" t="str">
        <f>IF(B3514="","",IFERROR(INDEX('Cashier Roster'!$D$5:$D$64,MATCH(B3514,'Cashier Roster'!$B$5:$B$64,0)),""))</f>
        <v/>
      </c>
      <c r="E3514" s="13"/>
      <c r="F3514" s="14"/>
      <c r="G3514" s="8" t="str">
        <f>IF(OR(B3514="",E3514=""),"",IF(E3514="No","Missed",IF(F3514="","",IF(F3514&lt;=Settings!$B$7,"On time","Late"))))</f>
        <v/>
      </c>
      <c r="H3514" s="15"/>
      <c r="I3514" s="16"/>
      <c r="J3514" s="16"/>
      <c r="K3514" s="17" t="str">
        <f>IF(J3514="","",ROUND(J3514*Settings!$B$8,2))</f>
        <v/>
      </c>
      <c r="L3514" s="16"/>
      <c r="M3514" s="8" t="str">
        <f t="shared" si="54"/>
        <v/>
      </c>
      <c r="N3514" s="9"/>
    </row>
    <row r="3515" spans="1:14" ht="15.75">
      <c r="A3515" s="11"/>
      <c r="B3515" s="9"/>
      <c r="C3515" s="12" t="str">
        <f>IF(B3515="","",IFERROR(INDEX('Cashier Roster'!$C$5:$C$64,MATCH(B3515,'Cashier Roster'!$B$5:$B$64,0)),"Not on roster"))</f>
        <v/>
      </c>
      <c r="D3515" s="12" t="str">
        <f>IF(B3515="","",IFERROR(INDEX('Cashier Roster'!$D$5:$D$64,MATCH(B3515,'Cashier Roster'!$B$5:$B$64,0)),""))</f>
        <v/>
      </c>
      <c r="E3515" s="13"/>
      <c r="F3515" s="14"/>
      <c r="G3515" s="8" t="str">
        <f>IF(OR(B3515="",E3515=""),"",IF(E3515="No","Missed",IF(F3515="","",IF(F3515&lt;=Settings!$B$7,"On time","Late"))))</f>
        <v/>
      </c>
      <c r="H3515" s="15"/>
      <c r="I3515" s="16"/>
      <c r="J3515" s="16"/>
      <c r="K3515" s="17" t="str">
        <f>IF(J3515="","",ROUND(J3515*Settings!$B$8,2))</f>
        <v/>
      </c>
      <c r="L3515" s="16"/>
      <c r="M3515" s="8" t="str">
        <f t="shared" si="54"/>
        <v/>
      </c>
      <c r="N3515" s="9"/>
    </row>
    <row r="3516" spans="1:14" ht="15.75">
      <c r="A3516" s="11"/>
      <c r="B3516" s="9"/>
      <c r="C3516" s="12" t="str">
        <f>IF(B3516="","",IFERROR(INDEX('Cashier Roster'!$C$5:$C$64,MATCH(B3516,'Cashier Roster'!$B$5:$B$64,0)),"Not on roster"))</f>
        <v/>
      </c>
      <c r="D3516" s="12" t="str">
        <f>IF(B3516="","",IFERROR(INDEX('Cashier Roster'!$D$5:$D$64,MATCH(B3516,'Cashier Roster'!$B$5:$B$64,0)),""))</f>
        <v/>
      </c>
      <c r="E3516" s="13"/>
      <c r="F3516" s="14"/>
      <c r="G3516" s="8" t="str">
        <f>IF(OR(B3516="",E3516=""),"",IF(E3516="No","Missed",IF(F3516="","",IF(F3516&lt;=Settings!$B$7,"On time","Late"))))</f>
        <v/>
      </c>
      <c r="H3516" s="15"/>
      <c r="I3516" s="16"/>
      <c r="J3516" s="16"/>
      <c r="K3516" s="17" t="str">
        <f>IF(J3516="","",ROUND(J3516*Settings!$B$8,2))</f>
        <v/>
      </c>
      <c r="L3516" s="16"/>
      <c r="M3516" s="8" t="str">
        <f t="shared" si="54"/>
        <v/>
      </c>
      <c r="N3516" s="9"/>
    </row>
    <row r="3517" spans="1:14" ht="15.75">
      <c r="A3517" s="11"/>
      <c r="B3517" s="9"/>
      <c r="C3517" s="12" t="str">
        <f>IF(B3517="","",IFERROR(INDEX('Cashier Roster'!$C$5:$C$64,MATCH(B3517,'Cashier Roster'!$B$5:$B$64,0)),"Not on roster"))</f>
        <v/>
      </c>
      <c r="D3517" s="12" t="str">
        <f>IF(B3517="","",IFERROR(INDEX('Cashier Roster'!$D$5:$D$64,MATCH(B3517,'Cashier Roster'!$B$5:$B$64,0)),""))</f>
        <v/>
      </c>
      <c r="E3517" s="13"/>
      <c r="F3517" s="14"/>
      <c r="G3517" s="8" t="str">
        <f>IF(OR(B3517="",E3517=""),"",IF(E3517="No","Missed",IF(F3517="","",IF(F3517&lt;=Settings!$B$7,"On time","Late"))))</f>
        <v/>
      </c>
      <c r="H3517" s="15"/>
      <c r="I3517" s="16"/>
      <c r="J3517" s="16"/>
      <c r="K3517" s="17" t="str">
        <f>IF(J3517="","",ROUND(J3517*Settings!$B$8,2))</f>
        <v/>
      </c>
      <c r="L3517" s="16"/>
      <c r="M3517" s="8" t="str">
        <f t="shared" si="54"/>
        <v/>
      </c>
      <c r="N3517" s="9"/>
    </row>
    <row r="3518" spans="1:14" ht="15.75">
      <c r="A3518" s="11"/>
      <c r="B3518" s="9"/>
      <c r="C3518" s="12" t="str">
        <f>IF(B3518="","",IFERROR(INDEX('Cashier Roster'!$C$5:$C$64,MATCH(B3518,'Cashier Roster'!$B$5:$B$64,0)),"Not on roster"))</f>
        <v/>
      </c>
      <c r="D3518" s="12" t="str">
        <f>IF(B3518="","",IFERROR(INDEX('Cashier Roster'!$D$5:$D$64,MATCH(B3518,'Cashier Roster'!$B$5:$B$64,0)),""))</f>
        <v/>
      </c>
      <c r="E3518" s="13"/>
      <c r="F3518" s="14"/>
      <c r="G3518" s="8" t="str">
        <f>IF(OR(B3518="",E3518=""),"",IF(E3518="No","Missed",IF(F3518="","",IF(F3518&lt;=Settings!$B$7,"On time","Late"))))</f>
        <v/>
      </c>
      <c r="H3518" s="15"/>
      <c r="I3518" s="16"/>
      <c r="J3518" s="16"/>
      <c r="K3518" s="17" t="str">
        <f>IF(J3518="","",ROUND(J3518*Settings!$B$8,2))</f>
        <v/>
      </c>
      <c r="L3518" s="16"/>
      <c r="M3518" s="8" t="str">
        <f t="shared" si="54"/>
        <v/>
      </c>
      <c r="N3518" s="9"/>
    </row>
    <row r="3519" spans="1:14" ht="15.75">
      <c r="A3519" s="11"/>
      <c r="B3519" s="9"/>
      <c r="C3519" s="12" t="str">
        <f>IF(B3519="","",IFERROR(INDEX('Cashier Roster'!$C$5:$C$64,MATCH(B3519,'Cashier Roster'!$B$5:$B$64,0)),"Not on roster"))</f>
        <v/>
      </c>
      <c r="D3519" s="12" t="str">
        <f>IF(B3519="","",IFERROR(INDEX('Cashier Roster'!$D$5:$D$64,MATCH(B3519,'Cashier Roster'!$B$5:$B$64,0)),""))</f>
        <v/>
      </c>
      <c r="E3519" s="13"/>
      <c r="F3519" s="14"/>
      <c r="G3519" s="8" t="str">
        <f>IF(OR(B3519="",E3519=""),"",IF(E3519="No","Missed",IF(F3519="","",IF(F3519&lt;=Settings!$B$7,"On time","Late"))))</f>
        <v/>
      </c>
      <c r="H3519" s="15"/>
      <c r="I3519" s="16"/>
      <c r="J3519" s="16"/>
      <c r="K3519" s="17" t="str">
        <f>IF(J3519="","",ROUND(J3519*Settings!$B$8,2))</f>
        <v/>
      </c>
      <c r="L3519" s="16"/>
      <c r="M3519" s="8" t="str">
        <f t="shared" si="54"/>
        <v/>
      </c>
      <c r="N3519" s="9"/>
    </row>
    <row r="3520" spans="1:14" ht="15.75">
      <c r="A3520" s="11"/>
      <c r="B3520" s="9"/>
      <c r="C3520" s="12" t="str">
        <f>IF(B3520="","",IFERROR(INDEX('Cashier Roster'!$C$5:$C$64,MATCH(B3520,'Cashier Roster'!$B$5:$B$64,0)),"Not on roster"))</f>
        <v/>
      </c>
      <c r="D3520" s="12" t="str">
        <f>IF(B3520="","",IFERROR(INDEX('Cashier Roster'!$D$5:$D$64,MATCH(B3520,'Cashier Roster'!$B$5:$B$64,0)),""))</f>
        <v/>
      </c>
      <c r="E3520" s="13"/>
      <c r="F3520" s="14"/>
      <c r="G3520" s="8" t="str">
        <f>IF(OR(B3520="",E3520=""),"",IF(E3520="No","Missed",IF(F3520="","",IF(F3520&lt;=Settings!$B$7,"On time","Late"))))</f>
        <v/>
      </c>
      <c r="H3520" s="15"/>
      <c r="I3520" s="16"/>
      <c r="J3520" s="16"/>
      <c r="K3520" s="17" t="str">
        <f>IF(J3520="","",ROUND(J3520*Settings!$B$8,2))</f>
        <v/>
      </c>
      <c r="L3520" s="16"/>
      <c r="M3520" s="8" t="str">
        <f t="shared" si="54"/>
        <v/>
      </c>
      <c r="N3520" s="9"/>
    </row>
    <row r="3521" spans="1:14" ht="15.75">
      <c r="A3521" s="11"/>
      <c r="B3521" s="9"/>
      <c r="C3521" s="12" t="str">
        <f>IF(B3521="","",IFERROR(INDEX('Cashier Roster'!$C$5:$C$64,MATCH(B3521,'Cashier Roster'!$B$5:$B$64,0)),"Not on roster"))</f>
        <v/>
      </c>
      <c r="D3521" s="12" t="str">
        <f>IF(B3521="","",IFERROR(INDEX('Cashier Roster'!$D$5:$D$64,MATCH(B3521,'Cashier Roster'!$B$5:$B$64,0)),""))</f>
        <v/>
      </c>
      <c r="E3521" s="13"/>
      <c r="F3521" s="14"/>
      <c r="G3521" s="8" t="str">
        <f>IF(OR(B3521="",E3521=""),"",IF(E3521="No","Missed",IF(F3521="","",IF(F3521&lt;=Settings!$B$7,"On time","Late"))))</f>
        <v/>
      </c>
      <c r="H3521" s="15"/>
      <c r="I3521" s="16"/>
      <c r="J3521" s="16"/>
      <c r="K3521" s="17" t="str">
        <f>IF(J3521="","",ROUND(J3521*Settings!$B$8,2))</f>
        <v/>
      </c>
      <c r="L3521" s="16"/>
      <c r="M3521" s="8" t="str">
        <f t="shared" si="54"/>
        <v/>
      </c>
      <c r="N3521" s="9"/>
    </row>
    <row r="3522" spans="1:14" ht="15.75">
      <c r="A3522" s="11"/>
      <c r="B3522" s="9"/>
      <c r="C3522" s="12" t="str">
        <f>IF(B3522="","",IFERROR(INDEX('Cashier Roster'!$C$5:$C$64,MATCH(B3522,'Cashier Roster'!$B$5:$B$64,0)),"Not on roster"))</f>
        <v/>
      </c>
      <c r="D3522" s="12" t="str">
        <f>IF(B3522="","",IFERROR(INDEX('Cashier Roster'!$D$5:$D$64,MATCH(B3522,'Cashier Roster'!$B$5:$B$64,0)),""))</f>
        <v/>
      </c>
      <c r="E3522" s="13"/>
      <c r="F3522" s="14"/>
      <c r="G3522" s="8" t="str">
        <f>IF(OR(B3522="",E3522=""),"",IF(E3522="No","Missed",IF(F3522="","",IF(F3522&lt;=Settings!$B$7,"On time","Late"))))</f>
        <v/>
      </c>
      <c r="H3522" s="15"/>
      <c r="I3522" s="16"/>
      <c r="J3522" s="16"/>
      <c r="K3522" s="17" t="str">
        <f>IF(J3522="","",ROUND(J3522*Settings!$B$8,2))</f>
        <v/>
      </c>
      <c r="L3522" s="16"/>
      <c r="M3522" s="8" t="str">
        <f t="shared" si="54"/>
        <v/>
      </c>
      <c r="N3522" s="9"/>
    </row>
    <row r="3523" spans="1:14" ht="15.75">
      <c r="A3523" s="11"/>
      <c r="B3523" s="9"/>
      <c r="C3523" s="12" t="str">
        <f>IF(B3523="","",IFERROR(INDEX('Cashier Roster'!$C$5:$C$64,MATCH(B3523,'Cashier Roster'!$B$5:$B$64,0)),"Not on roster"))</f>
        <v/>
      </c>
      <c r="D3523" s="12" t="str">
        <f>IF(B3523="","",IFERROR(INDEX('Cashier Roster'!$D$5:$D$64,MATCH(B3523,'Cashier Roster'!$B$5:$B$64,0)),""))</f>
        <v/>
      </c>
      <c r="E3523" s="13"/>
      <c r="F3523" s="14"/>
      <c r="G3523" s="8" t="str">
        <f>IF(OR(B3523="",E3523=""),"",IF(E3523="No","Missed",IF(F3523="","",IF(F3523&lt;=Settings!$B$7,"On time","Late"))))</f>
        <v/>
      </c>
      <c r="H3523" s="15"/>
      <c r="I3523" s="16"/>
      <c r="J3523" s="16"/>
      <c r="K3523" s="17" t="str">
        <f>IF(J3523="","",ROUND(J3523*Settings!$B$8,2))</f>
        <v/>
      </c>
      <c r="L3523" s="16"/>
      <c r="M3523" s="8" t="str">
        <f t="shared" si="54"/>
        <v/>
      </c>
      <c r="N3523" s="9"/>
    </row>
    <row r="3524" spans="1:14" ht="15.75">
      <c r="A3524" s="11"/>
      <c r="B3524" s="9"/>
      <c r="C3524" s="12" t="str">
        <f>IF(B3524="","",IFERROR(INDEX('Cashier Roster'!$C$5:$C$64,MATCH(B3524,'Cashier Roster'!$B$5:$B$64,0)),"Not on roster"))</f>
        <v/>
      </c>
      <c r="D3524" s="12" t="str">
        <f>IF(B3524="","",IFERROR(INDEX('Cashier Roster'!$D$5:$D$64,MATCH(B3524,'Cashier Roster'!$B$5:$B$64,0)),""))</f>
        <v/>
      </c>
      <c r="E3524" s="13"/>
      <c r="F3524" s="14"/>
      <c r="G3524" s="8" t="str">
        <f>IF(OR(B3524="",E3524=""),"",IF(E3524="No","Missed",IF(F3524="","",IF(F3524&lt;=Settings!$B$7,"On time","Late"))))</f>
        <v/>
      </c>
      <c r="H3524" s="15"/>
      <c r="I3524" s="16"/>
      <c r="J3524" s="16"/>
      <c r="K3524" s="17" t="str">
        <f>IF(J3524="","",ROUND(J3524*Settings!$B$8,2))</f>
        <v/>
      </c>
      <c r="L3524" s="16"/>
      <c r="M3524" s="8" t="str">
        <f t="shared" si="54"/>
        <v/>
      </c>
      <c r="N3524" s="9"/>
    </row>
    <row r="3525" spans="1:14" ht="15.75">
      <c r="A3525" s="11"/>
      <c r="B3525" s="9"/>
      <c r="C3525" s="12" t="str">
        <f>IF(B3525="","",IFERROR(INDEX('Cashier Roster'!$C$5:$C$64,MATCH(B3525,'Cashier Roster'!$B$5:$B$64,0)),"Not on roster"))</f>
        <v/>
      </c>
      <c r="D3525" s="12" t="str">
        <f>IF(B3525="","",IFERROR(INDEX('Cashier Roster'!$D$5:$D$64,MATCH(B3525,'Cashier Roster'!$B$5:$B$64,0)),""))</f>
        <v/>
      </c>
      <c r="E3525" s="13"/>
      <c r="F3525" s="14"/>
      <c r="G3525" s="8" t="str">
        <f>IF(OR(B3525="",E3525=""),"",IF(E3525="No","Missed",IF(F3525="","",IF(F3525&lt;=Settings!$B$7,"On time","Late"))))</f>
        <v/>
      </c>
      <c r="H3525" s="15"/>
      <c r="I3525" s="16"/>
      <c r="J3525" s="16"/>
      <c r="K3525" s="17" t="str">
        <f>IF(J3525="","",ROUND(J3525*Settings!$B$8,2))</f>
        <v/>
      </c>
      <c r="L3525" s="16"/>
      <c r="M3525" s="8" t="str">
        <f t="shared" ref="M3525:M3588" si="55">IF(L3525="","",IF(L3525&lt;=0,"Yes","No"))</f>
        <v/>
      </c>
      <c r="N3525" s="9"/>
    </row>
    <row r="3526" spans="1:14" ht="15.75">
      <c r="A3526" s="11"/>
      <c r="B3526" s="9"/>
      <c r="C3526" s="12" t="str">
        <f>IF(B3526="","",IFERROR(INDEX('Cashier Roster'!$C$5:$C$64,MATCH(B3526,'Cashier Roster'!$B$5:$B$64,0)),"Not on roster"))</f>
        <v/>
      </c>
      <c r="D3526" s="12" t="str">
        <f>IF(B3526="","",IFERROR(INDEX('Cashier Roster'!$D$5:$D$64,MATCH(B3526,'Cashier Roster'!$B$5:$B$64,0)),""))</f>
        <v/>
      </c>
      <c r="E3526" s="13"/>
      <c r="F3526" s="14"/>
      <c r="G3526" s="8" t="str">
        <f>IF(OR(B3526="",E3526=""),"",IF(E3526="No","Missed",IF(F3526="","",IF(F3526&lt;=Settings!$B$7,"On time","Late"))))</f>
        <v/>
      </c>
      <c r="H3526" s="15"/>
      <c r="I3526" s="16"/>
      <c r="J3526" s="16"/>
      <c r="K3526" s="17" t="str">
        <f>IF(J3526="","",ROUND(J3526*Settings!$B$8,2))</f>
        <v/>
      </c>
      <c r="L3526" s="16"/>
      <c r="M3526" s="8" t="str">
        <f t="shared" si="55"/>
        <v/>
      </c>
      <c r="N3526" s="9"/>
    </row>
    <row r="3527" spans="1:14" ht="15.75">
      <c r="A3527" s="11"/>
      <c r="B3527" s="9"/>
      <c r="C3527" s="12" t="str">
        <f>IF(B3527="","",IFERROR(INDEX('Cashier Roster'!$C$5:$C$64,MATCH(B3527,'Cashier Roster'!$B$5:$B$64,0)),"Not on roster"))</f>
        <v/>
      </c>
      <c r="D3527" s="12" t="str">
        <f>IF(B3527="","",IFERROR(INDEX('Cashier Roster'!$D$5:$D$64,MATCH(B3527,'Cashier Roster'!$B$5:$B$64,0)),""))</f>
        <v/>
      </c>
      <c r="E3527" s="13"/>
      <c r="F3527" s="14"/>
      <c r="G3527" s="8" t="str">
        <f>IF(OR(B3527="",E3527=""),"",IF(E3527="No","Missed",IF(F3527="","",IF(F3527&lt;=Settings!$B$7,"On time","Late"))))</f>
        <v/>
      </c>
      <c r="H3527" s="15"/>
      <c r="I3527" s="16"/>
      <c r="J3527" s="16"/>
      <c r="K3527" s="17" t="str">
        <f>IF(J3527="","",ROUND(J3527*Settings!$B$8,2))</f>
        <v/>
      </c>
      <c r="L3527" s="16"/>
      <c r="M3527" s="8" t="str">
        <f t="shared" si="55"/>
        <v/>
      </c>
      <c r="N3527" s="9"/>
    </row>
    <row r="3528" spans="1:14" ht="15.75">
      <c r="A3528" s="11"/>
      <c r="B3528" s="9"/>
      <c r="C3528" s="12" t="str">
        <f>IF(B3528="","",IFERROR(INDEX('Cashier Roster'!$C$5:$C$64,MATCH(B3528,'Cashier Roster'!$B$5:$B$64,0)),"Not on roster"))</f>
        <v/>
      </c>
      <c r="D3528" s="12" t="str">
        <f>IF(B3528="","",IFERROR(INDEX('Cashier Roster'!$D$5:$D$64,MATCH(B3528,'Cashier Roster'!$B$5:$B$64,0)),""))</f>
        <v/>
      </c>
      <c r="E3528" s="13"/>
      <c r="F3528" s="14"/>
      <c r="G3528" s="8" t="str">
        <f>IF(OR(B3528="",E3528=""),"",IF(E3528="No","Missed",IF(F3528="","",IF(F3528&lt;=Settings!$B$7,"On time","Late"))))</f>
        <v/>
      </c>
      <c r="H3528" s="15"/>
      <c r="I3528" s="16"/>
      <c r="J3528" s="16"/>
      <c r="K3528" s="17" t="str">
        <f>IF(J3528="","",ROUND(J3528*Settings!$B$8,2))</f>
        <v/>
      </c>
      <c r="L3528" s="16"/>
      <c r="M3528" s="8" t="str">
        <f t="shared" si="55"/>
        <v/>
      </c>
      <c r="N3528" s="9"/>
    </row>
    <row r="3529" spans="1:14" ht="15.75">
      <c r="A3529" s="11"/>
      <c r="B3529" s="9"/>
      <c r="C3529" s="12" t="str">
        <f>IF(B3529="","",IFERROR(INDEX('Cashier Roster'!$C$5:$C$64,MATCH(B3529,'Cashier Roster'!$B$5:$B$64,0)),"Not on roster"))</f>
        <v/>
      </c>
      <c r="D3529" s="12" t="str">
        <f>IF(B3529="","",IFERROR(INDEX('Cashier Roster'!$D$5:$D$64,MATCH(B3529,'Cashier Roster'!$B$5:$B$64,0)),""))</f>
        <v/>
      </c>
      <c r="E3529" s="13"/>
      <c r="F3529" s="14"/>
      <c r="G3529" s="8" t="str">
        <f>IF(OR(B3529="",E3529=""),"",IF(E3529="No","Missed",IF(F3529="","",IF(F3529&lt;=Settings!$B$7,"On time","Late"))))</f>
        <v/>
      </c>
      <c r="H3529" s="15"/>
      <c r="I3529" s="16"/>
      <c r="J3529" s="16"/>
      <c r="K3529" s="17" t="str">
        <f>IF(J3529="","",ROUND(J3529*Settings!$B$8,2))</f>
        <v/>
      </c>
      <c r="L3529" s="16"/>
      <c r="M3529" s="8" t="str">
        <f t="shared" si="55"/>
        <v/>
      </c>
      <c r="N3529" s="9"/>
    </row>
    <row r="3530" spans="1:14" ht="15.75">
      <c r="A3530" s="11"/>
      <c r="B3530" s="9"/>
      <c r="C3530" s="12" t="str">
        <f>IF(B3530="","",IFERROR(INDEX('Cashier Roster'!$C$5:$C$64,MATCH(B3530,'Cashier Roster'!$B$5:$B$64,0)),"Not on roster"))</f>
        <v/>
      </c>
      <c r="D3530" s="12" t="str">
        <f>IF(B3530="","",IFERROR(INDEX('Cashier Roster'!$D$5:$D$64,MATCH(B3530,'Cashier Roster'!$B$5:$B$64,0)),""))</f>
        <v/>
      </c>
      <c r="E3530" s="13"/>
      <c r="F3530" s="14"/>
      <c r="G3530" s="8" t="str">
        <f>IF(OR(B3530="",E3530=""),"",IF(E3530="No","Missed",IF(F3530="","",IF(F3530&lt;=Settings!$B$7,"On time","Late"))))</f>
        <v/>
      </c>
      <c r="H3530" s="15"/>
      <c r="I3530" s="16"/>
      <c r="J3530" s="16"/>
      <c r="K3530" s="17" t="str">
        <f>IF(J3530="","",ROUND(J3530*Settings!$B$8,2))</f>
        <v/>
      </c>
      <c r="L3530" s="16"/>
      <c r="M3530" s="8" t="str">
        <f t="shared" si="55"/>
        <v/>
      </c>
      <c r="N3530" s="9"/>
    </row>
    <row r="3531" spans="1:14" ht="15.75">
      <c r="A3531" s="11"/>
      <c r="B3531" s="9"/>
      <c r="C3531" s="12" t="str">
        <f>IF(B3531="","",IFERROR(INDEX('Cashier Roster'!$C$5:$C$64,MATCH(B3531,'Cashier Roster'!$B$5:$B$64,0)),"Not on roster"))</f>
        <v/>
      </c>
      <c r="D3531" s="12" t="str">
        <f>IF(B3531="","",IFERROR(INDEX('Cashier Roster'!$D$5:$D$64,MATCH(B3531,'Cashier Roster'!$B$5:$B$64,0)),""))</f>
        <v/>
      </c>
      <c r="E3531" s="13"/>
      <c r="F3531" s="14"/>
      <c r="G3531" s="8" t="str">
        <f>IF(OR(B3531="",E3531=""),"",IF(E3531="No","Missed",IF(F3531="","",IF(F3531&lt;=Settings!$B$7,"On time","Late"))))</f>
        <v/>
      </c>
      <c r="H3531" s="15"/>
      <c r="I3531" s="16"/>
      <c r="J3531" s="16"/>
      <c r="K3531" s="17" t="str">
        <f>IF(J3531="","",ROUND(J3531*Settings!$B$8,2))</f>
        <v/>
      </c>
      <c r="L3531" s="16"/>
      <c r="M3531" s="8" t="str">
        <f t="shared" si="55"/>
        <v/>
      </c>
      <c r="N3531" s="9"/>
    </row>
    <row r="3532" spans="1:14" ht="15.75">
      <c r="A3532" s="11"/>
      <c r="B3532" s="9"/>
      <c r="C3532" s="12" t="str">
        <f>IF(B3532="","",IFERROR(INDEX('Cashier Roster'!$C$5:$C$64,MATCH(B3532,'Cashier Roster'!$B$5:$B$64,0)),"Not on roster"))</f>
        <v/>
      </c>
      <c r="D3532" s="12" t="str">
        <f>IF(B3532="","",IFERROR(INDEX('Cashier Roster'!$D$5:$D$64,MATCH(B3532,'Cashier Roster'!$B$5:$B$64,0)),""))</f>
        <v/>
      </c>
      <c r="E3532" s="13"/>
      <c r="F3532" s="14"/>
      <c r="G3532" s="8" t="str">
        <f>IF(OR(B3532="",E3532=""),"",IF(E3532="No","Missed",IF(F3532="","",IF(F3532&lt;=Settings!$B$7,"On time","Late"))))</f>
        <v/>
      </c>
      <c r="H3532" s="15"/>
      <c r="I3532" s="16"/>
      <c r="J3532" s="16"/>
      <c r="K3532" s="17" t="str">
        <f>IF(J3532="","",ROUND(J3532*Settings!$B$8,2))</f>
        <v/>
      </c>
      <c r="L3532" s="16"/>
      <c r="M3532" s="8" t="str">
        <f t="shared" si="55"/>
        <v/>
      </c>
      <c r="N3532" s="9"/>
    </row>
    <row r="3533" spans="1:14" ht="15.75">
      <c r="A3533" s="11"/>
      <c r="B3533" s="9"/>
      <c r="C3533" s="12" t="str">
        <f>IF(B3533="","",IFERROR(INDEX('Cashier Roster'!$C$5:$C$64,MATCH(B3533,'Cashier Roster'!$B$5:$B$64,0)),"Not on roster"))</f>
        <v/>
      </c>
      <c r="D3533" s="12" t="str">
        <f>IF(B3533="","",IFERROR(INDEX('Cashier Roster'!$D$5:$D$64,MATCH(B3533,'Cashier Roster'!$B$5:$B$64,0)),""))</f>
        <v/>
      </c>
      <c r="E3533" s="13"/>
      <c r="F3533" s="14"/>
      <c r="G3533" s="8" t="str">
        <f>IF(OR(B3533="",E3533=""),"",IF(E3533="No","Missed",IF(F3533="","",IF(F3533&lt;=Settings!$B$7,"On time","Late"))))</f>
        <v/>
      </c>
      <c r="H3533" s="15"/>
      <c r="I3533" s="16"/>
      <c r="J3533" s="16"/>
      <c r="K3533" s="17" t="str">
        <f>IF(J3533="","",ROUND(J3533*Settings!$B$8,2))</f>
        <v/>
      </c>
      <c r="L3533" s="16"/>
      <c r="M3533" s="8" t="str">
        <f t="shared" si="55"/>
        <v/>
      </c>
      <c r="N3533" s="9"/>
    </row>
    <row r="3534" spans="1:14" ht="15.75">
      <c r="A3534" s="11"/>
      <c r="B3534" s="9"/>
      <c r="C3534" s="12" t="str">
        <f>IF(B3534="","",IFERROR(INDEX('Cashier Roster'!$C$5:$C$64,MATCH(B3534,'Cashier Roster'!$B$5:$B$64,0)),"Not on roster"))</f>
        <v/>
      </c>
      <c r="D3534" s="12" t="str">
        <f>IF(B3534="","",IFERROR(INDEX('Cashier Roster'!$D$5:$D$64,MATCH(B3534,'Cashier Roster'!$B$5:$B$64,0)),""))</f>
        <v/>
      </c>
      <c r="E3534" s="13"/>
      <c r="F3534" s="14"/>
      <c r="G3534" s="8" t="str">
        <f>IF(OR(B3534="",E3534=""),"",IF(E3534="No","Missed",IF(F3534="","",IF(F3534&lt;=Settings!$B$7,"On time","Late"))))</f>
        <v/>
      </c>
      <c r="H3534" s="15"/>
      <c r="I3534" s="16"/>
      <c r="J3534" s="16"/>
      <c r="K3534" s="17" t="str">
        <f>IF(J3534="","",ROUND(J3534*Settings!$B$8,2))</f>
        <v/>
      </c>
      <c r="L3534" s="16"/>
      <c r="M3534" s="8" t="str">
        <f t="shared" si="55"/>
        <v/>
      </c>
      <c r="N3534" s="9"/>
    </row>
    <row r="3535" spans="1:14" ht="15.75">
      <c r="A3535" s="11"/>
      <c r="B3535" s="9"/>
      <c r="C3535" s="12" t="str">
        <f>IF(B3535="","",IFERROR(INDEX('Cashier Roster'!$C$5:$C$64,MATCH(B3535,'Cashier Roster'!$B$5:$B$64,0)),"Not on roster"))</f>
        <v/>
      </c>
      <c r="D3535" s="12" t="str">
        <f>IF(B3535="","",IFERROR(INDEX('Cashier Roster'!$D$5:$D$64,MATCH(B3535,'Cashier Roster'!$B$5:$B$64,0)),""))</f>
        <v/>
      </c>
      <c r="E3535" s="13"/>
      <c r="F3535" s="14"/>
      <c r="G3535" s="8" t="str">
        <f>IF(OR(B3535="",E3535=""),"",IF(E3535="No","Missed",IF(F3535="","",IF(F3535&lt;=Settings!$B$7,"On time","Late"))))</f>
        <v/>
      </c>
      <c r="H3535" s="15"/>
      <c r="I3535" s="16"/>
      <c r="J3535" s="16"/>
      <c r="K3535" s="17" t="str">
        <f>IF(J3535="","",ROUND(J3535*Settings!$B$8,2))</f>
        <v/>
      </c>
      <c r="L3535" s="16"/>
      <c r="M3535" s="8" t="str">
        <f t="shared" si="55"/>
        <v/>
      </c>
      <c r="N3535" s="9"/>
    </row>
    <row r="3536" spans="1:14" ht="15.75">
      <c r="A3536" s="11"/>
      <c r="B3536" s="9"/>
      <c r="C3536" s="12" t="str">
        <f>IF(B3536="","",IFERROR(INDEX('Cashier Roster'!$C$5:$C$64,MATCH(B3536,'Cashier Roster'!$B$5:$B$64,0)),"Not on roster"))</f>
        <v/>
      </c>
      <c r="D3536" s="12" t="str">
        <f>IF(B3536="","",IFERROR(INDEX('Cashier Roster'!$D$5:$D$64,MATCH(B3536,'Cashier Roster'!$B$5:$B$64,0)),""))</f>
        <v/>
      </c>
      <c r="E3536" s="13"/>
      <c r="F3536" s="14"/>
      <c r="G3536" s="8" t="str">
        <f>IF(OR(B3536="",E3536=""),"",IF(E3536="No","Missed",IF(F3536="","",IF(F3536&lt;=Settings!$B$7,"On time","Late"))))</f>
        <v/>
      </c>
      <c r="H3536" s="15"/>
      <c r="I3536" s="16"/>
      <c r="J3536" s="16"/>
      <c r="K3536" s="17" t="str">
        <f>IF(J3536="","",ROUND(J3536*Settings!$B$8,2))</f>
        <v/>
      </c>
      <c r="L3536" s="16"/>
      <c r="M3536" s="8" t="str">
        <f t="shared" si="55"/>
        <v/>
      </c>
      <c r="N3536" s="9"/>
    </row>
    <row r="3537" spans="1:14" ht="15.75">
      <c r="A3537" s="11"/>
      <c r="B3537" s="9"/>
      <c r="C3537" s="12" t="str">
        <f>IF(B3537="","",IFERROR(INDEX('Cashier Roster'!$C$5:$C$64,MATCH(B3537,'Cashier Roster'!$B$5:$B$64,0)),"Not on roster"))</f>
        <v/>
      </c>
      <c r="D3537" s="12" t="str">
        <f>IF(B3537="","",IFERROR(INDEX('Cashier Roster'!$D$5:$D$64,MATCH(B3537,'Cashier Roster'!$B$5:$B$64,0)),""))</f>
        <v/>
      </c>
      <c r="E3537" s="13"/>
      <c r="F3537" s="14"/>
      <c r="G3537" s="8" t="str">
        <f>IF(OR(B3537="",E3537=""),"",IF(E3537="No","Missed",IF(F3537="","",IF(F3537&lt;=Settings!$B$7,"On time","Late"))))</f>
        <v/>
      </c>
      <c r="H3537" s="15"/>
      <c r="I3537" s="16"/>
      <c r="J3537" s="16"/>
      <c r="K3537" s="17" t="str">
        <f>IF(J3537="","",ROUND(J3537*Settings!$B$8,2))</f>
        <v/>
      </c>
      <c r="L3537" s="16"/>
      <c r="M3537" s="8" t="str">
        <f t="shared" si="55"/>
        <v/>
      </c>
      <c r="N3537" s="9"/>
    </row>
    <row r="3538" spans="1:14" ht="15.75">
      <c r="A3538" s="11"/>
      <c r="B3538" s="9"/>
      <c r="C3538" s="12" t="str">
        <f>IF(B3538="","",IFERROR(INDEX('Cashier Roster'!$C$5:$C$64,MATCH(B3538,'Cashier Roster'!$B$5:$B$64,0)),"Not on roster"))</f>
        <v/>
      </c>
      <c r="D3538" s="12" t="str">
        <f>IF(B3538="","",IFERROR(INDEX('Cashier Roster'!$D$5:$D$64,MATCH(B3538,'Cashier Roster'!$B$5:$B$64,0)),""))</f>
        <v/>
      </c>
      <c r="E3538" s="13"/>
      <c r="F3538" s="14"/>
      <c r="G3538" s="8" t="str">
        <f>IF(OR(B3538="",E3538=""),"",IF(E3538="No","Missed",IF(F3538="","",IF(F3538&lt;=Settings!$B$7,"On time","Late"))))</f>
        <v/>
      </c>
      <c r="H3538" s="15"/>
      <c r="I3538" s="16"/>
      <c r="J3538" s="16"/>
      <c r="K3538" s="17" t="str">
        <f>IF(J3538="","",ROUND(J3538*Settings!$B$8,2))</f>
        <v/>
      </c>
      <c r="L3538" s="16"/>
      <c r="M3538" s="8" t="str">
        <f t="shared" si="55"/>
        <v/>
      </c>
      <c r="N3538" s="9"/>
    </row>
    <row r="3539" spans="1:14" ht="15.75">
      <c r="A3539" s="11"/>
      <c r="B3539" s="9"/>
      <c r="C3539" s="12" t="str">
        <f>IF(B3539="","",IFERROR(INDEX('Cashier Roster'!$C$5:$C$64,MATCH(B3539,'Cashier Roster'!$B$5:$B$64,0)),"Not on roster"))</f>
        <v/>
      </c>
      <c r="D3539" s="12" t="str">
        <f>IF(B3539="","",IFERROR(INDEX('Cashier Roster'!$D$5:$D$64,MATCH(B3539,'Cashier Roster'!$B$5:$B$64,0)),""))</f>
        <v/>
      </c>
      <c r="E3539" s="13"/>
      <c r="F3539" s="14"/>
      <c r="G3539" s="8" t="str">
        <f>IF(OR(B3539="",E3539=""),"",IF(E3539="No","Missed",IF(F3539="","",IF(F3539&lt;=Settings!$B$7,"On time","Late"))))</f>
        <v/>
      </c>
      <c r="H3539" s="15"/>
      <c r="I3539" s="16"/>
      <c r="J3539" s="16"/>
      <c r="K3539" s="17" t="str">
        <f>IF(J3539="","",ROUND(J3539*Settings!$B$8,2))</f>
        <v/>
      </c>
      <c r="L3539" s="16"/>
      <c r="M3539" s="8" t="str">
        <f t="shared" si="55"/>
        <v/>
      </c>
      <c r="N3539" s="9"/>
    </row>
    <row r="3540" spans="1:14" ht="15.75">
      <c r="A3540" s="11"/>
      <c r="B3540" s="9"/>
      <c r="C3540" s="12" t="str">
        <f>IF(B3540="","",IFERROR(INDEX('Cashier Roster'!$C$5:$C$64,MATCH(B3540,'Cashier Roster'!$B$5:$B$64,0)),"Not on roster"))</f>
        <v/>
      </c>
      <c r="D3540" s="12" t="str">
        <f>IF(B3540="","",IFERROR(INDEX('Cashier Roster'!$D$5:$D$64,MATCH(B3540,'Cashier Roster'!$B$5:$B$64,0)),""))</f>
        <v/>
      </c>
      <c r="E3540" s="13"/>
      <c r="F3540" s="14"/>
      <c r="G3540" s="8" t="str">
        <f>IF(OR(B3540="",E3540=""),"",IF(E3540="No","Missed",IF(F3540="","",IF(F3540&lt;=Settings!$B$7,"On time","Late"))))</f>
        <v/>
      </c>
      <c r="H3540" s="15"/>
      <c r="I3540" s="16"/>
      <c r="J3540" s="16"/>
      <c r="K3540" s="17" t="str">
        <f>IF(J3540="","",ROUND(J3540*Settings!$B$8,2))</f>
        <v/>
      </c>
      <c r="L3540" s="16"/>
      <c r="M3540" s="8" t="str">
        <f t="shared" si="55"/>
        <v/>
      </c>
      <c r="N3540" s="9"/>
    </row>
    <row r="3541" spans="1:14" ht="15.75">
      <c r="A3541" s="11"/>
      <c r="B3541" s="9"/>
      <c r="C3541" s="12" t="str">
        <f>IF(B3541="","",IFERROR(INDEX('Cashier Roster'!$C$5:$C$64,MATCH(B3541,'Cashier Roster'!$B$5:$B$64,0)),"Not on roster"))</f>
        <v/>
      </c>
      <c r="D3541" s="12" t="str">
        <f>IF(B3541="","",IFERROR(INDEX('Cashier Roster'!$D$5:$D$64,MATCH(B3541,'Cashier Roster'!$B$5:$B$64,0)),""))</f>
        <v/>
      </c>
      <c r="E3541" s="13"/>
      <c r="F3541" s="14"/>
      <c r="G3541" s="8" t="str">
        <f>IF(OR(B3541="",E3541=""),"",IF(E3541="No","Missed",IF(F3541="","",IF(F3541&lt;=Settings!$B$7,"On time","Late"))))</f>
        <v/>
      </c>
      <c r="H3541" s="15"/>
      <c r="I3541" s="16"/>
      <c r="J3541" s="16"/>
      <c r="K3541" s="17" t="str">
        <f>IF(J3541="","",ROUND(J3541*Settings!$B$8,2))</f>
        <v/>
      </c>
      <c r="L3541" s="16"/>
      <c r="M3541" s="8" t="str">
        <f t="shared" si="55"/>
        <v/>
      </c>
      <c r="N3541" s="9"/>
    </row>
    <row r="3542" spans="1:14" ht="15.75">
      <c r="A3542" s="11"/>
      <c r="B3542" s="9"/>
      <c r="C3542" s="12" t="str">
        <f>IF(B3542="","",IFERROR(INDEX('Cashier Roster'!$C$5:$C$64,MATCH(B3542,'Cashier Roster'!$B$5:$B$64,0)),"Not on roster"))</f>
        <v/>
      </c>
      <c r="D3542" s="12" t="str">
        <f>IF(B3542="","",IFERROR(INDEX('Cashier Roster'!$D$5:$D$64,MATCH(B3542,'Cashier Roster'!$B$5:$B$64,0)),""))</f>
        <v/>
      </c>
      <c r="E3542" s="13"/>
      <c r="F3542" s="14"/>
      <c r="G3542" s="8" t="str">
        <f>IF(OR(B3542="",E3542=""),"",IF(E3542="No","Missed",IF(F3542="","",IF(F3542&lt;=Settings!$B$7,"On time","Late"))))</f>
        <v/>
      </c>
      <c r="H3542" s="15"/>
      <c r="I3542" s="16"/>
      <c r="J3542" s="16"/>
      <c r="K3542" s="17" t="str">
        <f>IF(J3542="","",ROUND(J3542*Settings!$B$8,2))</f>
        <v/>
      </c>
      <c r="L3542" s="16"/>
      <c r="M3542" s="8" t="str">
        <f t="shared" si="55"/>
        <v/>
      </c>
      <c r="N3542" s="9"/>
    </row>
    <row r="3543" spans="1:14" ht="15.75">
      <c r="A3543" s="11"/>
      <c r="B3543" s="9"/>
      <c r="C3543" s="12" t="str">
        <f>IF(B3543="","",IFERROR(INDEX('Cashier Roster'!$C$5:$C$64,MATCH(B3543,'Cashier Roster'!$B$5:$B$64,0)),"Not on roster"))</f>
        <v/>
      </c>
      <c r="D3543" s="12" t="str">
        <f>IF(B3543="","",IFERROR(INDEX('Cashier Roster'!$D$5:$D$64,MATCH(B3543,'Cashier Roster'!$B$5:$B$64,0)),""))</f>
        <v/>
      </c>
      <c r="E3543" s="13"/>
      <c r="F3543" s="14"/>
      <c r="G3543" s="8" t="str">
        <f>IF(OR(B3543="",E3543=""),"",IF(E3543="No","Missed",IF(F3543="","",IF(F3543&lt;=Settings!$B$7,"On time","Late"))))</f>
        <v/>
      </c>
      <c r="H3543" s="15"/>
      <c r="I3543" s="16"/>
      <c r="J3543" s="16"/>
      <c r="K3543" s="17" t="str">
        <f>IF(J3543="","",ROUND(J3543*Settings!$B$8,2))</f>
        <v/>
      </c>
      <c r="L3543" s="16"/>
      <c r="M3543" s="8" t="str">
        <f t="shared" si="55"/>
        <v/>
      </c>
      <c r="N3543" s="9"/>
    </row>
    <row r="3544" spans="1:14" ht="15.75">
      <c r="A3544" s="11"/>
      <c r="B3544" s="9"/>
      <c r="C3544" s="12" t="str">
        <f>IF(B3544="","",IFERROR(INDEX('Cashier Roster'!$C$5:$C$64,MATCH(B3544,'Cashier Roster'!$B$5:$B$64,0)),"Not on roster"))</f>
        <v/>
      </c>
      <c r="D3544" s="12" t="str">
        <f>IF(B3544="","",IFERROR(INDEX('Cashier Roster'!$D$5:$D$64,MATCH(B3544,'Cashier Roster'!$B$5:$B$64,0)),""))</f>
        <v/>
      </c>
      <c r="E3544" s="13"/>
      <c r="F3544" s="14"/>
      <c r="G3544" s="8" t="str">
        <f>IF(OR(B3544="",E3544=""),"",IF(E3544="No","Missed",IF(F3544="","",IF(F3544&lt;=Settings!$B$7,"On time","Late"))))</f>
        <v/>
      </c>
      <c r="H3544" s="15"/>
      <c r="I3544" s="16"/>
      <c r="J3544" s="16"/>
      <c r="K3544" s="17" t="str">
        <f>IF(J3544="","",ROUND(J3544*Settings!$B$8,2))</f>
        <v/>
      </c>
      <c r="L3544" s="16"/>
      <c r="M3544" s="8" t="str">
        <f t="shared" si="55"/>
        <v/>
      </c>
      <c r="N3544" s="9"/>
    </row>
    <row r="3545" spans="1:14" ht="15.75">
      <c r="A3545" s="11"/>
      <c r="B3545" s="9"/>
      <c r="C3545" s="12" t="str">
        <f>IF(B3545="","",IFERROR(INDEX('Cashier Roster'!$C$5:$C$64,MATCH(B3545,'Cashier Roster'!$B$5:$B$64,0)),"Not on roster"))</f>
        <v/>
      </c>
      <c r="D3545" s="12" t="str">
        <f>IF(B3545="","",IFERROR(INDEX('Cashier Roster'!$D$5:$D$64,MATCH(B3545,'Cashier Roster'!$B$5:$B$64,0)),""))</f>
        <v/>
      </c>
      <c r="E3545" s="13"/>
      <c r="F3545" s="14"/>
      <c r="G3545" s="8" t="str">
        <f>IF(OR(B3545="",E3545=""),"",IF(E3545="No","Missed",IF(F3545="","",IF(F3545&lt;=Settings!$B$7,"On time","Late"))))</f>
        <v/>
      </c>
      <c r="H3545" s="15"/>
      <c r="I3545" s="16"/>
      <c r="J3545" s="16"/>
      <c r="K3545" s="17" t="str">
        <f>IF(J3545="","",ROUND(J3545*Settings!$B$8,2))</f>
        <v/>
      </c>
      <c r="L3545" s="16"/>
      <c r="M3545" s="8" t="str">
        <f t="shared" si="55"/>
        <v/>
      </c>
      <c r="N3545" s="9"/>
    </row>
    <row r="3546" spans="1:14" ht="15.75">
      <c r="A3546" s="11"/>
      <c r="B3546" s="9"/>
      <c r="C3546" s="12" t="str">
        <f>IF(B3546="","",IFERROR(INDEX('Cashier Roster'!$C$5:$C$64,MATCH(B3546,'Cashier Roster'!$B$5:$B$64,0)),"Not on roster"))</f>
        <v/>
      </c>
      <c r="D3546" s="12" t="str">
        <f>IF(B3546="","",IFERROR(INDEX('Cashier Roster'!$D$5:$D$64,MATCH(B3546,'Cashier Roster'!$B$5:$B$64,0)),""))</f>
        <v/>
      </c>
      <c r="E3546" s="13"/>
      <c r="F3546" s="14"/>
      <c r="G3546" s="8" t="str">
        <f>IF(OR(B3546="",E3546=""),"",IF(E3546="No","Missed",IF(F3546="","",IF(F3546&lt;=Settings!$B$7,"On time","Late"))))</f>
        <v/>
      </c>
      <c r="H3546" s="15"/>
      <c r="I3546" s="16"/>
      <c r="J3546" s="16"/>
      <c r="K3546" s="17" t="str">
        <f>IF(J3546="","",ROUND(J3546*Settings!$B$8,2))</f>
        <v/>
      </c>
      <c r="L3546" s="16"/>
      <c r="M3546" s="8" t="str">
        <f t="shared" si="55"/>
        <v/>
      </c>
      <c r="N3546" s="9"/>
    </row>
    <row r="3547" spans="1:14" ht="15.75">
      <c r="A3547" s="11"/>
      <c r="B3547" s="9"/>
      <c r="C3547" s="12" t="str">
        <f>IF(B3547="","",IFERROR(INDEX('Cashier Roster'!$C$5:$C$64,MATCH(B3547,'Cashier Roster'!$B$5:$B$64,0)),"Not on roster"))</f>
        <v/>
      </c>
      <c r="D3547" s="12" t="str">
        <f>IF(B3547="","",IFERROR(INDEX('Cashier Roster'!$D$5:$D$64,MATCH(B3547,'Cashier Roster'!$B$5:$B$64,0)),""))</f>
        <v/>
      </c>
      <c r="E3547" s="13"/>
      <c r="F3547" s="14"/>
      <c r="G3547" s="8" t="str">
        <f>IF(OR(B3547="",E3547=""),"",IF(E3547="No","Missed",IF(F3547="","",IF(F3547&lt;=Settings!$B$7,"On time","Late"))))</f>
        <v/>
      </c>
      <c r="H3547" s="15"/>
      <c r="I3547" s="16"/>
      <c r="J3547" s="16"/>
      <c r="K3547" s="17" t="str">
        <f>IF(J3547="","",ROUND(J3547*Settings!$B$8,2))</f>
        <v/>
      </c>
      <c r="L3547" s="16"/>
      <c r="M3547" s="8" t="str">
        <f t="shared" si="55"/>
        <v/>
      </c>
      <c r="N3547" s="9"/>
    </row>
    <row r="3548" spans="1:14" ht="15.75">
      <c r="A3548" s="11"/>
      <c r="B3548" s="9"/>
      <c r="C3548" s="12" t="str">
        <f>IF(B3548="","",IFERROR(INDEX('Cashier Roster'!$C$5:$C$64,MATCH(B3548,'Cashier Roster'!$B$5:$B$64,0)),"Not on roster"))</f>
        <v/>
      </c>
      <c r="D3548" s="12" t="str">
        <f>IF(B3548="","",IFERROR(INDEX('Cashier Roster'!$D$5:$D$64,MATCH(B3548,'Cashier Roster'!$B$5:$B$64,0)),""))</f>
        <v/>
      </c>
      <c r="E3548" s="13"/>
      <c r="F3548" s="14"/>
      <c r="G3548" s="8" t="str">
        <f>IF(OR(B3548="",E3548=""),"",IF(E3548="No","Missed",IF(F3548="","",IF(F3548&lt;=Settings!$B$7,"On time","Late"))))</f>
        <v/>
      </c>
      <c r="H3548" s="15"/>
      <c r="I3548" s="16"/>
      <c r="J3548" s="16"/>
      <c r="K3548" s="17" t="str">
        <f>IF(J3548="","",ROUND(J3548*Settings!$B$8,2))</f>
        <v/>
      </c>
      <c r="L3548" s="16"/>
      <c r="M3548" s="8" t="str">
        <f t="shared" si="55"/>
        <v/>
      </c>
      <c r="N3548" s="9"/>
    </row>
    <row r="3549" spans="1:14" ht="15.75">
      <c r="A3549" s="11"/>
      <c r="B3549" s="9"/>
      <c r="C3549" s="12" t="str">
        <f>IF(B3549="","",IFERROR(INDEX('Cashier Roster'!$C$5:$C$64,MATCH(B3549,'Cashier Roster'!$B$5:$B$64,0)),"Not on roster"))</f>
        <v/>
      </c>
      <c r="D3549" s="12" t="str">
        <f>IF(B3549="","",IFERROR(INDEX('Cashier Roster'!$D$5:$D$64,MATCH(B3549,'Cashier Roster'!$B$5:$B$64,0)),""))</f>
        <v/>
      </c>
      <c r="E3549" s="13"/>
      <c r="F3549" s="14"/>
      <c r="G3549" s="8" t="str">
        <f>IF(OR(B3549="",E3549=""),"",IF(E3549="No","Missed",IF(F3549="","",IF(F3549&lt;=Settings!$B$7,"On time","Late"))))</f>
        <v/>
      </c>
      <c r="H3549" s="15"/>
      <c r="I3549" s="16"/>
      <c r="J3549" s="16"/>
      <c r="K3549" s="17" t="str">
        <f>IF(J3549="","",ROUND(J3549*Settings!$B$8,2))</f>
        <v/>
      </c>
      <c r="L3549" s="16"/>
      <c r="M3549" s="8" t="str">
        <f t="shared" si="55"/>
        <v/>
      </c>
      <c r="N3549" s="9"/>
    </row>
    <row r="3550" spans="1:14" ht="15.75">
      <c r="A3550" s="11"/>
      <c r="B3550" s="9"/>
      <c r="C3550" s="12" t="str">
        <f>IF(B3550="","",IFERROR(INDEX('Cashier Roster'!$C$5:$C$64,MATCH(B3550,'Cashier Roster'!$B$5:$B$64,0)),"Not on roster"))</f>
        <v/>
      </c>
      <c r="D3550" s="12" t="str">
        <f>IF(B3550="","",IFERROR(INDEX('Cashier Roster'!$D$5:$D$64,MATCH(B3550,'Cashier Roster'!$B$5:$B$64,0)),""))</f>
        <v/>
      </c>
      <c r="E3550" s="13"/>
      <c r="F3550" s="14"/>
      <c r="G3550" s="8" t="str">
        <f>IF(OR(B3550="",E3550=""),"",IF(E3550="No","Missed",IF(F3550="","",IF(F3550&lt;=Settings!$B$7,"On time","Late"))))</f>
        <v/>
      </c>
      <c r="H3550" s="15"/>
      <c r="I3550" s="16"/>
      <c r="J3550" s="16"/>
      <c r="K3550" s="17" t="str">
        <f>IF(J3550="","",ROUND(J3550*Settings!$B$8,2))</f>
        <v/>
      </c>
      <c r="L3550" s="16"/>
      <c r="M3550" s="8" t="str">
        <f t="shared" si="55"/>
        <v/>
      </c>
      <c r="N3550" s="9"/>
    </row>
    <row r="3551" spans="1:14" ht="15.75">
      <c r="A3551" s="11"/>
      <c r="B3551" s="9"/>
      <c r="C3551" s="12" t="str">
        <f>IF(B3551="","",IFERROR(INDEX('Cashier Roster'!$C$5:$C$64,MATCH(B3551,'Cashier Roster'!$B$5:$B$64,0)),"Not on roster"))</f>
        <v/>
      </c>
      <c r="D3551" s="12" t="str">
        <f>IF(B3551="","",IFERROR(INDEX('Cashier Roster'!$D$5:$D$64,MATCH(B3551,'Cashier Roster'!$B$5:$B$64,0)),""))</f>
        <v/>
      </c>
      <c r="E3551" s="13"/>
      <c r="F3551" s="14"/>
      <c r="G3551" s="8" t="str">
        <f>IF(OR(B3551="",E3551=""),"",IF(E3551="No","Missed",IF(F3551="","",IF(F3551&lt;=Settings!$B$7,"On time","Late"))))</f>
        <v/>
      </c>
      <c r="H3551" s="15"/>
      <c r="I3551" s="16"/>
      <c r="J3551" s="16"/>
      <c r="K3551" s="17" t="str">
        <f>IF(J3551="","",ROUND(J3551*Settings!$B$8,2))</f>
        <v/>
      </c>
      <c r="L3551" s="16"/>
      <c r="M3551" s="8" t="str">
        <f t="shared" si="55"/>
        <v/>
      </c>
      <c r="N3551" s="9"/>
    </row>
    <row r="3552" spans="1:14" ht="15.75">
      <c r="A3552" s="11"/>
      <c r="B3552" s="9"/>
      <c r="C3552" s="12" t="str">
        <f>IF(B3552="","",IFERROR(INDEX('Cashier Roster'!$C$5:$C$64,MATCH(B3552,'Cashier Roster'!$B$5:$B$64,0)),"Not on roster"))</f>
        <v/>
      </c>
      <c r="D3552" s="12" t="str">
        <f>IF(B3552="","",IFERROR(INDEX('Cashier Roster'!$D$5:$D$64,MATCH(B3552,'Cashier Roster'!$B$5:$B$64,0)),""))</f>
        <v/>
      </c>
      <c r="E3552" s="13"/>
      <c r="F3552" s="14"/>
      <c r="G3552" s="8" t="str">
        <f>IF(OR(B3552="",E3552=""),"",IF(E3552="No","Missed",IF(F3552="","",IF(F3552&lt;=Settings!$B$7,"On time","Late"))))</f>
        <v/>
      </c>
      <c r="H3552" s="15"/>
      <c r="I3552" s="16"/>
      <c r="J3552" s="16"/>
      <c r="K3552" s="17" t="str">
        <f>IF(J3552="","",ROUND(J3552*Settings!$B$8,2))</f>
        <v/>
      </c>
      <c r="L3552" s="16"/>
      <c r="M3552" s="8" t="str">
        <f t="shared" si="55"/>
        <v/>
      </c>
      <c r="N3552" s="9"/>
    </row>
    <row r="3553" spans="1:14" ht="15.75">
      <c r="A3553" s="11"/>
      <c r="B3553" s="9"/>
      <c r="C3553" s="12" t="str">
        <f>IF(B3553="","",IFERROR(INDEX('Cashier Roster'!$C$5:$C$64,MATCH(B3553,'Cashier Roster'!$B$5:$B$64,0)),"Not on roster"))</f>
        <v/>
      </c>
      <c r="D3553" s="12" t="str">
        <f>IF(B3553="","",IFERROR(INDEX('Cashier Roster'!$D$5:$D$64,MATCH(B3553,'Cashier Roster'!$B$5:$B$64,0)),""))</f>
        <v/>
      </c>
      <c r="E3553" s="13"/>
      <c r="F3553" s="14"/>
      <c r="G3553" s="8" t="str">
        <f>IF(OR(B3553="",E3553=""),"",IF(E3553="No","Missed",IF(F3553="","",IF(F3553&lt;=Settings!$B$7,"On time","Late"))))</f>
        <v/>
      </c>
      <c r="H3553" s="15"/>
      <c r="I3553" s="16"/>
      <c r="J3553" s="16"/>
      <c r="K3553" s="17" t="str">
        <f>IF(J3553="","",ROUND(J3553*Settings!$B$8,2))</f>
        <v/>
      </c>
      <c r="L3553" s="16"/>
      <c r="M3553" s="8" t="str">
        <f t="shared" si="55"/>
        <v/>
      </c>
      <c r="N3553" s="9"/>
    </row>
    <row r="3554" spans="1:14" ht="15.75">
      <c r="A3554" s="11"/>
      <c r="B3554" s="9"/>
      <c r="C3554" s="12" t="str">
        <f>IF(B3554="","",IFERROR(INDEX('Cashier Roster'!$C$5:$C$64,MATCH(B3554,'Cashier Roster'!$B$5:$B$64,0)),"Not on roster"))</f>
        <v/>
      </c>
      <c r="D3554" s="12" t="str">
        <f>IF(B3554="","",IFERROR(INDEX('Cashier Roster'!$D$5:$D$64,MATCH(B3554,'Cashier Roster'!$B$5:$B$64,0)),""))</f>
        <v/>
      </c>
      <c r="E3554" s="13"/>
      <c r="F3554" s="14"/>
      <c r="G3554" s="8" t="str">
        <f>IF(OR(B3554="",E3554=""),"",IF(E3554="No","Missed",IF(F3554="","",IF(F3554&lt;=Settings!$B$7,"On time","Late"))))</f>
        <v/>
      </c>
      <c r="H3554" s="15"/>
      <c r="I3554" s="16"/>
      <c r="J3554" s="16"/>
      <c r="K3554" s="17" t="str">
        <f>IF(J3554="","",ROUND(J3554*Settings!$B$8,2))</f>
        <v/>
      </c>
      <c r="L3554" s="16"/>
      <c r="M3554" s="8" t="str">
        <f t="shared" si="55"/>
        <v/>
      </c>
      <c r="N3554" s="9"/>
    </row>
    <row r="3555" spans="1:14" ht="15.75">
      <c r="A3555" s="11"/>
      <c r="B3555" s="9"/>
      <c r="C3555" s="12" t="str">
        <f>IF(B3555="","",IFERROR(INDEX('Cashier Roster'!$C$5:$C$64,MATCH(B3555,'Cashier Roster'!$B$5:$B$64,0)),"Not on roster"))</f>
        <v/>
      </c>
      <c r="D3555" s="12" t="str">
        <f>IF(B3555="","",IFERROR(INDEX('Cashier Roster'!$D$5:$D$64,MATCH(B3555,'Cashier Roster'!$B$5:$B$64,0)),""))</f>
        <v/>
      </c>
      <c r="E3555" s="13"/>
      <c r="F3555" s="14"/>
      <c r="G3555" s="8" t="str">
        <f>IF(OR(B3555="",E3555=""),"",IF(E3555="No","Missed",IF(F3555="","",IF(F3555&lt;=Settings!$B$7,"On time","Late"))))</f>
        <v/>
      </c>
      <c r="H3555" s="15"/>
      <c r="I3555" s="16"/>
      <c r="J3555" s="16"/>
      <c r="K3555" s="17" t="str">
        <f>IF(J3555="","",ROUND(J3555*Settings!$B$8,2))</f>
        <v/>
      </c>
      <c r="L3555" s="16"/>
      <c r="M3555" s="8" t="str">
        <f t="shared" si="55"/>
        <v/>
      </c>
      <c r="N3555" s="9"/>
    </row>
    <row r="3556" spans="1:14" ht="15.75">
      <c r="A3556" s="11"/>
      <c r="B3556" s="9"/>
      <c r="C3556" s="12" t="str">
        <f>IF(B3556="","",IFERROR(INDEX('Cashier Roster'!$C$5:$C$64,MATCH(B3556,'Cashier Roster'!$B$5:$B$64,0)),"Not on roster"))</f>
        <v/>
      </c>
      <c r="D3556" s="12" t="str">
        <f>IF(B3556="","",IFERROR(INDEX('Cashier Roster'!$D$5:$D$64,MATCH(B3556,'Cashier Roster'!$B$5:$B$64,0)),""))</f>
        <v/>
      </c>
      <c r="E3556" s="13"/>
      <c r="F3556" s="14"/>
      <c r="G3556" s="8" t="str">
        <f>IF(OR(B3556="",E3556=""),"",IF(E3556="No","Missed",IF(F3556="","",IF(F3556&lt;=Settings!$B$7,"On time","Late"))))</f>
        <v/>
      </c>
      <c r="H3556" s="15"/>
      <c r="I3556" s="16"/>
      <c r="J3556" s="16"/>
      <c r="K3556" s="17" t="str">
        <f>IF(J3556="","",ROUND(J3556*Settings!$B$8,2))</f>
        <v/>
      </c>
      <c r="L3556" s="16"/>
      <c r="M3556" s="8" t="str">
        <f t="shared" si="55"/>
        <v/>
      </c>
      <c r="N3556" s="9"/>
    </row>
    <row r="3557" spans="1:14" ht="15.75">
      <c r="A3557" s="11"/>
      <c r="B3557" s="9"/>
      <c r="C3557" s="12" t="str">
        <f>IF(B3557="","",IFERROR(INDEX('Cashier Roster'!$C$5:$C$64,MATCH(B3557,'Cashier Roster'!$B$5:$B$64,0)),"Not on roster"))</f>
        <v/>
      </c>
      <c r="D3557" s="12" t="str">
        <f>IF(B3557="","",IFERROR(INDEX('Cashier Roster'!$D$5:$D$64,MATCH(B3557,'Cashier Roster'!$B$5:$B$64,0)),""))</f>
        <v/>
      </c>
      <c r="E3557" s="13"/>
      <c r="F3557" s="14"/>
      <c r="G3557" s="8" t="str">
        <f>IF(OR(B3557="",E3557=""),"",IF(E3557="No","Missed",IF(F3557="","",IF(F3557&lt;=Settings!$B$7,"On time","Late"))))</f>
        <v/>
      </c>
      <c r="H3557" s="15"/>
      <c r="I3557" s="16"/>
      <c r="J3557" s="16"/>
      <c r="K3557" s="17" t="str">
        <f>IF(J3557="","",ROUND(J3557*Settings!$B$8,2))</f>
        <v/>
      </c>
      <c r="L3557" s="16"/>
      <c r="M3557" s="8" t="str">
        <f t="shared" si="55"/>
        <v/>
      </c>
      <c r="N3557" s="9"/>
    </row>
    <row r="3558" spans="1:14" ht="15.75">
      <c r="A3558" s="11"/>
      <c r="B3558" s="9"/>
      <c r="C3558" s="12" t="str">
        <f>IF(B3558="","",IFERROR(INDEX('Cashier Roster'!$C$5:$C$64,MATCH(B3558,'Cashier Roster'!$B$5:$B$64,0)),"Not on roster"))</f>
        <v/>
      </c>
      <c r="D3558" s="12" t="str">
        <f>IF(B3558="","",IFERROR(INDEX('Cashier Roster'!$D$5:$D$64,MATCH(B3558,'Cashier Roster'!$B$5:$B$64,0)),""))</f>
        <v/>
      </c>
      <c r="E3558" s="13"/>
      <c r="F3558" s="14"/>
      <c r="G3558" s="8" t="str">
        <f>IF(OR(B3558="",E3558=""),"",IF(E3558="No","Missed",IF(F3558="","",IF(F3558&lt;=Settings!$B$7,"On time","Late"))))</f>
        <v/>
      </c>
      <c r="H3558" s="15"/>
      <c r="I3558" s="16"/>
      <c r="J3558" s="16"/>
      <c r="K3558" s="17" t="str">
        <f>IF(J3558="","",ROUND(J3558*Settings!$B$8,2))</f>
        <v/>
      </c>
      <c r="L3558" s="16"/>
      <c r="M3558" s="8" t="str">
        <f t="shared" si="55"/>
        <v/>
      </c>
      <c r="N3558" s="9"/>
    </row>
    <row r="3559" spans="1:14" ht="15.75">
      <c r="A3559" s="11"/>
      <c r="B3559" s="9"/>
      <c r="C3559" s="12" t="str">
        <f>IF(B3559="","",IFERROR(INDEX('Cashier Roster'!$C$5:$C$64,MATCH(B3559,'Cashier Roster'!$B$5:$B$64,0)),"Not on roster"))</f>
        <v/>
      </c>
      <c r="D3559" s="12" t="str">
        <f>IF(B3559="","",IFERROR(INDEX('Cashier Roster'!$D$5:$D$64,MATCH(B3559,'Cashier Roster'!$B$5:$B$64,0)),""))</f>
        <v/>
      </c>
      <c r="E3559" s="13"/>
      <c r="F3559" s="14"/>
      <c r="G3559" s="8" t="str">
        <f>IF(OR(B3559="",E3559=""),"",IF(E3559="No","Missed",IF(F3559="","",IF(F3559&lt;=Settings!$B$7,"On time","Late"))))</f>
        <v/>
      </c>
      <c r="H3559" s="15"/>
      <c r="I3559" s="16"/>
      <c r="J3559" s="16"/>
      <c r="K3559" s="17" t="str">
        <f>IF(J3559="","",ROUND(J3559*Settings!$B$8,2))</f>
        <v/>
      </c>
      <c r="L3559" s="16"/>
      <c r="M3559" s="8" t="str">
        <f t="shared" si="55"/>
        <v/>
      </c>
      <c r="N3559" s="9"/>
    </row>
    <row r="3560" spans="1:14" ht="15.75">
      <c r="A3560" s="11"/>
      <c r="B3560" s="9"/>
      <c r="C3560" s="12" t="str">
        <f>IF(B3560="","",IFERROR(INDEX('Cashier Roster'!$C$5:$C$64,MATCH(B3560,'Cashier Roster'!$B$5:$B$64,0)),"Not on roster"))</f>
        <v/>
      </c>
      <c r="D3560" s="12" t="str">
        <f>IF(B3560="","",IFERROR(INDEX('Cashier Roster'!$D$5:$D$64,MATCH(B3560,'Cashier Roster'!$B$5:$B$64,0)),""))</f>
        <v/>
      </c>
      <c r="E3560" s="13"/>
      <c r="F3560" s="14"/>
      <c r="G3560" s="8" t="str">
        <f>IF(OR(B3560="",E3560=""),"",IF(E3560="No","Missed",IF(F3560="","",IF(F3560&lt;=Settings!$B$7,"On time","Late"))))</f>
        <v/>
      </c>
      <c r="H3560" s="15"/>
      <c r="I3560" s="16"/>
      <c r="J3560" s="16"/>
      <c r="K3560" s="17" t="str">
        <f>IF(J3560="","",ROUND(J3560*Settings!$B$8,2))</f>
        <v/>
      </c>
      <c r="L3560" s="16"/>
      <c r="M3560" s="8" t="str">
        <f t="shared" si="55"/>
        <v/>
      </c>
      <c r="N3560" s="9"/>
    </row>
    <row r="3561" spans="1:14" ht="15.75">
      <c r="A3561" s="11"/>
      <c r="B3561" s="9"/>
      <c r="C3561" s="12" t="str">
        <f>IF(B3561="","",IFERROR(INDEX('Cashier Roster'!$C$5:$C$64,MATCH(B3561,'Cashier Roster'!$B$5:$B$64,0)),"Not on roster"))</f>
        <v/>
      </c>
      <c r="D3561" s="12" t="str">
        <f>IF(B3561="","",IFERROR(INDEX('Cashier Roster'!$D$5:$D$64,MATCH(B3561,'Cashier Roster'!$B$5:$B$64,0)),""))</f>
        <v/>
      </c>
      <c r="E3561" s="13"/>
      <c r="F3561" s="14"/>
      <c r="G3561" s="8" t="str">
        <f>IF(OR(B3561="",E3561=""),"",IF(E3561="No","Missed",IF(F3561="","",IF(F3561&lt;=Settings!$B$7,"On time","Late"))))</f>
        <v/>
      </c>
      <c r="H3561" s="15"/>
      <c r="I3561" s="16"/>
      <c r="J3561" s="16"/>
      <c r="K3561" s="17" t="str">
        <f>IF(J3561="","",ROUND(J3561*Settings!$B$8,2))</f>
        <v/>
      </c>
      <c r="L3561" s="16"/>
      <c r="M3561" s="8" t="str">
        <f t="shared" si="55"/>
        <v/>
      </c>
      <c r="N3561" s="9"/>
    </row>
    <row r="3562" spans="1:14" ht="15.75">
      <c r="A3562" s="11"/>
      <c r="B3562" s="9"/>
      <c r="C3562" s="12" t="str">
        <f>IF(B3562="","",IFERROR(INDEX('Cashier Roster'!$C$5:$C$64,MATCH(B3562,'Cashier Roster'!$B$5:$B$64,0)),"Not on roster"))</f>
        <v/>
      </c>
      <c r="D3562" s="12" t="str">
        <f>IF(B3562="","",IFERROR(INDEX('Cashier Roster'!$D$5:$D$64,MATCH(B3562,'Cashier Roster'!$B$5:$B$64,0)),""))</f>
        <v/>
      </c>
      <c r="E3562" s="13"/>
      <c r="F3562" s="14"/>
      <c r="G3562" s="8" t="str">
        <f>IF(OR(B3562="",E3562=""),"",IF(E3562="No","Missed",IF(F3562="","",IF(F3562&lt;=Settings!$B$7,"On time","Late"))))</f>
        <v/>
      </c>
      <c r="H3562" s="15"/>
      <c r="I3562" s="16"/>
      <c r="J3562" s="16"/>
      <c r="K3562" s="17" t="str">
        <f>IF(J3562="","",ROUND(J3562*Settings!$B$8,2))</f>
        <v/>
      </c>
      <c r="L3562" s="16"/>
      <c r="M3562" s="8" t="str">
        <f t="shared" si="55"/>
        <v/>
      </c>
      <c r="N3562" s="9"/>
    </row>
    <row r="3563" spans="1:14" ht="15.75">
      <c r="A3563" s="11"/>
      <c r="B3563" s="9"/>
      <c r="C3563" s="12" t="str">
        <f>IF(B3563="","",IFERROR(INDEX('Cashier Roster'!$C$5:$C$64,MATCH(B3563,'Cashier Roster'!$B$5:$B$64,0)),"Not on roster"))</f>
        <v/>
      </c>
      <c r="D3563" s="12" t="str">
        <f>IF(B3563="","",IFERROR(INDEX('Cashier Roster'!$D$5:$D$64,MATCH(B3563,'Cashier Roster'!$B$5:$B$64,0)),""))</f>
        <v/>
      </c>
      <c r="E3563" s="13"/>
      <c r="F3563" s="14"/>
      <c r="G3563" s="8" t="str">
        <f>IF(OR(B3563="",E3563=""),"",IF(E3563="No","Missed",IF(F3563="","",IF(F3563&lt;=Settings!$B$7,"On time","Late"))))</f>
        <v/>
      </c>
      <c r="H3563" s="15"/>
      <c r="I3563" s="16"/>
      <c r="J3563" s="16"/>
      <c r="K3563" s="17" t="str">
        <f>IF(J3563="","",ROUND(J3563*Settings!$B$8,2))</f>
        <v/>
      </c>
      <c r="L3563" s="16"/>
      <c r="M3563" s="8" t="str">
        <f t="shared" si="55"/>
        <v/>
      </c>
      <c r="N3563" s="9"/>
    </row>
    <row r="3564" spans="1:14" ht="15.75">
      <c r="A3564" s="11"/>
      <c r="B3564" s="9"/>
      <c r="C3564" s="12" t="str">
        <f>IF(B3564="","",IFERROR(INDEX('Cashier Roster'!$C$5:$C$64,MATCH(B3564,'Cashier Roster'!$B$5:$B$64,0)),"Not on roster"))</f>
        <v/>
      </c>
      <c r="D3564" s="12" t="str">
        <f>IF(B3564="","",IFERROR(INDEX('Cashier Roster'!$D$5:$D$64,MATCH(B3564,'Cashier Roster'!$B$5:$B$64,0)),""))</f>
        <v/>
      </c>
      <c r="E3564" s="13"/>
      <c r="F3564" s="14"/>
      <c r="G3564" s="8" t="str">
        <f>IF(OR(B3564="",E3564=""),"",IF(E3564="No","Missed",IF(F3564="","",IF(F3564&lt;=Settings!$B$7,"On time","Late"))))</f>
        <v/>
      </c>
      <c r="H3564" s="15"/>
      <c r="I3564" s="16"/>
      <c r="J3564" s="16"/>
      <c r="K3564" s="17" t="str">
        <f>IF(J3564="","",ROUND(J3564*Settings!$B$8,2))</f>
        <v/>
      </c>
      <c r="L3564" s="16"/>
      <c r="M3564" s="8" t="str">
        <f t="shared" si="55"/>
        <v/>
      </c>
      <c r="N3564" s="9"/>
    </row>
    <row r="3565" spans="1:14" ht="15.75">
      <c r="A3565" s="11"/>
      <c r="B3565" s="9"/>
      <c r="C3565" s="12" t="str">
        <f>IF(B3565="","",IFERROR(INDEX('Cashier Roster'!$C$5:$C$64,MATCH(B3565,'Cashier Roster'!$B$5:$B$64,0)),"Not on roster"))</f>
        <v/>
      </c>
      <c r="D3565" s="12" t="str">
        <f>IF(B3565="","",IFERROR(INDEX('Cashier Roster'!$D$5:$D$64,MATCH(B3565,'Cashier Roster'!$B$5:$B$64,0)),""))</f>
        <v/>
      </c>
      <c r="E3565" s="13"/>
      <c r="F3565" s="14"/>
      <c r="G3565" s="8" t="str">
        <f>IF(OR(B3565="",E3565=""),"",IF(E3565="No","Missed",IF(F3565="","",IF(F3565&lt;=Settings!$B$7,"On time","Late"))))</f>
        <v/>
      </c>
      <c r="H3565" s="15"/>
      <c r="I3565" s="16"/>
      <c r="J3565" s="16"/>
      <c r="K3565" s="17" t="str">
        <f>IF(J3565="","",ROUND(J3565*Settings!$B$8,2))</f>
        <v/>
      </c>
      <c r="L3565" s="16"/>
      <c r="M3565" s="8" t="str">
        <f t="shared" si="55"/>
        <v/>
      </c>
      <c r="N3565" s="9"/>
    </row>
    <row r="3566" spans="1:14" ht="15.75">
      <c r="A3566" s="11"/>
      <c r="B3566" s="9"/>
      <c r="C3566" s="12" t="str">
        <f>IF(B3566="","",IFERROR(INDEX('Cashier Roster'!$C$5:$C$64,MATCH(B3566,'Cashier Roster'!$B$5:$B$64,0)),"Not on roster"))</f>
        <v/>
      </c>
      <c r="D3566" s="12" t="str">
        <f>IF(B3566="","",IFERROR(INDEX('Cashier Roster'!$D$5:$D$64,MATCH(B3566,'Cashier Roster'!$B$5:$B$64,0)),""))</f>
        <v/>
      </c>
      <c r="E3566" s="13"/>
      <c r="F3566" s="14"/>
      <c r="G3566" s="8" t="str">
        <f>IF(OR(B3566="",E3566=""),"",IF(E3566="No","Missed",IF(F3566="","",IF(F3566&lt;=Settings!$B$7,"On time","Late"))))</f>
        <v/>
      </c>
      <c r="H3566" s="15"/>
      <c r="I3566" s="16"/>
      <c r="J3566" s="16"/>
      <c r="K3566" s="17" t="str">
        <f>IF(J3566="","",ROUND(J3566*Settings!$B$8,2))</f>
        <v/>
      </c>
      <c r="L3566" s="16"/>
      <c r="M3566" s="8" t="str">
        <f t="shared" si="55"/>
        <v/>
      </c>
      <c r="N3566" s="9"/>
    </row>
    <row r="3567" spans="1:14" ht="15.75">
      <c r="A3567" s="11"/>
      <c r="B3567" s="9"/>
      <c r="C3567" s="12" t="str">
        <f>IF(B3567="","",IFERROR(INDEX('Cashier Roster'!$C$5:$C$64,MATCH(B3567,'Cashier Roster'!$B$5:$B$64,0)),"Not on roster"))</f>
        <v/>
      </c>
      <c r="D3567" s="12" t="str">
        <f>IF(B3567="","",IFERROR(INDEX('Cashier Roster'!$D$5:$D$64,MATCH(B3567,'Cashier Roster'!$B$5:$B$64,0)),""))</f>
        <v/>
      </c>
      <c r="E3567" s="13"/>
      <c r="F3567" s="14"/>
      <c r="G3567" s="8" t="str">
        <f>IF(OR(B3567="",E3567=""),"",IF(E3567="No","Missed",IF(F3567="","",IF(F3567&lt;=Settings!$B$7,"On time","Late"))))</f>
        <v/>
      </c>
      <c r="H3567" s="15"/>
      <c r="I3567" s="16"/>
      <c r="J3567" s="16"/>
      <c r="K3567" s="17" t="str">
        <f>IF(J3567="","",ROUND(J3567*Settings!$B$8,2))</f>
        <v/>
      </c>
      <c r="L3567" s="16"/>
      <c r="M3567" s="8" t="str">
        <f t="shared" si="55"/>
        <v/>
      </c>
      <c r="N3567" s="9"/>
    </row>
    <row r="3568" spans="1:14" ht="15.75">
      <c r="A3568" s="11"/>
      <c r="B3568" s="9"/>
      <c r="C3568" s="12" t="str">
        <f>IF(B3568="","",IFERROR(INDEX('Cashier Roster'!$C$5:$C$64,MATCH(B3568,'Cashier Roster'!$B$5:$B$64,0)),"Not on roster"))</f>
        <v/>
      </c>
      <c r="D3568" s="12" t="str">
        <f>IF(B3568="","",IFERROR(INDEX('Cashier Roster'!$D$5:$D$64,MATCH(B3568,'Cashier Roster'!$B$5:$B$64,0)),""))</f>
        <v/>
      </c>
      <c r="E3568" s="13"/>
      <c r="F3568" s="14"/>
      <c r="G3568" s="8" t="str">
        <f>IF(OR(B3568="",E3568=""),"",IF(E3568="No","Missed",IF(F3568="","",IF(F3568&lt;=Settings!$B$7,"On time","Late"))))</f>
        <v/>
      </c>
      <c r="H3568" s="15"/>
      <c r="I3568" s="16"/>
      <c r="J3568" s="16"/>
      <c r="K3568" s="17" t="str">
        <f>IF(J3568="","",ROUND(J3568*Settings!$B$8,2))</f>
        <v/>
      </c>
      <c r="L3568" s="16"/>
      <c r="M3568" s="8" t="str">
        <f t="shared" si="55"/>
        <v/>
      </c>
      <c r="N3568" s="9"/>
    </row>
    <row r="3569" spans="1:14" ht="15.75">
      <c r="A3569" s="11"/>
      <c r="B3569" s="9"/>
      <c r="C3569" s="12" t="str">
        <f>IF(B3569="","",IFERROR(INDEX('Cashier Roster'!$C$5:$C$64,MATCH(B3569,'Cashier Roster'!$B$5:$B$64,0)),"Not on roster"))</f>
        <v/>
      </c>
      <c r="D3569" s="12" t="str">
        <f>IF(B3569="","",IFERROR(INDEX('Cashier Roster'!$D$5:$D$64,MATCH(B3569,'Cashier Roster'!$B$5:$B$64,0)),""))</f>
        <v/>
      </c>
      <c r="E3569" s="13"/>
      <c r="F3569" s="14"/>
      <c r="G3569" s="8" t="str">
        <f>IF(OR(B3569="",E3569=""),"",IF(E3569="No","Missed",IF(F3569="","",IF(F3569&lt;=Settings!$B$7,"On time","Late"))))</f>
        <v/>
      </c>
      <c r="H3569" s="15"/>
      <c r="I3569" s="16"/>
      <c r="J3569" s="16"/>
      <c r="K3569" s="17" t="str">
        <f>IF(J3569="","",ROUND(J3569*Settings!$B$8,2))</f>
        <v/>
      </c>
      <c r="L3569" s="16"/>
      <c r="M3569" s="8" t="str">
        <f t="shared" si="55"/>
        <v/>
      </c>
      <c r="N3569" s="9"/>
    </row>
    <row r="3570" spans="1:14" ht="15.75">
      <c r="A3570" s="11"/>
      <c r="B3570" s="9"/>
      <c r="C3570" s="12" t="str">
        <f>IF(B3570="","",IFERROR(INDEX('Cashier Roster'!$C$5:$C$64,MATCH(B3570,'Cashier Roster'!$B$5:$B$64,0)),"Not on roster"))</f>
        <v/>
      </c>
      <c r="D3570" s="12" t="str">
        <f>IF(B3570="","",IFERROR(INDEX('Cashier Roster'!$D$5:$D$64,MATCH(B3570,'Cashier Roster'!$B$5:$B$64,0)),""))</f>
        <v/>
      </c>
      <c r="E3570" s="13"/>
      <c r="F3570" s="14"/>
      <c r="G3570" s="8" t="str">
        <f>IF(OR(B3570="",E3570=""),"",IF(E3570="No","Missed",IF(F3570="","",IF(F3570&lt;=Settings!$B$7,"On time","Late"))))</f>
        <v/>
      </c>
      <c r="H3570" s="15"/>
      <c r="I3570" s="16"/>
      <c r="J3570" s="16"/>
      <c r="K3570" s="17" t="str">
        <f>IF(J3570="","",ROUND(J3570*Settings!$B$8,2))</f>
        <v/>
      </c>
      <c r="L3570" s="16"/>
      <c r="M3570" s="8" t="str">
        <f t="shared" si="55"/>
        <v/>
      </c>
      <c r="N3570" s="9"/>
    </row>
    <row r="3571" spans="1:14" ht="15.75">
      <c r="A3571" s="11"/>
      <c r="B3571" s="9"/>
      <c r="C3571" s="12" t="str">
        <f>IF(B3571="","",IFERROR(INDEX('Cashier Roster'!$C$5:$C$64,MATCH(B3571,'Cashier Roster'!$B$5:$B$64,0)),"Not on roster"))</f>
        <v/>
      </c>
      <c r="D3571" s="12" t="str">
        <f>IF(B3571="","",IFERROR(INDEX('Cashier Roster'!$D$5:$D$64,MATCH(B3571,'Cashier Roster'!$B$5:$B$64,0)),""))</f>
        <v/>
      </c>
      <c r="E3571" s="13"/>
      <c r="F3571" s="14"/>
      <c r="G3571" s="8" t="str">
        <f>IF(OR(B3571="",E3571=""),"",IF(E3571="No","Missed",IF(F3571="","",IF(F3571&lt;=Settings!$B$7,"On time","Late"))))</f>
        <v/>
      </c>
      <c r="H3571" s="15"/>
      <c r="I3571" s="16"/>
      <c r="J3571" s="16"/>
      <c r="K3571" s="17" t="str">
        <f>IF(J3571="","",ROUND(J3571*Settings!$B$8,2))</f>
        <v/>
      </c>
      <c r="L3571" s="16"/>
      <c r="M3571" s="8" t="str">
        <f t="shared" si="55"/>
        <v/>
      </c>
      <c r="N3571" s="9"/>
    </row>
    <row r="3572" spans="1:14" ht="15.75">
      <c r="A3572" s="11"/>
      <c r="B3572" s="9"/>
      <c r="C3572" s="12" t="str">
        <f>IF(B3572="","",IFERROR(INDEX('Cashier Roster'!$C$5:$C$64,MATCH(B3572,'Cashier Roster'!$B$5:$B$64,0)),"Not on roster"))</f>
        <v/>
      </c>
      <c r="D3572" s="12" t="str">
        <f>IF(B3572="","",IFERROR(INDEX('Cashier Roster'!$D$5:$D$64,MATCH(B3572,'Cashier Roster'!$B$5:$B$64,0)),""))</f>
        <v/>
      </c>
      <c r="E3572" s="13"/>
      <c r="F3572" s="14"/>
      <c r="G3572" s="8" t="str">
        <f>IF(OR(B3572="",E3572=""),"",IF(E3572="No","Missed",IF(F3572="","",IF(F3572&lt;=Settings!$B$7,"On time","Late"))))</f>
        <v/>
      </c>
      <c r="H3572" s="15"/>
      <c r="I3572" s="16"/>
      <c r="J3572" s="16"/>
      <c r="K3572" s="17" t="str">
        <f>IF(J3572="","",ROUND(J3572*Settings!$B$8,2))</f>
        <v/>
      </c>
      <c r="L3572" s="16"/>
      <c r="M3572" s="8" t="str">
        <f t="shared" si="55"/>
        <v/>
      </c>
      <c r="N3572" s="9"/>
    </row>
    <row r="3573" spans="1:14" ht="15.75">
      <c r="A3573" s="11"/>
      <c r="B3573" s="9"/>
      <c r="C3573" s="12" t="str">
        <f>IF(B3573="","",IFERROR(INDEX('Cashier Roster'!$C$5:$C$64,MATCH(B3573,'Cashier Roster'!$B$5:$B$64,0)),"Not on roster"))</f>
        <v/>
      </c>
      <c r="D3573" s="12" t="str">
        <f>IF(B3573="","",IFERROR(INDEX('Cashier Roster'!$D$5:$D$64,MATCH(B3573,'Cashier Roster'!$B$5:$B$64,0)),""))</f>
        <v/>
      </c>
      <c r="E3573" s="13"/>
      <c r="F3573" s="14"/>
      <c r="G3573" s="8" t="str">
        <f>IF(OR(B3573="",E3573=""),"",IF(E3573="No","Missed",IF(F3573="","",IF(F3573&lt;=Settings!$B$7,"On time","Late"))))</f>
        <v/>
      </c>
      <c r="H3573" s="15"/>
      <c r="I3573" s="16"/>
      <c r="J3573" s="16"/>
      <c r="K3573" s="17" t="str">
        <f>IF(J3573="","",ROUND(J3573*Settings!$B$8,2))</f>
        <v/>
      </c>
      <c r="L3573" s="16"/>
      <c r="M3573" s="8" t="str">
        <f t="shared" si="55"/>
        <v/>
      </c>
      <c r="N3573" s="9"/>
    </row>
    <row r="3574" spans="1:14" ht="15.75">
      <c r="A3574" s="11"/>
      <c r="B3574" s="9"/>
      <c r="C3574" s="12" t="str">
        <f>IF(B3574="","",IFERROR(INDEX('Cashier Roster'!$C$5:$C$64,MATCH(B3574,'Cashier Roster'!$B$5:$B$64,0)),"Not on roster"))</f>
        <v/>
      </c>
      <c r="D3574" s="12" t="str">
        <f>IF(B3574="","",IFERROR(INDEX('Cashier Roster'!$D$5:$D$64,MATCH(B3574,'Cashier Roster'!$B$5:$B$64,0)),""))</f>
        <v/>
      </c>
      <c r="E3574" s="13"/>
      <c r="F3574" s="14"/>
      <c r="G3574" s="8" t="str">
        <f>IF(OR(B3574="",E3574=""),"",IF(E3574="No","Missed",IF(F3574="","",IF(F3574&lt;=Settings!$B$7,"On time","Late"))))</f>
        <v/>
      </c>
      <c r="H3574" s="15"/>
      <c r="I3574" s="16"/>
      <c r="J3574" s="16"/>
      <c r="K3574" s="17" t="str">
        <f>IF(J3574="","",ROUND(J3574*Settings!$B$8,2))</f>
        <v/>
      </c>
      <c r="L3574" s="16"/>
      <c r="M3574" s="8" t="str">
        <f t="shared" si="55"/>
        <v/>
      </c>
      <c r="N3574" s="9"/>
    </row>
    <row r="3575" spans="1:14" ht="15.75">
      <c r="A3575" s="11"/>
      <c r="B3575" s="9"/>
      <c r="C3575" s="12" t="str">
        <f>IF(B3575="","",IFERROR(INDEX('Cashier Roster'!$C$5:$C$64,MATCH(B3575,'Cashier Roster'!$B$5:$B$64,0)),"Not on roster"))</f>
        <v/>
      </c>
      <c r="D3575" s="12" t="str">
        <f>IF(B3575="","",IFERROR(INDEX('Cashier Roster'!$D$5:$D$64,MATCH(B3575,'Cashier Roster'!$B$5:$B$64,0)),""))</f>
        <v/>
      </c>
      <c r="E3575" s="13"/>
      <c r="F3575" s="14"/>
      <c r="G3575" s="8" t="str">
        <f>IF(OR(B3575="",E3575=""),"",IF(E3575="No","Missed",IF(F3575="","",IF(F3575&lt;=Settings!$B$7,"On time","Late"))))</f>
        <v/>
      </c>
      <c r="H3575" s="15"/>
      <c r="I3575" s="16"/>
      <c r="J3575" s="16"/>
      <c r="K3575" s="17" t="str">
        <f>IF(J3575="","",ROUND(J3575*Settings!$B$8,2))</f>
        <v/>
      </c>
      <c r="L3575" s="16"/>
      <c r="M3575" s="8" t="str">
        <f t="shared" si="55"/>
        <v/>
      </c>
      <c r="N3575" s="9"/>
    </row>
    <row r="3576" spans="1:14" ht="15.75">
      <c r="A3576" s="11"/>
      <c r="B3576" s="9"/>
      <c r="C3576" s="12" t="str">
        <f>IF(B3576="","",IFERROR(INDEX('Cashier Roster'!$C$5:$C$64,MATCH(B3576,'Cashier Roster'!$B$5:$B$64,0)),"Not on roster"))</f>
        <v/>
      </c>
      <c r="D3576" s="12" t="str">
        <f>IF(B3576="","",IFERROR(INDEX('Cashier Roster'!$D$5:$D$64,MATCH(B3576,'Cashier Roster'!$B$5:$B$64,0)),""))</f>
        <v/>
      </c>
      <c r="E3576" s="13"/>
      <c r="F3576" s="14"/>
      <c r="G3576" s="8" t="str">
        <f>IF(OR(B3576="",E3576=""),"",IF(E3576="No","Missed",IF(F3576="","",IF(F3576&lt;=Settings!$B$7,"On time","Late"))))</f>
        <v/>
      </c>
      <c r="H3576" s="15"/>
      <c r="I3576" s="16"/>
      <c r="J3576" s="16"/>
      <c r="K3576" s="17" t="str">
        <f>IF(J3576="","",ROUND(J3576*Settings!$B$8,2))</f>
        <v/>
      </c>
      <c r="L3576" s="16"/>
      <c r="M3576" s="8" t="str">
        <f t="shared" si="55"/>
        <v/>
      </c>
      <c r="N3576" s="9"/>
    </row>
    <row r="3577" spans="1:14" ht="15.75">
      <c r="A3577" s="11"/>
      <c r="B3577" s="9"/>
      <c r="C3577" s="12" t="str">
        <f>IF(B3577="","",IFERROR(INDEX('Cashier Roster'!$C$5:$C$64,MATCH(B3577,'Cashier Roster'!$B$5:$B$64,0)),"Not on roster"))</f>
        <v/>
      </c>
      <c r="D3577" s="12" t="str">
        <f>IF(B3577="","",IFERROR(INDEX('Cashier Roster'!$D$5:$D$64,MATCH(B3577,'Cashier Roster'!$B$5:$B$64,0)),""))</f>
        <v/>
      </c>
      <c r="E3577" s="13"/>
      <c r="F3577" s="14"/>
      <c r="G3577" s="8" t="str">
        <f>IF(OR(B3577="",E3577=""),"",IF(E3577="No","Missed",IF(F3577="","",IF(F3577&lt;=Settings!$B$7,"On time","Late"))))</f>
        <v/>
      </c>
      <c r="H3577" s="15"/>
      <c r="I3577" s="16"/>
      <c r="J3577" s="16"/>
      <c r="K3577" s="17" t="str">
        <f>IF(J3577="","",ROUND(J3577*Settings!$B$8,2))</f>
        <v/>
      </c>
      <c r="L3577" s="16"/>
      <c r="M3577" s="8" t="str">
        <f t="shared" si="55"/>
        <v/>
      </c>
      <c r="N3577" s="9"/>
    </row>
    <row r="3578" spans="1:14" ht="15.75">
      <c r="A3578" s="11"/>
      <c r="B3578" s="9"/>
      <c r="C3578" s="12" t="str">
        <f>IF(B3578="","",IFERROR(INDEX('Cashier Roster'!$C$5:$C$64,MATCH(B3578,'Cashier Roster'!$B$5:$B$64,0)),"Not on roster"))</f>
        <v/>
      </c>
      <c r="D3578" s="12" t="str">
        <f>IF(B3578="","",IFERROR(INDEX('Cashier Roster'!$D$5:$D$64,MATCH(B3578,'Cashier Roster'!$B$5:$B$64,0)),""))</f>
        <v/>
      </c>
      <c r="E3578" s="13"/>
      <c r="F3578" s="14"/>
      <c r="G3578" s="8" t="str">
        <f>IF(OR(B3578="",E3578=""),"",IF(E3578="No","Missed",IF(F3578="","",IF(F3578&lt;=Settings!$B$7,"On time","Late"))))</f>
        <v/>
      </c>
      <c r="H3578" s="15"/>
      <c r="I3578" s="16"/>
      <c r="J3578" s="16"/>
      <c r="K3578" s="17" t="str">
        <f>IF(J3578="","",ROUND(J3578*Settings!$B$8,2))</f>
        <v/>
      </c>
      <c r="L3578" s="16"/>
      <c r="M3578" s="8" t="str">
        <f t="shared" si="55"/>
        <v/>
      </c>
      <c r="N3578" s="9"/>
    </row>
    <row r="3579" spans="1:14" ht="15.75">
      <c r="A3579" s="11"/>
      <c r="B3579" s="9"/>
      <c r="C3579" s="12" t="str">
        <f>IF(B3579="","",IFERROR(INDEX('Cashier Roster'!$C$5:$C$64,MATCH(B3579,'Cashier Roster'!$B$5:$B$64,0)),"Not on roster"))</f>
        <v/>
      </c>
      <c r="D3579" s="12" t="str">
        <f>IF(B3579="","",IFERROR(INDEX('Cashier Roster'!$D$5:$D$64,MATCH(B3579,'Cashier Roster'!$B$5:$B$64,0)),""))</f>
        <v/>
      </c>
      <c r="E3579" s="13"/>
      <c r="F3579" s="14"/>
      <c r="G3579" s="8" t="str">
        <f>IF(OR(B3579="",E3579=""),"",IF(E3579="No","Missed",IF(F3579="","",IF(F3579&lt;=Settings!$B$7,"On time","Late"))))</f>
        <v/>
      </c>
      <c r="H3579" s="15"/>
      <c r="I3579" s="16"/>
      <c r="J3579" s="16"/>
      <c r="K3579" s="17" t="str">
        <f>IF(J3579="","",ROUND(J3579*Settings!$B$8,2))</f>
        <v/>
      </c>
      <c r="L3579" s="16"/>
      <c r="M3579" s="8" t="str">
        <f t="shared" si="55"/>
        <v/>
      </c>
      <c r="N3579" s="9"/>
    </row>
    <row r="3580" spans="1:14" ht="15.75">
      <c r="A3580" s="11"/>
      <c r="B3580" s="9"/>
      <c r="C3580" s="12" t="str">
        <f>IF(B3580="","",IFERROR(INDEX('Cashier Roster'!$C$5:$C$64,MATCH(B3580,'Cashier Roster'!$B$5:$B$64,0)),"Not on roster"))</f>
        <v/>
      </c>
      <c r="D3580" s="12" t="str">
        <f>IF(B3580="","",IFERROR(INDEX('Cashier Roster'!$D$5:$D$64,MATCH(B3580,'Cashier Roster'!$B$5:$B$64,0)),""))</f>
        <v/>
      </c>
      <c r="E3580" s="13"/>
      <c r="F3580" s="14"/>
      <c r="G3580" s="8" t="str">
        <f>IF(OR(B3580="",E3580=""),"",IF(E3580="No","Missed",IF(F3580="","",IF(F3580&lt;=Settings!$B$7,"On time","Late"))))</f>
        <v/>
      </c>
      <c r="H3580" s="15"/>
      <c r="I3580" s="16"/>
      <c r="J3580" s="16"/>
      <c r="K3580" s="17" t="str">
        <f>IF(J3580="","",ROUND(J3580*Settings!$B$8,2))</f>
        <v/>
      </c>
      <c r="L3580" s="16"/>
      <c r="M3580" s="8" t="str">
        <f t="shared" si="55"/>
        <v/>
      </c>
      <c r="N3580" s="9"/>
    </row>
    <row r="3581" spans="1:14" ht="15.75">
      <c r="A3581" s="11"/>
      <c r="B3581" s="9"/>
      <c r="C3581" s="12" t="str">
        <f>IF(B3581="","",IFERROR(INDEX('Cashier Roster'!$C$5:$C$64,MATCH(B3581,'Cashier Roster'!$B$5:$B$64,0)),"Not on roster"))</f>
        <v/>
      </c>
      <c r="D3581" s="12" t="str">
        <f>IF(B3581="","",IFERROR(INDEX('Cashier Roster'!$D$5:$D$64,MATCH(B3581,'Cashier Roster'!$B$5:$B$64,0)),""))</f>
        <v/>
      </c>
      <c r="E3581" s="13"/>
      <c r="F3581" s="14"/>
      <c r="G3581" s="8" t="str">
        <f>IF(OR(B3581="",E3581=""),"",IF(E3581="No","Missed",IF(F3581="","",IF(F3581&lt;=Settings!$B$7,"On time","Late"))))</f>
        <v/>
      </c>
      <c r="H3581" s="15"/>
      <c r="I3581" s="16"/>
      <c r="J3581" s="16"/>
      <c r="K3581" s="17" t="str">
        <f>IF(J3581="","",ROUND(J3581*Settings!$B$8,2))</f>
        <v/>
      </c>
      <c r="L3581" s="16"/>
      <c r="M3581" s="8" t="str">
        <f t="shared" si="55"/>
        <v/>
      </c>
      <c r="N3581" s="9"/>
    </row>
    <row r="3582" spans="1:14" ht="15.75">
      <c r="A3582" s="11"/>
      <c r="B3582" s="9"/>
      <c r="C3582" s="12" t="str">
        <f>IF(B3582="","",IFERROR(INDEX('Cashier Roster'!$C$5:$C$64,MATCH(B3582,'Cashier Roster'!$B$5:$B$64,0)),"Not on roster"))</f>
        <v/>
      </c>
      <c r="D3582" s="12" t="str">
        <f>IF(B3582="","",IFERROR(INDEX('Cashier Roster'!$D$5:$D$64,MATCH(B3582,'Cashier Roster'!$B$5:$B$64,0)),""))</f>
        <v/>
      </c>
      <c r="E3582" s="13"/>
      <c r="F3582" s="14"/>
      <c r="G3582" s="8" t="str">
        <f>IF(OR(B3582="",E3582=""),"",IF(E3582="No","Missed",IF(F3582="","",IF(F3582&lt;=Settings!$B$7,"On time","Late"))))</f>
        <v/>
      </c>
      <c r="H3582" s="15"/>
      <c r="I3582" s="16"/>
      <c r="J3582" s="16"/>
      <c r="K3582" s="17" t="str">
        <f>IF(J3582="","",ROUND(J3582*Settings!$B$8,2))</f>
        <v/>
      </c>
      <c r="L3582" s="16"/>
      <c r="M3582" s="8" t="str">
        <f t="shared" si="55"/>
        <v/>
      </c>
      <c r="N3582" s="9"/>
    </row>
    <row r="3583" spans="1:14" ht="15.75">
      <c r="A3583" s="11"/>
      <c r="B3583" s="9"/>
      <c r="C3583" s="12" t="str">
        <f>IF(B3583="","",IFERROR(INDEX('Cashier Roster'!$C$5:$C$64,MATCH(B3583,'Cashier Roster'!$B$5:$B$64,0)),"Not on roster"))</f>
        <v/>
      </c>
      <c r="D3583" s="12" t="str">
        <f>IF(B3583="","",IFERROR(INDEX('Cashier Roster'!$D$5:$D$64,MATCH(B3583,'Cashier Roster'!$B$5:$B$64,0)),""))</f>
        <v/>
      </c>
      <c r="E3583" s="13"/>
      <c r="F3583" s="14"/>
      <c r="G3583" s="8" t="str">
        <f>IF(OR(B3583="",E3583=""),"",IF(E3583="No","Missed",IF(F3583="","",IF(F3583&lt;=Settings!$B$7,"On time","Late"))))</f>
        <v/>
      </c>
      <c r="H3583" s="15"/>
      <c r="I3583" s="16"/>
      <c r="J3583" s="16"/>
      <c r="K3583" s="17" t="str">
        <f>IF(J3583="","",ROUND(J3583*Settings!$B$8,2))</f>
        <v/>
      </c>
      <c r="L3583" s="16"/>
      <c r="M3583" s="8" t="str">
        <f t="shared" si="55"/>
        <v/>
      </c>
      <c r="N3583" s="9"/>
    </row>
    <row r="3584" spans="1:14" ht="15.75">
      <c r="A3584" s="11"/>
      <c r="B3584" s="9"/>
      <c r="C3584" s="12" t="str">
        <f>IF(B3584="","",IFERROR(INDEX('Cashier Roster'!$C$5:$C$64,MATCH(B3584,'Cashier Roster'!$B$5:$B$64,0)),"Not on roster"))</f>
        <v/>
      </c>
      <c r="D3584" s="12" t="str">
        <f>IF(B3584="","",IFERROR(INDEX('Cashier Roster'!$D$5:$D$64,MATCH(B3584,'Cashier Roster'!$B$5:$B$64,0)),""))</f>
        <v/>
      </c>
      <c r="E3584" s="13"/>
      <c r="F3584" s="14"/>
      <c r="G3584" s="8" t="str">
        <f>IF(OR(B3584="",E3584=""),"",IF(E3584="No","Missed",IF(F3584="","",IF(F3584&lt;=Settings!$B$7,"On time","Late"))))</f>
        <v/>
      </c>
      <c r="H3584" s="15"/>
      <c r="I3584" s="16"/>
      <c r="J3584" s="16"/>
      <c r="K3584" s="17" t="str">
        <f>IF(J3584="","",ROUND(J3584*Settings!$B$8,2))</f>
        <v/>
      </c>
      <c r="L3584" s="16"/>
      <c r="M3584" s="8" t="str">
        <f t="shared" si="55"/>
        <v/>
      </c>
      <c r="N3584" s="9"/>
    </row>
    <row r="3585" spans="1:14" ht="15.75">
      <c r="A3585" s="11"/>
      <c r="B3585" s="9"/>
      <c r="C3585" s="12" t="str">
        <f>IF(B3585="","",IFERROR(INDEX('Cashier Roster'!$C$5:$C$64,MATCH(B3585,'Cashier Roster'!$B$5:$B$64,0)),"Not on roster"))</f>
        <v/>
      </c>
      <c r="D3585" s="12" t="str">
        <f>IF(B3585="","",IFERROR(INDEX('Cashier Roster'!$D$5:$D$64,MATCH(B3585,'Cashier Roster'!$B$5:$B$64,0)),""))</f>
        <v/>
      </c>
      <c r="E3585" s="13"/>
      <c r="F3585" s="14"/>
      <c r="G3585" s="8" t="str">
        <f>IF(OR(B3585="",E3585=""),"",IF(E3585="No","Missed",IF(F3585="","",IF(F3585&lt;=Settings!$B$7,"On time","Late"))))</f>
        <v/>
      </c>
      <c r="H3585" s="15"/>
      <c r="I3585" s="16"/>
      <c r="J3585" s="16"/>
      <c r="K3585" s="17" t="str">
        <f>IF(J3585="","",ROUND(J3585*Settings!$B$8,2))</f>
        <v/>
      </c>
      <c r="L3585" s="16"/>
      <c r="M3585" s="8" t="str">
        <f t="shared" si="55"/>
        <v/>
      </c>
      <c r="N3585" s="9"/>
    </row>
    <row r="3586" spans="1:14" ht="15.75">
      <c r="A3586" s="11"/>
      <c r="B3586" s="9"/>
      <c r="C3586" s="12" t="str">
        <f>IF(B3586="","",IFERROR(INDEX('Cashier Roster'!$C$5:$C$64,MATCH(B3586,'Cashier Roster'!$B$5:$B$64,0)),"Not on roster"))</f>
        <v/>
      </c>
      <c r="D3586" s="12" t="str">
        <f>IF(B3586="","",IFERROR(INDEX('Cashier Roster'!$D$5:$D$64,MATCH(B3586,'Cashier Roster'!$B$5:$B$64,0)),""))</f>
        <v/>
      </c>
      <c r="E3586" s="13"/>
      <c r="F3586" s="14"/>
      <c r="G3586" s="8" t="str">
        <f>IF(OR(B3586="",E3586=""),"",IF(E3586="No","Missed",IF(F3586="","",IF(F3586&lt;=Settings!$B$7,"On time","Late"))))</f>
        <v/>
      </c>
      <c r="H3586" s="15"/>
      <c r="I3586" s="16"/>
      <c r="J3586" s="16"/>
      <c r="K3586" s="17" t="str">
        <f>IF(J3586="","",ROUND(J3586*Settings!$B$8,2))</f>
        <v/>
      </c>
      <c r="L3586" s="16"/>
      <c r="M3586" s="8" t="str">
        <f t="shared" si="55"/>
        <v/>
      </c>
      <c r="N3586" s="9"/>
    </row>
    <row r="3587" spans="1:14" ht="15.75">
      <c r="A3587" s="11"/>
      <c r="B3587" s="9"/>
      <c r="C3587" s="12" t="str">
        <f>IF(B3587="","",IFERROR(INDEX('Cashier Roster'!$C$5:$C$64,MATCH(B3587,'Cashier Roster'!$B$5:$B$64,0)),"Not on roster"))</f>
        <v/>
      </c>
      <c r="D3587" s="12" t="str">
        <f>IF(B3587="","",IFERROR(INDEX('Cashier Roster'!$D$5:$D$64,MATCH(B3587,'Cashier Roster'!$B$5:$B$64,0)),""))</f>
        <v/>
      </c>
      <c r="E3587" s="13"/>
      <c r="F3587" s="14"/>
      <c r="G3587" s="8" t="str">
        <f>IF(OR(B3587="",E3587=""),"",IF(E3587="No","Missed",IF(F3587="","",IF(F3587&lt;=Settings!$B$7,"On time","Late"))))</f>
        <v/>
      </c>
      <c r="H3587" s="15"/>
      <c r="I3587" s="16"/>
      <c r="J3587" s="16"/>
      <c r="K3587" s="17" t="str">
        <f>IF(J3587="","",ROUND(J3587*Settings!$B$8,2))</f>
        <v/>
      </c>
      <c r="L3587" s="16"/>
      <c r="M3587" s="8" t="str">
        <f t="shared" si="55"/>
        <v/>
      </c>
      <c r="N3587" s="9"/>
    </row>
    <row r="3588" spans="1:14" ht="15.75">
      <c r="A3588" s="11"/>
      <c r="B3588" s="9"/>
      <c r="C3588" s="12" t="str">
        <f>IF(B3588="","",IFERROR(INDEX('Cashier Roster'!$C$5:$C$64,MATCH(B3588,'Cashier Roster'!$B$5:$B$64,0)),"Not on roster"))</f>
        <v/>
      </c>
      <c r="D3588" s="12" t="str">
        <f>IF(B3588="","",IFERROR(INDEX('Cashier Roster'!$D$5:$D$64,MATCH(B3588,'Cashier Roster'!$B$5:$B$64,0)),""))</f>
        <v/>
      </c>
      <c r="E3588" s="13"/>
      <c r="F3588" s="14"/>
      <c r="G3588" s="8" t="str">
        <f>IF(OR(B3588="",E3588=""),"",IF(E3588="No","Missed",IF(F3588="","",IF(F3588&lt;=Settings!$B$7,"On time","Late"))))</f>
        <v/>
      </c>
      <c r="H3588" s="15"/>
      <c r="I3588" s="16"/>
      <c r="J3588" s="16"/>
      <c r="K3588" s="17" t="str">
        <f>IF(J3588="","",ROUND(J3588*Settings!$B$8,2))</f>
        <v/>
      </c>
      <c r="L3588" s="16"/>
      <c r="M3588" s="8" t="str">
        <f t="shared" si="55"/>
        <v/>
      </c>
      <c r="N3588" s="9"/>
    </row>
    <row r="3589" spans="1:14" ht="15.75">
      <c r="A3589" s="11"/>
      <c r="B3589" s="9"/>
      <c r="C3589" s="12" t="str">
        <f>IF(B3589="","",IFERROR(INDEX('Cashier Roster'!$C$5:$C$64,MATCH(B3589,'Cashier Roster'!$B$5:$B$64,0)),"Not on roster"))</f>
        <v/>
      </c>
      <c r="D3589" s="12" t="str">
        <f>IF(B3589="","",IFERROR(INDEX('Cashier Roster'!$D$5:$D$64,MATCH(B3589,'Cashier Roster'!$B$5:$B$64,0)),""))</f>
        <v/>
      </c>
      <c r="E3589" s="13"/>
      <c r="F3589" s="14"/>
      <c r="G3589" s="8" t="str">
        <f>IF(OR(B3589="",E3589=""),"",IF(E3589="No","Missed",IF(F3589="","",IF(F3589&lt;=Settings!$B$7,"On time","Late"))))</f>
        <v/>
      </c>
      <c r="H3589" s="15"/>
      <c r="I3589" s="16"/>
      <c r="J3589" s="16"/>
      <c r="K3589" s="17" t="str">
        <f>IF(J3589="","",ROUND(J3589*Settings!$B$8,2))</f>
        <v/>
      </c>
      <c r="L3589" s="16"/>
      <c r="M3589" s="8" t="str">
        <f t="shared" ref="M3589:M3652" si="56">IF(L3589="","",IF(L3589&lt;=0,"Yes","No"))</f>
        <v/>
      </c>
      <c r="N3589" s="9"/>
    </row>
    <row r="3590" spans="1:14" ht="15.75">
      <c r="A3590" s="11"/>
      <c r="B3590" s="9"/>
      <c r="C3590" s="12" t="str">
        <f>IF(B3590="","",IFERROR(INDEX('Cashier Roster'!$C$5:$C$64,MATCH(B3590,'Cashier Roster'!$B$5:$B$64,0)),"Not on roster"))</f>
        <v/>
      </c>
      <c r="D3590" s="12" t="str">
        <f>IF(B3590="","",IFERROR(INDEX('Cashier Roster'!$D$5:$D$64,MATCH(B3590,'Cashier Roster'!$B$5:$B$64,0)),""))</f>
        <v/>
      </c>
      <c r="E3590" s="13"/>
      <c r="F3590" s="14"/>
      <c r="G3590" s="8" t="str">
        <f>IF(OR(B3590="",E3590=""),"",IF(E3590="No","Missed",IF(F3590="","",IF(F3590&lt;=Settings!$B$7,"On time","Late"))))</f>
        <v/>
      </c>
      <c r="H3590" s="15"/>
      <c r="I3590" s="16"/>
      <c r="J3590" s="16"/>
      <c r="K3590" s="17" t="str">
        <f>IF(J3590="","",ROUND(J3590*Settings!$B$8,2))</f>
        <v/>
      </c>
      <c r="L3590" s="16"/>
      <c r="M3590" s="8" t="str">
        <f t="shared" si="56"/>
        <v/>
      </c>
      <c r="N3590" s="9"/>
    </row>
    <row r="3591" spans="1:14" ht="15.75">
      <c r="A3591" s="11"/>
      <c r="B3591" s="9"/>
      <c r="C3591" s="12" t="str">
        <f>IF(B3591="","",IFERROR(INDEX('Cashier Roster'!$C$5:$C$64,MATCH(B3591,'Cashier Roster'!$B$5:$B$64,0)),"Not on roster"))</f>
        <v/>
      </c>
      <c r="D3591" s="12" t="str">
        <f>IF(B3591="","",IFERROR(INDEX('Cashier Roster'!$D$5:$D$64,MATCH(B3591,'Cashier Roster'!$B$5:$B$64,0)),""))</f>
        <v/>
      </c>
      <c r="E3591" s="13"/>
      <c r="F3591" s="14"/>
      <c r="G3591" s="8" t="str">
        <f>IF(OR(B3591="",E3591=""),"",IF(E3591="No","Missed",IF(F3591="","",IF(F3591&lt;=Settings!$B$7,"On time","Late"))))</f>
        <v/>
      </c>
      <c r="H3591" s="15"/>
      <c r="I3591" s="16"/>
      <c r="J3591" s="16"/>
      <c r="K3591" s="17" t="str">
        <f>IF(J3591="","",ROUND(J3591*Settings!$B$8,2))</f>
        <v/>
      </c>
      <c r="L3591" s="16"/>
      <c r="M3591" s="8" t="str">
        <f t="shared" si="56"/>
        <v/>
      </c>
      <c r="N3591" s="9"/>
    </row>
    <row r="3592" spans="1:14" ht="15.75">
      <c r="A3592" s="11"/>
      <c r="B3592" s="9"/>
      <c r="C3592" s="12" t="str">
        <f>IF(B3592="","",IFERROR(INDEX('Cashier Roster'!$C$5:$C$64,MATCH(B3592,'Cashier Roster'!$B$5:$B$64,0)),"Not on roster"))</f>
        <v/>
      </c>
      <c r="D3592" s="12" t="str">
        <f>IF(B3592="","",IFERROR(INDEX('Cashier Roster'!$D$5:$D$64,MATCH(B3592,'Cashier Roster'!$B$5:$B$64,0)),""))</f>
        <v/>
      </c>
      <c r="E3592" s="13"/>
      <c r="F3592" s="14"/>
      <c r="G3592" s="8" t="str">
        <f>IF(OR(B3592="",E3592=""),"",IF(E3592="No","Missed",IF(F3592="","",IF(F3592&lt;=Settings!$B$7,"On time","Late"))))</f>
        <v/>
      </c>
      <c r="H3592" s="15"/>
      <c r="I3592" s="16"/>
      <c r="J3592" s="16"/>
      <c r="K3592" s="17" t="str">
        <f>IF(J3592="","",ROUND(J3592*Settings!$B$8,2))</f>
        <v/>
      </c>
      <c r="L3592" s="16"/>
      <c r="M3592" s="8" t="str">
        <f t="shared" si="56"/>
        <v/>
      </c>
      <c r="N3592" s="9"/>
    </row>
    <row r="3593" spans="1:14" ht="15.75">
      <c r="A3593" s="11"/>
      <c r="B3593" s="9"/>
      <c r="C3593" s="12" t="str">
        <f>IF(B3593="","",IFERROR(INDEX('Cashier Roster'!$C$5:$C$64,MATCH(B3593,'Cashier Roster'!$B$5:$B$64,0)),"Not on roster"))</f>
        <v/>
      </c>
      <c r="D3593" s="12" t="str">
        <f>IF(B3593="","",IFERROR(INDEX('Cashier Roster'!$D$5:$D$64,MATCH(B3593,'Cashier Roster'!$B$5:$B$64,0)),""))</f>
        <v/>
      </c>
      <c r="E3593" s="13"/>
      <c r="F3593" s="14"/>
      <c r="G3593" s="8" t="str">
        <f>IF(OR(B3593="",E3593=""),"",IF(E3593="No","Missed",IF(F3593="","",IF(F3593&lt;=Settings!$B$7,"On time","Late"))))</f>
        <v/>
      </c>
      <c r="H3593" s="15"/>
      <c r="I3593" s="16"/>
      <c r="J3593" s="16"/>
      <c r="K3593" s="17" t="str">
        <f>IF(J3593="","",ROUND(J3593*Settings!$B$8,2))</f>
        <v/>
      </c>
      <c r="L3593" s="16"/>
      <c r="M3593" s="8" t="str">
        <f t="shared" si="56"/>
        <v/>
      </c>
      <c r="N3593" s="9"/>
    </row>
    <row r="3594" spans="1:14" ht="15.75">
      <c r="A3594" s="11"/>
      <c r="B3594" s="9"/>
      <c r="C3594" s="12" t="str">
        <f>IF(B3594="","",IFERROR(INDEX('Cashier Roster'!$C$5:$C$64,MATCH(B3594,'Cashier Roster'!$B$5:$B$64,0)),"Not on roster"))</f>
        <v/>
      </c>
      <c r="D3594" s="12" t="str">
        <f>IF(B3594="","",IFERROR(INDEX('Cashier Roster'!$D$5:$D$64,MATCH(B3594,'Cashier Roster'!$B$5:$B$64,0)),""))</f>
        <v/>
      </c>
      <c r="E3594" s="13"/>
      <c r="F3594" s="14"/>
      <c r="G3594" s="8" t="str">
        <f>IF(OR(B3594="",E3594=""),"",IF(E3594="No","Missed",IF(F3594="","",IF(F3594&lt;=Settings!$B$7,"On time","Late"))))</f>
        <v/>
      </c>
      <c r="H3594" s="15"/>
      <c r="I3594" s="16"/>
      <c r="J3594" s="16"/>
      <c r="K3594" s="17" t="str">
        <f>IF(J3594="","",ROUND(J3594*Settings!$B$8,2))</f>
        <v/>
      </c>
      <c r="L3594" s="16"/>
      <c r="M3594" s="8" t="str">
        <f t="shared" si="56"/>
        <v/>
      </c>
      <c r="N3594" s="9"/>
    </row>
    <row r="3595" spans="1:14" ht="15.75">
      <c r="A3595" s="11"/>
      <c r="B3595" s="9"/>
      <c r="C3595" s="12" t="str">
        <f>IF(B3595="","",IFERROR(INDEX('Cashier Roster'!$C$5:$C$64,MATCH(B3595,'Cashier Roster'!$B$5:$B$64,0)),"Not on roster"))</f>
        <v/>
      </c>
      <c r="D3595" s="12" t="str">
        <f>IF(B3595="","",IFERROR(INDEX('Cashier Roster'!$D$5:$D$64,MATCH(B3595,'Cashier Roster'!$B$5:$B$64,0)),""))</f>
        <v/>
      </c>
      <c r="E3595" s="13"/>
      <c r="F3595" s="14"/>
      <c r="G3595" s="8" t="str">
        <f>IF(OR(B3595="",E3595=""),"",IF(E3595="No","Missed",IF(F3595="","",IF(F3595&lt;=Settings!$B$7,"On time","Late"))))</f>
        <v/>
      </c>
      <c r="H3595" s="15"/>
      <c r="I3595" s="16"/>
      <c r="J3595" s="16"/>
      <c r="K3595" s="17" t="str">
        <f>IF(J3595="","",ROUND(J3595*Settings!$B$8,2))</f>
        <v/>
      </c>
      <c r="L3595" s="16"/>
      <c r="M3595" s="8" t="str">
        <f t="shared" si="56"/>
        <v/>
      </c>
      <c r="N3595" s="9"/>
    </row>
    <row r="3596" spans="1:14" ht="15.75">
      <c r="A3596" s="11"/>
      <c r="B3596" s="9"/>
      <c r="C3596" s="12" t="str">
        <f>IF(B3596="","",IFERROR(INDEX('Cashier Roster'!$C$5:$C$64,MATCH(B3596,'Cashier Roster'!$B$5:$B$64,0)),"Not on roster"))</f>
        <v/>
      </c>
      <c r="D3596" s="12" t="str">
        <f>IF(B3596="","",IFERROR(INDEX('Cashier Roster'!$D$5:$D$64,MATCH(B3596,'Cashier Roster'!$B$5:$B$64,0)),""))</f>
        <v/>
      </c>
      <c r="E3596" s="13"/>
      <c r="F3596" s="14"/>
      <c r="G3596" s="8" t="str">
        <f>IF(OR(B3596="",E3596=""),"",IF(E3596="No","Missed",IF(F3596="","",IF(F3596&lt;=Settings!$B$7,"On time","Late"))))</f>
        <v/>
      </c>
      <c r="H3596" s="15"/>
      <c r="I3596" s="16"/>
      <c r="J3596" s="16"/>
      <c r="K3596" s="17" t="str">
        <f>IF(J3596="","",ROUND(J3596*Settings!$B$8,2))</f>
        <v/>
      </c>
      <c r="L3596" s="16"/>
      <c r="M3596" s="8" t="str">
        <f t="shared" si="56"/>
        <v/>
      </c>
      <c r="N3596" s="9"/>
    </row>
    <row r="3597" spans="1:14" ht="15.75">
      <c r="A3597" s="11"/>
      <c r="B3597" s="9"/>
      <c r="C3597" s="12" t="str">
        <f>IF(B3597="","",IFERROR(INDEX('Cashier Roster'!$C$5:$C$64,MATCH(B3597,'Cashier Roster'!$B$5:$B$64,0)),"Not on roster"))</f>
        <v/>
      </c>
      <c r="D3597" s="12" t="str">
        <f>IF(B3597="","",IFERROR(INDEX('Cashier Roster'!$D$5:$D$64,MATCH(B3597,'Cashier Roster'!$B$5:$B$64,0)),""))</f>
        <v/>
      </c>
      <c r="E3597" s="13"/>
      <c r="F3597" s="14"/>
      <c r="G3597" s="8" t="str">
        <f>IF(OR(B3597="",E3597=""),"",IF(E3597="No","Missed",IF(F3597="","",IF(F3597&lt;=Settings!$B$7,"On time","Late"))))</f>
        <v/>
      </c>
      <c r="H3597" s="15"/>
      <c r="I3597" s="16"/>
      <c r="J3597" s="16"/>
      <c r="K3597" s="17" t="str">
        <f>IF(J3597="","",ROUND(J3597*Settings!$B$8,2))</f>
        <v/>
      </c>
      <c r="L3597" s="16"/>
      <c r="M3597" s="8" t="str">
        <f t="shared" si="56"/>
        <v/>
      </c>
      <c r="N3597" s="9"/>
    </row>
    <row r="3598" spans="1:14" ht="15.75">
      <c r="A3598" s="11"/>
      <c r="B3598" s="9"/>
      <c r="C3598" s="12" t="str">
        <f>IF(B3598="","",IFERROR(INDEX('Cashier Roster'!$C$5:$C$64,MATCH(B3598,'Cashier Roster'!$B$5:$B$64,0)),"Not on roster"))</f>
        <v/>
      </c>
      <c r="D3598" s="12" t="str">
        <f>IF(B3598="","",IFERROR(INDEX('Cashier Roster'!$D$5:$D$64,MATCH(B3598,'Cashier Roster'!$B$5:$B$64,0)),""))</f>
        <v/>
      </c>
      <c r="E3598" s="13"/>
      <c r="F3598" s="14"/>
      <c r="G3598" s="8" t="str">
        <f>IF(OR(B3598="",E3598=""),"",IF(E3598="No","Missed",IF(F3598="","",IF(F3598&lt;=Settings!$B$7,"On time","Late"))))</f>
        <v/>
      </c>
      <c r="H3598" s="15"/>
      <c r="I3598" s="16"/>
      <c r="J3598" s="16"/>
      <c r="K3598" s="17" t="str">
        <f>IF(J3598="","",ROUND(J3598*Settings!$B$8,2))</f>
        <v/>
      </c>
      <c r="L3598" s="16"/>
      <c r="M3598" s="8" t="str">
        <f t="shared" si="56"/>
        <v/>
      </c>
      <c r="N3598" s="9"/>
    </row>
    <row r="3599" spans="1:14" ht="15.75">
      <c r="A3599" s="11"/>
      <c r="B3599" s="9"/>
      <c r="C3599" s="12" t="str">
        <f>IF(B3599="","",IFERROR(INDEX('Cashier Roster'!$C$5:$C$64,MATCH(B3599,'Cashier Roster'!$B$5:$B$64,0)),"Not on roster"))</f>
        <v/>
      </c>
      <c r="D3599" s="12" t="str">
        <f>IF(B3599="","",IFERROR(INDEX('Cashier Roster'!$D$5:$D$64,MATCH(B3599,'Cashier Roster'!$B$5:$B$64,0)),""))</f>
        <v/>
      </c>
      <c r="E3599" s="13"/>
      <c r="F3599" s="14"/>
      <c r="G3599" s="8" t="str">
        <f>IF(OR(B3599="",E3599=""),"",IF(E3599="No","Missed",IF(F3599="","",IF(F3599&lt;=Settings!$B$7,"On time","Late"))))</f>
        <v/>
      </c>
      <c r="H3599" s="15"/>
      <c r="I3599" s="16"/>
      <c r="J3599" s="16"/>
      <c r="K3599" s="17" t="str">
        <f>IF(J3599="","",ROUND(J3599*Settings!$B$8,2))</f>
        <v/>
      </c>
      <c r="L3599" s="16"/>
      <c r="M3599" s="8" t="str">
        <f t="shared" si="56"/>
        <v/>
      </c>
      <c r="N3599" s="9"/>
    </row>
    <row r="3600" spans="1:14" ht="15.75">
      <c r="A3600" s="11"/>
      <c r="B3600" s="9"/>
      <c r="C3600" s="12" t="str">
        <f>IF(B3600="","",IFERROR(INDEX('Cashier Roster'!$C$5:$C$64,MATCH(B3600,'Cashier Roster'!$B$5:$B$64,0)),"Not on roster"))</f>
        <v/>
      </c>
      <c r="D3600" s="12" t="str">
        <f>IF(B3600="","",IFERROR(INDEX('Cashier Roster'!$D$5:$D$64,MATCH(B3600,'Cashier Roster'!$B$5:$B$64,0)),""))</f>
        <v/>
      </c>
      <c r="E3600" s="13"/>
      <c r="F3600" s="14"/>
      <c r="G3600" s="8" t="str">
        <f>IF(OR(B3600="",E3600=""),"",IF(E3600="No","Missed",IF(F3600="","",IF(F3600&lt;=Settings!$B$7,"On time","Late"))))</f>
        <v/>
      </c>
      <c r="H3600" s="15"/>
      <c r="I3600" s="16"/>
      <c r="J3600" s="16"/>
      <c r="K3600" s="17" t="str">
        <f>IF(J3600="","",ROUND(J3600*Settings!$B$8,2))</f>
        <v/>
      </c>
      <c r="L3600" s="16"/>
      <c r="M3600" s="8" t="str">
        <f t="shared" si="56"/>
        <v/>
      </c>
      <c r="N3600" s="9"/>
    </row>
    <row r="3601" spans="1:14" ht="15.75">
      <c r="A3601" s="11"/>
      <c r="B3601" s="9"/>
      <c r="C3601" s="12" t="str">
        <f>IF(B3601="","",IFERROR(INDEX('Cashier Roster'!$C$5:$C$64,MATCH(B3601,'Cashier Roster'!$B$5:$B$64,0)),"Not on roster"))</f>
        <v/>
      </c>
      <c r="D3601" s="12" t="str">
        <f>IF(B3601="","",IFERROR(INDEX('Cashier Roster'!$D$5:$D$64,MATCH(B3601,'Cashier Roster'!$B$5:$B$64,0)),""))</f>
        <v/>
      </c>
      <c r="E3601" s="13"/>
      <c r="F3601" s="14"/>
      <c r="G3601" s="8" t="str">
        <f>IF(OR(B3601="",E3601=""),"",IF(E3601="No","Missed",IF(F3601="","",IF(F3601&lt;=Settings!$B$7,"On time","Late"))))</f>
        <v/>
      </c>
      <c r="H3601" s="15"/>
      <c r="I3601" s="16"/>
      <c r="J3601" s="16"/>
      <c r="K3601" s="17" t="str">
        <f>IF(J3601="","",ROUND(J3601*Settings!$B$8,2))</f>
        <v/>
      </c>
      <c r="L3601" s="16"/>
      <c r="M3601" s="8" t="str">
        <f t="shared" si="56"/>
        <v/>
      </c>
      <c r="N3601" s="9"/>
    </row>
    <row r="3602" spans="1:14" ht="15.75">
      <c r="A3602" s="11"/>
      <c r="B3602" s="9"/>
      <c r="C3602" s="12" t="str">
        <f>IF(B3602="","",IFERROR(INDEX('Cashier Roster'!$C$5:$C$64,MATCH(B3602,'Cashier Roster'!$B$5:$B$64,0)),"Not on roster"))</f>
        <v/>
      </c>
      <c r="D3602" s="12" t="str">
        <f>IF(B3602="","",IFERROR(INDEX('Cashier Roster'!$D$5:$D$64,MATCH(B3602,'Cashier Roster'!$B$5:$B$64,0)),""))</f>
        <v/>
      </c>
      <c r="E3602" s="13"/>
      <c r="F3602" s="14"/>
      <c r="G3602" s="8" t="str">
        <f>IF(OR(B3602="",E3602=""),"",IF(E3602="No","Missed",IF(F3602="","",IF(F3602&lt;=Settings!$B$7,"On time","Late"))))</f>
        <v/>
      </c>
      <c r="H3602" s="15"/>
      <c r="I3602" s="16"/>
      <c r="J3602" s="16"/>
      <c r="K3602" s="17" t="str">
        <f>IF(J3602="","",ROUND(J3602*Settings!$B$8,2))</f>
        <v/>
      </c>
      <c r="L3602" s="16"/>
      <c r="M3602" s="8" t="str">
        <f t="shared" si="56"/>
        <v/>
      </c>
      <c r="N3602" s="9"/>
    </row>
    <row r="3603" spans="1:14" ht="15.75">
      <c r="A3603" s="11"/>
      <c r="B3603" s="9"/>
      <c r="C3603" s="12" t="str">
        <f>IF(B3603="","",IFERROR(INDEX('Cashier Roster'!$C$5:$C$64,MATCH(B3603,'Cashier Roster'!$B$5:$B$64,0)),"Not on roster"))</f>
        <v/>
      </c>
      <c r="D3603" s="12" t="str">
        <f>IF(B3603="","",IFERROR(INDEX('Cashier Roster'!$D$5:$D$64,MATCH(B3603,'Cashier Roster'!$B$5:$B$64,0)),""))</f>
        <v/>
      </c>
      <c r="E3603" s="13"/>
      <c r="F3603" s="14"/>
      <c r="G3603" s="8" t="str">
        <f>IF(OR(B3603="",E3603=""),"",IF(E3603="No","Missed",IF(F3603="","",IF(F3603&lt;=Settings!$B$7,"On time","Late"))))</f>
        <v/>
      </c>
      <c r="H3603" s="15"/>
      <c r="I3603" s="16"/>
      <c r="J3603" s="16"/>
      <c r="K3603" s="17" t="str">
        <f>IF(J3603="","",ROUND(J3603*Settings!$B$8,2))</f>
        <v/>
      </c>
      <c r="L3603" s="16"/>
      <c r="M3603" s="8" t="str">
        <f t="shared" si="56"/>
        <v/>
      </c>
      <c r="N3603" s="9"/>
    </row>
    <row r="3604" spans="1:14" ht="15.75">
      <c r="A3604" s="11"/>
      <c r="B3604" s="9"/>
      <c r="C3604" s="12" t="str">
        <f>IF(B3604="","",IFERROR(INDEX('Cashier Roster'!$C$5:$C$64,MATCH(B3604,'Cashier Roster'!$B$5:$B$64,0)),"Not on roster"))</f>
        <v/>
      </c>
      <c r="D3604" s="12" t="str">
        <f>IF(B3604="","",IFERROR(INDEX('Cashier Roster'!$D$5:$D$64,MATCH(B3604,'Cashier Roster'!$B$5:$B$64,0)),""))</f>
        <v/>
      </c>
      <c r="E3604" s="13"/>
      <c r="F3604" s="14"/>
      <c r="G3604" s="8" t="str">
        <f>IF(OR(B3604="",E3604=""),"",IF(E3604="No","Missed",IF(F3604="","",IF(F3604&lt;=Settings!$B$7,"On time","Late"))))</f>
        <v/>
      </c>
      <c r="H3604" s="15"/>
      <c r="I3604" s="16"/>
      <c r="J3604" s="16"/>
      <c r="K3604" s="17" t="str">
        <f>IF(J3604="","",ROUND(J3604*Settings!$B$8,2))</f>
        <v/>
      </c>
      <c r="L3604" s="16"/>
      <c r="M3604" s="8" t="str">
        <f t="shared" si="56"/>
        <v/>
      </c>
      <c r="N3604" s="9"/>
    </row>
    <row r="3605" spans="1:14" ht="15.75">
      <c r="A3605" s="11"/>
      <c r="B3605" s="9"/>
      <c r="C3605" s="12" t="str">
        <f>IF(B3605="","",IFERROR(INDEX('Cashier Roster'!$C$5:$C$64,MATCH(B3605,'Cashier Roster'!$B$5:$B$64,0)),"Not on roster"))</f>
        <v/>
      </c>
      <c r="D3605" s="12" t="str">
        <f>IF(B3605="","",IFERROR(INDEX('Cashier Roster'!$D$5:$D$64,MATCH(B3605,'Cashier Roster'!$B$5:$B$64,0)),""))</f>
        <v/>
      </c>
      <c r="E3605" s="13"/>
      <c r="F3605" s="14"/>
      <c r="G3605" s="8" t="str">
        <f>IF(OR(B3605="",E3605=""),"",IF(E3605="No","Missed",IF(F3605="","",IF(F3605&lt;=Settings!$B$7,"On time","Late"))))</f>
        <v/>
      </c>
      <c r="H3605" s="15"/>
      <c r="I3605" s="16"/>
      <c r="J3605" s="16"/>
      <c r="K3605" s="17" t="str">
        <f>IF(J3605="","",ROUND(J3605*Settings!$B$8,2))</f>
        <v/>
      </c>
      <c r="L3605" s="16"/>
      <c r="M3605" s="8" t="str">
        <f t="shared" si="56"/>
        <v/>
      </c>
      <c r="N3605" s="9"/>
    </row>
    <row r="3606" spans="1:14" ht="15.75">
      <c r="A3606" s="11"/>
      <c r="B3606" s="9"/>
      <c r="C3606" s="12" t="str">
        <f>IF(B3606="","",IFERROR(INDEX('Cashier Roster'!$C$5:$C$64,MATCH(B3606,'Cashier Roster'!$B$5:$B$64,0)),"Not on roster"))</f>
        <v/>
      </c>
      <c r="D3606" s="12" t="str">
        <f>IF(B3606="","",IFERROR(INDEX('Cashier Roster'!$D$5:$D$64,MATCH(B3606,'Cashier Roster'!$B$5:$B$64,0)),""))</f>
        <v/>
      </c>
      <c r="E3606" s="13"/>
      <c r="F3606" s="14"/>
      <c r="G3606" s="8" t="str">
        <f>IF(OR(B3606="",E3606=""),"",IF(E3606="No","Missed",IF(F3606="","",IF(F3606&lt;=Settings!$B$7,"On time","Late"))))</f>
        <v/>
      </c>
      <c r="H3606" s="15"/>
      <c r="I3606" s="16"/>
      <c r="J3606" s="16"/>
      <c r="K3606" s="17" t="str">
        <f>IF(J3606="","",ROUND(J3606*Settings!$B$8,2))</f>
        <v/>
      </c>
      <c r="L3606" s="16"/>
      <c r="M3606" s="8" t="str">
        <f t="shared" si="56"/>
        <v/>
      </c>
      <c r="N3606" s="9"/>
    </row>
    <row r="3607" spans="1:14" ht="15.75">
      <c r="A3607" s="11"/>
      <c r="B3607" s="9"/>
      <c r="C3607" s="12" t="str">
        <f>IF(B3607="","",IFERROR(INDEX('Cashier Roster'!$C$5:$C$64,MATCH(B3607,'Cashier Roster'!$B$5:$B$64,0)),"Not on roster"))</f>
        <v/>
      </c>
      <c r="D3607" s="12" t="str">
        <f>IF(B3607="","",IFERROR(INDEX('Cashier Roster'!$D$5:$D$64,MATCH(B3607,'Cashier Roster'!$B$5:$B$64,0)),""))</f>
        <v/>
      </c>
      <c r="E3607" s="13"/>
      <c r="F3607" s="14"/>
      <c r="G3607" s="8" t="str">
        <f>IF(OR(B3607="",E3607=""),"",IF(E3607="No","Missed",IF(F3607="","",IF(F3607&lt;=Settings!$B$7,"On time","Late"))))</f>
        <v/>
      </c>
      <c r="H3607" s="15"/>
      <c r="I3607" s="16"/>
      <c r="J3607" s="16"/>
      <c r="K3607" s="17" t="str">
        <f>IF(J3607="","",ROUND(J3607*Settings!$B$8,2))</f>
        <v/>
      </c>
      <c r="L3607" s="16"/>
      <c r="M3607" s="8" t="str">
        <f t="shared" si="56"/>
        <v/>
      </c>
      <c r="N3607" s="9"/>
    </row>
    <row r="3608" spans="1:14" ht="15.75">
      <c r="A3608" s="11"/>
      <c r="B3608" s="9"/>
      <c r="C3608" s="12" t="str">
        <f>IF(B3608="","",IFERROR(INDEX('Cashier Roster'!$C$5:$C$64,MATCH(B3608,'Cashier Roster'!$B$5:$B$64,0)),"Not on roster"))</f>
        <v/>
      </c>
      <c r="D3608" s="12" t="str">
        <f>IF(B3608="","",IFERROR(INDEX('Cashier Roster'!$D$5:$D$64,MATCH(B3608,'Cashier Roster'!$B$5:$B$64,0)),""))</f>
        <v/>
      </c>
      <c r="E3608" s="13"/>
      <c r="F3608" s="14"/>
      <c r="G3608" s="8" t="str">
        <f>IF(OR(B3608="",E3608=""),"",IF(E3608="No","Missed",IF(F3608="","",IF(F3608&lt;=Settings!$B$7,"On time","Late"))))</f>
        <v/>
      </c>
      <c r="H3608" s="15"/>
      <c r="I3608" s="16"/>
      <c r="J3608" s="16"/>
      <c r="K3608" s="17" t="str">
        <f>IF(J3608="","",ROUND(J3608*Settings!$B$8,2))</f>
        <v/>
      </c>
      <c r="L3608" s="16"/>
      <c r="M3608" s="8" t="str">
        <f t="shared" si="56"/>
        <v/>
      </c>
      <c r="N3608" s="9"/>
    </row>
    <row r="3609" spans="1:14" ht="15.75">
      <c r="A3609" s="11"/>
      <c r="B3609" s="9"/>
      <c r="C3609" s="12" t="str">
        <f>IF(B3609="","",IFERROR(INDEX('Cashier Roster'!$C$5:$C$64,MATCH(B3609,'Cashier Roster'!$B$5:$B$64,0)),"Not on roster"))</f>
        <v/>
      </c>
      <c r="D3609" s="12" t="str">
        <f>IF(B3609="","",IFERROR(INDEX('Cashier Roster'!$D$5:$D$64,MATCH(B3609,'Cashier Roster'!$B$5:$B$64,0)),""))</f>
        <v/>
      </c>
      <c r="E3609" s="13"/>
      <c r="F3609" s="14"/>
      <c r="G3609" s="8" t="str">
        <f>IF(OR(B3609="",E3609=""),"",IF(E3609="No","Missed",IF(F3609="","",IF(F3609&lt;=Settings!$B$7,"On time","Late"))))</f>
        <v/>
      </c>
      <c r="H3609" s="15"/>
      <c r="I3609" s="16"/>
      <c r="J3609" s="16"/>
      <c r="K3609" s="17" t="str">
        <f>IF(J3609="","",ROUND(J3609*Settings!$B$8,2))</f>
        <v/>
      </c>
      <c r="L3609" s="16"/>
      <c r="M3609" s="8" t="str">
        <f t="shared" si="56"/>
        <v/>
      </c>
      <c r="N3609" s="9"/>
    </row>
    <row r="3610" spans="1:14" ht="15.75">
      <c r="A3610" s="11"/>
      <c r="B3610" s="9"/>
      <c r="C3610" s="12" t="str">
        <f>IF(B3610="","",IFERROR(INDEX('Cashier Roster'!$C$5:$C$64,MATCH(B3610,'Cashier Roster'!$B$5:$B$64,0)),"Not on roster"))</f>
        <v/>
      </c>
      <c r="D3610" s="12" t="str">
        <f>IF(B3610="","",IFERROR(INDEX('Cashier Roster'!$D$5:$D$64,MATCH(B3610,'Cashier Roster'!$B$5:$B$64,0)),""))</f>
        <v/>
      </c>
      <c r="E3610" s="13"/>
      <c r="F3610" s="14"/>
      <c r="G3610" s="8" t="str">
        <f>IF(OR(B3610="",E3610=""),"",IF(E3610="No","Missed",IF(F3610="","",IF(F3610&lt;=Settings!$B$7,"On time","Late"))))</f>
        <v/>
      </c>
      <c r="H3610" s="15"/>
      <c r="I3610" s="16"/>
      <c r="J3610" s="16"/>
      <c r="K3610" s="17" t="str">
        <f>IF(J3610="","",ROUND(J3610*Settings!$B$8,2))</f>
        <v/>
      </c>
      <c r="L3610" s="16"/>
      <c r="M3610" s="8" t="str">
        <f t="shared" si="56"/>
        <v/>
      </c>
      <c r="N3610" s="9"/>
    </row>
    <row r="3611" spans="1:14" ht="15.75">
      <c r="A3611" s="11"/>
      <c r="B3611" s="9"/>
      <c r="C3611" s="12" t="str">
        <f>IF(B3611="","",IFERROR(INDEX('Cashier Roster'!$C$5:$C$64,MATCH(B3611,'Cashier Roster'!$B$5:$B$64,0)),"Not on roster"))</f>
        <v/>
      </c>
      <c r="D3611" s="12" t="str">
        <f>IF(B3611="","",IFERROR(INDEX('Cashier Roster'!$D$5:$D$64,MATCH(B3611,'Cashier Roster'!$B$5:$B$64,0)),""))</f>
        <v/>
      </c>
      <c r="E3611" s="13"/>
      <c r="F3611" s="14"/>
      <c r="G3611" s="8" t="str">
        <f>IF(OR(B3611="",E3611=""),"",IF(E3611="No","Missed",IF(F3611="","",IF(F3611&lt;=Settings!$B$7,"On time","Late"))))</f>
        <v/>
      </c>
      <c r="H3611" s="15"/>
      <c r="I3611" s="16"/>
      <c r="J3611" s="16"/>
      <c r="K3611" s="17" t="str">
        <f>IF(J3611="","",ROUND(J3611*Settings!$B$8,2))</f>
        <v/>
      </c>
      <c r="L3611" s="16"/>
      <c r="M3611" s="8" t="str">
        <f t="shared" si="56"/>
        <v/>
      </c>
      <c r="N3611" s="9"/>
    </row>
    <row r="3612" spans="1:14" ht="15.75">
      <c r="A3612" s="11"/>
      <c r="B3612" s="9"/>
      <c r="C3612" s="12" t="str">
        <f>IF(B3612="","",IFERROR(INDEX('Cashier Roster'!$C$5:$C$64,MATCH(B3612,'Cashier Roster'!$B$5:$B$64,0)),"Not on roster"))</f>
        <v/>
      </c>
      <c r="D3612" s="12" t="str">
        <f>IF(B3612="","",IFERROR(INDEX('Cashier Roster'!$D$5:$D$64,MATCH(B3612,'Cashier Roster'!$B$5:$B$64,0)),""))</f>
        <v/>
      </c>
      <c r="E3612" s="13"/>
      <c r="F3612" s="14"/>
      <c r="G3612" s="8" t="str">
        <f>IF(OR(B3612="",E3612=""),"",IF(E3612="No","Missed",IF(F3612="","",IF(F3612&lt;=Settings!$B$7,"On time","Late"))))</f>
        <v/>
      </c>
      <c r="H3612" s="15"/>
      <c r="I3612" s="16"/>
      <c r="J3612" s="16"/>
      <c r="K3612" s="17" t="str">
        <f>IF(J3612="","",ROUND(J3612*Settings!$B$8,2))</f>
        <v/>
      </c>
      <c r="L3612" s="16"/>
      <c r="M3612" s="8" t="str">
        <f t="shared" si="56"/>
        <v/>
      </c>
      <c r="N3612" s="9"/>
    </row>
    <row r="3613" spans="1:14" ht="15.75">
      <c r="A3613" s="11"/>
      <c r="B3613" s="9"/>
      <c r="C3613" s="12" t="str">
        <f>IF(B3613="","",IFERROR(INDEX('Cashier Roster'!$C$5:$C$64,MATCH(B3613,'Cashier Roster'!$B$5:$B$64,0)),"Not on roster"))</f>
        <v/>
      </c>
      <c r="D3613" s="12" t="str">
        <f>IF(B3613="","",IFERROR(INDEX('Cashier Roster'!$D$5:$D$64,MATCH(B3613,'Cashier Roster'!$B$5:$B$64,0)),""))</f>
        <v/>
      </c>
      <c r="E3613" s="13"/>
      <c r="F3613" s="14"/>
      <c r="G3613" s="8" t="str">
        <f>IF(OR(B3613="",E3613=""),"",IF(E3613="No","Missed",IF(F3613="","",IF(F3613&lt;=Settings!$B$7,"On time","Late"))))</f>
        <v/>
      </c>
      <c r="H3613" s="15"/>
      <c r="I3613" s="16"/>
      <c r="J3613" s="16"/>
      <c r="K3613" s="17" t="str">
        <f>IF(J3613="","",ROUND(J3613*Settings!$B$8,2))</f>
        <v/>
      </c>
      <c r="L3613" s="16"/>
      <c r="M3613" s="8" t="str">
        <f t="shared" si="56"/>
        <v/>
      </c>
      <c r="N3613" s="9"/>
    </row>
    <row r="3614" spans="1:14" ht="15.75">
      <c r="A3614" s="11"/>
      <c r="B3614" s="9"/>
      <c r="C3614" s="12" t="str">
        <f>IF(B3614="","",IFERROR(INDEX('Cashier Roster'!$C$5:$C$64,MATCH(B3614,'Cashier Roster'!$B$5:$B$64,0)),"Not on roster"))</f>
        <v/>
      </c>
      <c r="D3614" s="12" t="str">
        <f>IF(B3614="","",IFERROR(INDEX('Cashier Roster'!$D$5:$D$64,MATCH(B3614,'Cashier Roster'!$B$5:$B$64,0)),""))</f>
        <v/>
      </c>
      <c r="E3614" s="13"/>
      <c r="F3614" s="14"/>
      <c r="G3614" s="8" t="str">
        <f>IF(OR(B3614="",E3614=""),"",IF(E3614="No","Missed",IF(F3614="","",IF(F3614&lt;=Settings!$B$7,"On time","Late"))))</f>
        <v/>
      </c>
      <c r="H3614" s="15"/>
      <c r="I3614" s="16"/>
      <c r="J3614" s="16"/>
      <c r="K3614" s="17" t="str">
        <f>IF(J3614="","",ROUND(J3614*Settings!$B$8,2))</f>
        <v/>
      </c>
      <c r="L3614" s="16"/>
      <c r="M3614" s="8" t="str">
        <f t="shared" si="56"/>
        <v/>
      </c>
      <c r="N3614" s="9"/>
    </row>
    <row r="3615" spans="1:14" ht="15.75">
      <c r="A3615" s="11"/>
      <c r="B3615" s="9"/>
      <c r="C3615" s="12" t="str">
        <f>IF(B3615="","",IFERROR(INDEX('Cashier Roster'!$C$5:$C$64,MATCH(B3615,'Cashier Roster'!$B$5:$B$64,0)),"Not on roster"))</f>
        <v/>
      </c>
      <c r="D3615" s="12" t="str">
        <f>IF(B3615="","",IFERROR(INDEX('Cashier Roster'!$D$5:$D$64,MATCH(B3615,'Cashier Roster'!$B$5:$B$64,0)),""))</f>
        <v/>
      </c>
      <c r="E3615" s="13"/>
      <c r="F3615" s="14"/>
      <c r="G3615" s="8" t="str">
        <f>IF(OR(B3615="",E3615=""),"",IF(E3615="No","Missed",IF(F3615="","",IF(F3615&lt;=Settings!$B$7,"On time","Late"))))</f>
        <v/>
      </c>
      <c r="H3615" s="15"/>
      <c r="I3615" s="16"/>
      <c r="J3615" s="16"/>
      <c r="K3615" s="17" t="str">
        <f>IF(J3615="","",ROUND(J3615*Settings!$B$8,2))</f>
        <v/>
      </c>
      <c r="L3615" s="16"/>
      <c r="M3615" s="8" t="str">
        <f t="shared" si="56"/>
        <v/>
      </c>
      <c r="N3615" s="9"/>
    </row>
    <row r="3616" spans="1:14" ht="15.75">
      <c r="A3616" s="11"/>
      <c r="B3616" s="9"/>
      <c r="C3616" s="12" t="str">
        <f>IF(B3616="","",IFERROR(INDEX('Cashier Roster'!$C$5:$C$64,MATCH(B3616,'Cashier Roster'!$B$5:$B$64,0)),"Not on roster"))</f>
        <v/>
      </c>
      <c r="D3616" s="12" t="str">
        <f>IF(B3616="","",IFERROR(INDEX('Cashier Roster'!$D$5:$D$64,MATCH(B3616,'Cashier Roster'!$B$5:$B$64,0)),""))</f>
        <v/>
      </c>
      <c r="E3616" s="13"/>
      <c r="F3616" s="14"/>
      <c r="G3616" s="8" t="str">
        <f>IF(OR(B3616="",E3616=""),"",IF(E3616="No","Missed",IF(F3616="","",IF(F3616&lt;=Settings!$B$7,"On time","Late"))))</f>
        <v/>
      </c>
      <c r="H3616" s="15"/>
      <c r="I3616" s="16"/>
      <c r="J3616" s="16"/>
      <c r="K3616" s="17" t="str">
        <f>IF(J3616="","",ROUND(J3616*Settings!$B$8,2))</f>
        <v/>
      </c>
      <c r="L3616" s="16"/>
      <c r="M3616" s="8" t="str">
        <f t="shared" si="56"/>
        <v/>
      </c>
      <c r="N3616" s="9"/>
    </row>
    <row r="3617" spans="1:14" ht="15.75">
      <c r="A3617" s="11"/>
      <c r="B3617" s="9"/>
      <c r="C3617" s="12" t="str">
        <f>IF(B3617="","",IFERROR(INDEX('Cashier Roster'!$C$5:$C$64,MATCH(B3617,'Cashier Roster'!$B$5:$B$64,0)),"Not on roster"))</f>
        <v/>
      </c>
      <c r="D3617" s="12" t="str">
        <f>IF(B3617="","",IFERROR(INDEX('Cashier Roster'!$D$5:$D$64,MATCH(B3617,'Cashier Roster'!$B$5:$B$64,0)),""))</f>
        <v/>
      </c>
      <c r="E3617" s="13"/>
      <c r="F3617" s="14"/>
      <c r="G3617" s="8" t="str">
        <f>IF(OR(B3617="",E3617=""),"",IF(E3617="No","Missed",IF(F3617="","",IF(F3617&lt;=Settings!$B$7,"On time","Late"))))</f>
        <v/>
      </c>
      <c r="H3617" s="15"/>
      <c r="I3617" s="16"/>
      <c r="J3617" s="16"/>
      <c r="K3617" s="17" t="str">
        <f>IF(J3617="","",ROUND(J3617*Settings!$B$8,2))</f>
        <v/>
      </c>
      <c r="L3617" s="16"/>
      <c r="M3617" s="8" t="str">
        <f t="shared" si="56"/>
        <v/>
      </c>
      <c r="N3617" s="9"/>
    </row>
    <row r="3618" spans="1:14" ht="15.75">
      <c r="A3618" s="11"/>
      <c r="B3618" s="9"/>
      <c r="C3618" s="12" t="str">
        <f>IF(B3618="","",IFERROR(INDEX('Cashier Roster'!$C$5:$C$64,MATCH(B3618,'Cashier Roster'!$B$5:$B$64,0)),"Not on roster"))</f>
        <v/>
      </c>
      <c r="D3618" s="12" t="str">
        <f>IF(B3618="","",IFERROR(INDEX('Cashier Roster'!$D$5:$D$64,MATCH(B3618,'Cashier Roster'!$B$5:$B$64,0)),""))</f>
        <v/>
      </c>
      <c r="E3618" s="13"/>
      <c r="F3618" s="14"/>
      <c r="G3618" s="8" t="str">
        <f>IF(OR(B3618="",E3618=""),"",IF(E3618="No","Missed",IF(F3618="","",IF(F3618&lt;=Settings!$B$7,"On time","Late"))))</f>
        <v/>
      </c>
      <c r="H3618" s="15"/>
      <c r="I3618" s="16"/>
      <c r="J3618" s="16"/>
      <c r="K3618" s="17" t="str">
        <f>IF(J3618="","",ROUND(J3618*Settings!$B$8,2))</f>
        <v/>
      </c>
      <c r="L3618" s="16"/>
      <c r="M3618" s="8" t="str">
        <f t="shared" si="56"/>
        <v/>
      </c>
      <c r="N3618" s="9"/>
    </row>
    <row r="3619" spans="1:14" ht="15.75">
      <c r="A3619" s="11"/>
      <c r="B3619" s="9"/>
      <c r="C3619" s="12" t="str">
        <f>IF(B3619="","",IFERROR(INDEX('Cashier Roster'!$C$5:$C$64,MATCH(B3619,'Cashier Roster'!$B$5:$B$64,0)),"Not on roster"))</f>
        <v/>
      </c>
      <c r="D3619" s="12" t="str">
        <f>IF(B3619="","",IFERROR(INDEX('Cashier Roster'!$D$5:$D$64,MATCH(B3619,'Cashier Roster'!$B$5:$B$64,0)),""))</f>
        <v/>
      </c>
      <c r="E3619" s="13"/>
      <c r="F3619" s="14"/>
      <c r="G3619" s="8" t="str">
        <f>IF(OR(B3619="",E3619=""),"",IF(E3619="No","Missed",IF(F3619="","",IF(F3619&lt;=Settings!$B$7,"On time","Late"))))</f>
        <v/>
      </c>
      <c r="H3619" s="15"/>
      <c r="I3619" s="16"/>
      <c r="J3619" s="16"/>
      <c r="K3619" s="17" t="str">
        <f>IF(J3619="","",ROUND(J3619*Settings!$B$8,2))</f>
        <v/>
      </c>
      <c r="L3619" s="16"/>
      <c r="M3619" s="8" t="str">
        <f t="shared" si="56"/>
        <v/>
      </c>
      <c r="N3619" s="9"/>
    </row>
    <row r="3620" spans="1:14" ht="15.75">
      <c r="A3620" s="11"/>
      <c r="B3620" s="9"/>
      <c r="C3620" s="12" t="str">
        <f>IF(B3620="","",IFERROR(INDEX('Cashier Roster'!$C$5:$C$64,MATCH(B3620,'Cashier Roster'!$B$5:$B$64,0)),"Not on roster"))</f>
        <v/>
      </c>
      <c r="D3620" s="12" t="str">
        <f>IF(B3620="","",IFERROR(INDEX('Cashier Roster'!$D$5:$D$64,MATCH(B3620,'Cashier Roster'!$B$5:$B$64,0)),""))</f>
        <v/>
      </c>
      <c r="E3620" s="13"/>
      <c r="F3620" s="14"/>
      <c r="G3620" s="8" t="str">
        <f>IF(OR(B3620="",E3620=""),"",IF(E3620="No","Missed",IF(F3620="","",IF(F3620&lt;=Settings!$B$7,"On time","Late"))))</f>
        <v/>
      </c>
      <c r="H3620" s="15"/>
      <c r="I3620" s="16"/>
      <c r="J3620" s="16"/>
      <c r="K3620" s="17" t="str">
        <f>IF(J3620="","",ROUND(J3620*Settings!$B$8,2))</f>
        <v/>
      </c>
      <c r="L3620" s="16"/>
      <c r="M3620" s="8" t="str">
        <f t="shared" si="56"/>
        <v/>
      </c>
      <c r="N3620" s="9"/>
    </row>
    <row r="3621" spans="1:14" ht="15.75">
      <c r="A3621" s="11"/>
      <c r="B3621" s="9"/>
      <c r="C3621" s="12" t="str">
        <f>IF(B3621="","",IFERROR(INDEX('Cashier Roster'!$C$5:$C$64,MATCH(B3621,'Cashier Roster'!$B$5:$B$64,0)),"Not on roster"))</f>
        <v/>
      </c>
      <c r="D3621" s="12" t="str">
        <f>IF(B3621="","",IFERROR(INDEX('Cashier Roster'!$D$5:$D$64,MATCH(B3621,'Cashier Roster'!$B$5:$B$64,0)),""))</f>
        <v/>
      </c>
      <c r="E3621" s="13"/>
      <c r="F3621" s="14"/>
      <c r="G3621" s="8" t="str">
        <f>IF(OR(B3621="",E3621=""),"",IF(E3621="No","Missed",IF(F3621="","",IF(F3621&lt;=Settings!$B$7,"On time","Late"))))</f>
        <v/>
      </c>
      <c r="H3621" s="15"/>
      <c r="I3621" s="16"/>
      <c r="J3621" s="16"/>
      <c r="K3621" s="17" t="str">
        <f>IF(J3621="","",ROUND(J3621*Settings!$B$8,2))</f>
        <v/>
      </c>
      <c r="L3621" s="16"/>
      <c r="M3621" s="8" t="str">
        <f t="shared" si="56"/>
        <v/>
      </c>
      <c r="N3621" s="9"/>
    </row>
    <row r="3622" spans="1:14" ht="15.75">
      <c r="A3622" s="11"/>
      <c r="B3622" s="9"/>
      <c r="C3622" s="12" t="str">
        <f>IF(B3622="","",IFERROR(INDEX('Cashier Roster'!$C$5:$C$64,MATCH(B3622,'Cashier Roster'!$B$5:$B$64,0)),"Not on roster"))</f>
        <v/>
      </c>
      <c r="D3622" s="12" t="str">
        <f>IF(B3622="","",IFERROR(INDEX('Cashier Roster'!$D$5:$D$64,MATCH(B3622,'Cashier Roster'!$B$5:$B$64,0)),""))</f>
        <v/>
      </c>
      <c r="E3622" s="13"/>
      <c r="F3622" s="14"/>
      <c r="G3622" s="8" t="str">
        <f>IF(OR(B3622="",E3622=""),"",IF(E3622="No","Missed",IF(F3622="","",IF(F3622&lt;=Settings!$B$7,"On time","Late"))))</f>
        <v/>
      </c>
      <c r="H3622" s="15"/>
      <c r="I3622" s="16"/>
      <c r="J3622" s="16"/>
      <c r="K3622" s="17" t="str">
        <f>IF(J3622="","",ROUND(J3622*Settings!$B$8,2))</f>
        <v/>
      </c>
      <c r="L3622" s="16"/>
      <c r="M3622" s="8" t="str">
        <f t="shared" si="56"/>
        <v/>
      </c>
      <c r="N3622" s="9"/>
    </row>
    <row r="3623" spans="1:14" ht="15.75">
      <c r="A3623" s="11"/>
      <c r="B3623" s="9"/>
      <c r="C3623" s="12" t="str">
        <f>IF(B3623="","",IFERROR(INDEX('Cashier Roster'!$C$5:$C$64,MATCH(B3623,'Cashier Roster'!$B$5:$B$64,0)),"Not on roster"))</f>
        <v/>
      </c>
      <c r="D3623" s="12" t="str">
        <f>IF(B3623="","",IFERROR(INDEX('Cashier Roster'!$D$5:$D$64,MATCH(B3623,'Cashier Roster'!$B$5:$B$64,0)),""))</f>
        <v/>
      </c>
      <c r="E3623" s="13"/>
      <c r="F3623" s="14"/>
      <c r="G3623" s="8" t="str">
        <f>IF(OR(B3623="",E3623=""),"",IF(E3623="No","Missed",IF(F3623="","",IF(F3623&lt;=Settings!$B$7,"On time","Late"))))</f>
        <v/>
      </c>
      <c r="H3623" s="15"/>
      <c r="I3623" s="16"/>
      <c r="J3623" s="16"/>
      <c r="K3623" s="17" t="str">
        <f>IF(J3623="","",ROUND(J3623*Settings!$B$8,2))</f>
        <v/>
      </c>
      <c r="L3623" s="16"/>
      <c r="M3623" s="8" t="str">
        <f t="shared" si="56"/>
        <v/>
      </c>
      <c r="N3623" s="9"/>
    </row>
    <row r="3624" spans="1:14" ht="15.75">
      <c r="A3624" s="11"/>
      <c r="B3624" s="9"/>
      <c r="C3624" s="12" t="str">
        <f>IF(B3624="","",IFERROR(INDEX('Cashier Roster'!$C$5:$C$64,MATCH(B3624,'Cashier Roster'!$B$5:$B$64,0)),"Not on roster"))</f>
        <v/>
      </c>
      <c r="D3624" s="12" t="str">
        <f>IF(B3624="","",IFERROR(INDEX('Cashier Roster'!$D$5:$D$64,MATCH(B3624,'Cashier Roster'!$B$5:$B$64,0)),""))</f>
        <v/>
      </c>
      <c r="E3624" s="13"/>
      <c r="F3624" s="14"/>
      <c r="G3624" s="8" t="str">
        <f>IF(OR(B3624="",E3624=""),"",IF(E3624="No","Missed",IF(F3624="","",IF(F3624&lt;=Settings!$B$7,"On time","Late"))))</f>
        <v/>
      </c>
      <c r="H3624" s="15"/>
      <c r="I3624" s="16"/>
      <c r="J3624" s="16"/>
      <c r="K3624" s="17" t="str">
        <f>IF(J3624="","",ROUND(J3624*Settings!$B$8,2))</f>
        <v/>
      </c>
      <c r="L3624" s="16"/>
      <c r="M3624" s="8" t="str">
        <f t="shared" si="56"/>
        <v/>
      </c>
      <c r="N3624" s="9"/>
    </row>
    <row r="3625" spans="1:14" ht="15.75">
      <c r="A3625" s="11"/>
      <c r="B3625" s="9"/>
      <c r="C3625" s="12" t="str">
        <f>IF(B3625="","",IFERROR(INDEX('Cashier Roster'!$C$5:$C$64,MATCH(B3625,'Cashier Roster'!$B$5:$B$64,0)),"Not on roster"))</f>
        <v/>
      </c>
      <c r="D3625" s="12" t="str">
        <f>IF(B3625="","",IFERROR(INDEX('Cashier Roster'!$D$5:$D$64,MATCH(B3625,'Cashier Roster'!$B$5:$B$64,0)),""))</f>
        <v/>
      </c>
      <c r="E3625" s="13"/>
      <c r="F3625" s="14"/>
      <c r="G3625" s="8" t="str">
        <f>IF(OR(B3625="",E3625=""),"",IF(E3625="No","Missed",IF(F3625="","",IF(F3625&lt;=Settings!$B$7,"On time","Late"))))</f>
        <v/>
      </c>
      <c r="H3625" s="15"/>
      <c r="I3625" s="16"/>
      <c r="J3625" s="16"/>
      <c r="K3625" s="17" t="str">
        <f>IF(J3625="","",ROUND(J3625*Settings!$B$8,2))</f>
        <v/>
      </c>
      <c r="L3625" s="16"/>
      <c r="M3625" s="8" t="str">
        <f t="shared" si="56"/>
        <v/>
      </c>
      <c r="N3625" s="9"/>
    </row>
    <row r="3626" spans="1:14" ht="15.75">
      <c r="A3626" s="11"/>
      <c r="B3626" s="9"/>
      <c r="C3626" s="12" t="str">
        <f>IF(B3626="","",IFERROR(INDEX('Cashier Roster'!$C$5:$C$64,MATCH(B3626,'Cashier Roster'!$B$5:$B$64,0)),"Not on roster"))</f>
        <v/>
      </c>
      <c r="D3626" s="12" t="str">
        <f>IF(B3626="","",IFERROR(INDEX('Cashier Roster'!$D$5:$D$64,MATCH(B3626,'Cashier Roster'!$B$5:$B$64,0)),""))</f>
        <v/>
      </c>
      <c r="E3626" s="13"/>
      <c r="F3626" s="14"/>
      <c r="G3626" s="8" t="str">
        <f>IF(OR(B3626="",E3626=""),"",IF(E3626="No","Missed",IF(F3626="","",IF(F3626&lt;=Settings!$B$7,"On time","Late"))))</f>
        <v/>
      </c>
      <c r="H3626" s="15"/>
      <c r="I3626" s="16"/>
      <c r="J3626" s="16"/>
      <c r="K3626" s="17" t="str">
        <f>IF(J3626="","",ROUND(J3626*Settings!$B$8,2))</f>
        <v/>
      </c>
      <c r="L3626" s="16"/>
      <c r="M3626" s="8" t="str">
        <f t="shared" si="56"/>
        <v/>
      </c>
      <c r="N3626" s="9"/>
    </row>
    <row r="3627" spans="1:14" ht="15.75">
      <c r="A3627" s="11"/>
      <c r="B3627" s="9"/>
      <c r="C3627" s="12" t="str">
        <f>IF(B3627="","",IFERROR(INDEX('Cashier Roster'!$C$5:$C$64,MATCH(B3627,'Cashier Roster'!$B$5:$B$64,0)),"Not on roster"))</f>
        <v/>
      </c>
      <c r="D3627" s="12" t="str">
        <f>IF(B3627="","",IFERROR(INDEX('Cashier Roster'!$D$5:$D$64,MATCH(B3627,'Cashier Roster'!$B$5:$B$64,0)),""))</f>
        <v/>
      </c>
      <c r="E3627" s="13"/>
      <c r="F3627" s="14"/>
      <c r="G3627" s="8" t="str">
        <f>IF(OR(B3627="",E3627=""),"",IF(E3627="No","Missed",IF(F3627="","",IF(F3627&lt;=Settings!$B$7,"On time","Late"))))</f>
        <v/>
      </c>
      <c r="H3627" s="15"/>
      <c r="I3627" s="16"/>
      <c r="J3627" s="16"/>
      <c r="K3627" s="17" t="str">
        <f>IF(J3627="","",ROUND(J3627*Settings!$B$8,2))</f>
        <v/>
      </c>
      <c r="L3627" s="16"/>
      <c r="M3627" s="8" t="str">
        <f t="shared" si="56"/>
        <v/>
      </c>
      <c r="N3627" s="9"/>
    </row>
    <row r="3628" spans="1:14" ht="15.75">
      <c r="A3628" s="11"/>
      <c r="B3628" s="9"/>
      <c r="C3628" s="12" t="str">
        <f>IF(B3628="","",IFERROR(INDEX('Cashier Roster'!$C$5:$C$64,MATCH(B3628,'Cashier Roster'!$B$5:$B$64,0)),"Not on roster"))</f>
        <v/>
      </c>
      <c r="D3628" s="12" t="str">
        <f>IF(B3628="","",IFERROR(INDEX('Cashier Roster'!$D$5:$D$64,MATCH(B3628,'Cashier Roster'!$B$5:$B$64,0)),""))</f>
        <v/>
      </c>
      <c r="E3628" s="13"/>
      <c r="F3628" s="14"/>
      <c r="G3628" s="8" t="str">
        <f>IF(OR(B3628="",E3628=""),"",IF(E3628="No","Missed",IF(F3628="","",IF(F3628&lt;=Settings!$B$7,"On time","Late"))))</f>
        <v/>
      </c>
      <c r="H3628" s="15"/>
      <c r="I3628" s="16"/>
      <c r="J3628" s="16"/>
      <c r="K3628" s="17" t="str">
        <f>IF(J3628="","",ROUND(J3628*Settings!$B$8,2))</f>
        <v/>
      </c>
      <c r="L3628" s="16"/>
      <c r="M3628" s="8" t="str">
        <f t="shared" si="56"/>
        <v/>
      </c>
      <c r="N3628" s="9"/>
    </row>
    <row r="3629" spans="1:14" ht="15.75">
      <c r="A3629" s="11"/>
      <c r="B3629" s="9"/>
      <c r="C3629" s="12" t="str">
        <f>IF(B3629="","",IFERROR(INDEX('Cashier Roster'!$C$5:$C$64,MATCH(B3629,'Cashier Roster'!$B$5:$B$64,0)),"Not on roster"))</f>
        <v/>
      </c>
      <c r="D3629" s="12" t="str">
        <f>IF(B3629="","",IFERROR(INDEX('Cashier Roster'!$D$5:$D$64,MATCH(B3629,'Cashier Roster'!$B$5:$B$64,0)),""))</f>
        <v/>
      </c>
      <c r="E3629" s="13"/>
      <c r="F3629" s="14"/>
      <c r="G3629" s="8" t="str">
        <f>IF(OR(B3629="",E3629=""),"",IF(E3629="No","Missed",IF(F3629="","",IF(F3629&lt;=Settings!$B$7,"On time","Late"))))</f>
        <v/>
      </c>
      <c r="H3629" s="15"/>
      <c r="I3629" s="16"/>
      <c r="J3629" s="16"/>
      <c r="K3629" s="17" t="str">
        <f>IF(J3629="","",ROUND(J3629*Settings!$B$8,2))</f>
        <v/>
      </c>
      <c r="L3629" s="16"/>
      <c r="M3629" s="8" t="str">
        <f t="shared" si="56"/>
        <v/>
      </c>
      <c r="N3629" s="9"/>
    </row>
    <row r="3630" spans="1:14" ht="15.75">
      <c r="A3630" s="11"/>
      <c r="B3630" s="9"/>
      <c r="C3630" s="12" t="str">
        <f>IF(B3630="","",IFERROR(INDEX('Cashier Roster'!$C$5:$C$64,MATCH(B3630,'Cashier Roster'!$B$5:$B$64,0)),"Not on roster"))</f>
        <v/>
      </c>
      <c r="D3630" s="12" t="str">
        <f>IF(B3630="","",IFERROR(INDEX('Cashier Roster'!$D$5:$D$64,MATCH(B3630,'Cashier Roster'!$B$5:$B$64,0)),""))</f>
        <v/>
      </c>
      <c r="E3630" s="13"/>
      <c r="F3630" s="14"/>
      <c r="G3630" s="8" t="str">
        <f>IF(OR(B3630="",E3630=""),"",IF(E3630="No","Missed",IF(F3630="","",IF(F3630&lt;=Settings!$B$7,"On time","Late"))))</f>
        <v/>
      </c>
      <c r="H3630" s="15"/>
      <c r="I3630" s="16"/>
      <c r="J3630" s="16"/>
      <c r="K3630" s="17" t="str">
        <f>IF(J3630="","",ROUND(J3630*Settings!$B$8,2))</f>
        <v/>
      </c>
      <c r="L3630" s="16"/>
      <c r="M3630" s="8" t="str">
        <f t="shared" si="56"/>
        <v/>
      </c>
      <c r="N3630" s="9"/>
    </row>
    <row r="3631" spans="1:14" ht="15.75">
      <c r="A3631" s="11"/>
      <c r="B3631" s="9"/>
      <c r="C3631" s="12" t="str">
        <f>IF(B3631="","",IFERROR(INDEX('Cashier Roster'!$C$5:$C$64,MATCH(B3631,'Cashier Roster'!$B$5:$B$64,0)),"Not on roster"))</f>
        <v/>
      </c>
      <c r="D3631" s="12" t="str">
        <f>IF(B3631="","",IFERROR(INDEX('Cashier Roster'!$D$5:$D$64,MATCH(B3631,'Cashier Roster'!$B$5:$B$64,0)),""))</f>
        <v/>
      </c>
      <c r="E3631" s="13"/>
      <c r="F3631" s="14"/>
      <c r="G3631" s="8" t="str">
        <f>IF(OR(B3631="",E3631=""),"",IF(E3631="No","Missed",IF(F3631="","",IF(F3631&lt;=Settings!$B$7,"On time","Late"))))</f>
        <v/>
      </c>
      <c r="H3631" s="15"/>
      <c r="I3631" s="16"/>
      <c r="J3631" s="16"/>
      <c r="K3631" s="17" t="str">
        <f>IF(J3631="","",ROUND(J3631*Settings!$B$8,2))</f>
        <v/>
      </c>
      <c r="L3631" s="16"/>
      <c r="M3631" s="8" t="str">
        <f t="shared" si="56"/>
        <v/>
      </c>
      <c r="N3631" s="9"/>
    </row>
    <row r="3632" spans="1:14" ht="15.75">
      <c r="A3632" s="11"/>
      <c r="B3632" s="9"/>
      <c r="C3632" s="12" t="str">
        <f>IF(B3632="","",IFERROR(INDEX('Cashier Roster'!$C$5:$C$64,MATCH(B3632,'Cashier Roster'!$B$5:$B$64,0)),"Not on roster"))</f>
        <v/>
      </c>
      <c r="D3632" s="12" t="str">
        <f>IF(B3632="","",IFERROR(INDEX('Cashier Roster'!$D$5:$D$64,MATCH(B3632,'Cashier Roster'!$B$5:$B$64,0)),""))</f>
        <v/>
      </c>
      <c r="E3632" s="13"/>
      <c r="F3632" s="14"/>
      <c r="G3632" s="8" t="str">
        <f>IF(OR(B3632="",E3632=""),"",IF(E3632="No","Missed",IF(F3632="","",IF(F3632&lt;=Settings!$B$7,"On time","Late"))))</f>
        <v/>
      </c>
      <c r="H3632" s="15"/>
      <c r="I3632" s="16"/>
      <c r="J3632" s="16"/>
      <c r="K3632" s="17" t="str">
        <f>IF(J3632="","",ROUND(J3632*Settings!$B$8,2))</f>
        <v/>
      </c>
      <c r="L3632" s="16"/>
      <c r="M3632" s="8" t="str">
        <f t="shared" si="56"/>
        <v/>
      </c>
      <c r="N3632" s="9"/>
    </row>
    <row r="3633" spans="1:14" ht="15.75">
      <c r="A3633" s="11"/>
      <c r="B3633" s="9"/>
      <c r="C3633" s="12" t="str">
        <f>IF(B3633="","",IFERROR(INDEX('Cashier Roster'!$C$5:$C$64,MATCH(B3633,'Cashier Roster'!$B$5:$B$64,0)),"Not on roster"))</f>
        <v/>
      </c>
      <c r="D3633" s="12" t="str">
        <f>IF(B3633="","",IFERROR(INDEX('Cashier Roster'!$D$5:$D$64,MATCH(B3633,'Cashier Roster'!$B$5:$B$64,0)),""))</f>
        <v/>
      </c>
      <c r="E3633" s="13"/>
      <c r="F3633" s="14"/>
      <c r="G3633" s="8" t="str">
        <f>IF(OR(B3633="",E3633=""),"",IF(E3633="No","Missed",IF(F3633="","",IF(F3633&lt;=Settings!$B$7,"On time","Late"))))</f>
        <v/>
      </c>
      <c r="H3633" s="15"/>
      <c r="I3633" s="16"/>
      <c r="J3633" s="16"/>
      <c r="K3633" s="17" t="str">
        <f>IF(J3633="","",ROUND(J3633*Settings!$B$8,2))</f>
        <v/>
      </c>
      <c r="L3633" s="16"/>
      <c r="M3633" s="8" t="str">
        <f t="shared" si="56"/>
        <v/>
      </c>
      <c r="N3633" s="9"/>
    </row>
    <row r="3634" spans="1:14" ht="15.75">
      <c r="A3634" s="11"/>
      <c r="B3634" s="9"/>
      <c r="C3634" s="12" t="str">
        <f>IF(B3634="","",IFERROR(INDEX('Cashier Roster'!$C$5:$C$64,MATCH(B3634,'Cashier Roster'!$B$5:$B$64,0)),"Not on roster"))</f>
        <v/>
      </c>
      <c r="D3634" s="12" t="str">
        <f>IF(B3634="","",IFERROR(INDEX('Cashier Roster'!$D$5:$D$64,MATCH(B3634,'Cashier Roster'!$B$5:$B$64,0)),""))</f>
        <v/>
      </c>
      <c r="E3634" s="13"/>
      <c r="F3634" s="14"/>
      <c r="G3634" s="8" t="str">
        <f>IF(OR(B3634="",E3634=""),"",IF(E3634="No","Missed",IF(F3634="","",IF(F3634&lt;=Settings!$B$7,"On time","Late"))))</f>
        <v/>
      </c>
      <c r="H3634" s="15"/>
      <c r="I3634" s="16"/>
      <c r="J3634" s="16"/>
      <c r="K3634" s="17" t="str">
        <f>IF(J3634="","",ROUND(J3634*Settings!$B$8,2))</f>
        <v/>
      </c>
      <c r="L3634" s="16"/>
      <c r="M3634" s="8" t="str">
        <f t="shared" si="56"/>
        <v/>
      </c>
      <c r="N3634" s="9"/>
    </row>
    <row r="3635" spans="1:14" ht="15.75">
      <c r="A3635" s="11"/>
      <c r="B3635" s="9"/>
      <c r="C3635" s="12" t="str">
        <f>IF(B3635="","",IFERROR(INDEX('Cashier Roster'!$C$5:$C$64,MATCH(B3635,'Cashier Roster'!$B$5:$B$64,0)),"Not on roster"))</f>
        <v/>
      </c>
      <c r="D3635" s="12" t="str">
        <f>IF(B3635="","",IFERROR(INDEX('Cashier Roster'!$D$5:$D$64,MATCH(B3635,'Cashier Roster'!$B$5:$B$64,0)),""))</f>
        <v/>
      </c>
      <c r="E3635" s="13"/>
      <c r="F3635" s="14"/>
      <c r="G3635" s="8" t="str">
        <f>IF(OR(B3635="",E3635=""),"",IF(E3635="No","Missed",IF(F3635="","",IF(F3635&lt;=Settings!$B$7,"On time","Late"))))</f>
        <v/>
      </c>
      <c r="H3635" s="15"/>
      <c r="I3635" s="16"/>
      <c r="J3635" s="16"/>
      <c r="K3635" s="17" t="str">
        <f>IF(J3635="","",ROUND(J3635*Settings!$B$8,2))</f>
        <v/>
      </c>
      <c r="L3635" s="16"/>
      <c r="M3635" s="8" t="str">
        <f t="shared" si="56"/>
        <v/>
      </c>
      <c r="N3635" s="9"/>
    </row>
    <row r="3636" spans="1:14" ht="15.75">
      <c r="A3636" s="11"/>
      <c r="B3636" s="9"/>
      <c r="C3636" s="12" t="str">
        <f>IF(B3636="","",IFERROR(INDEX('Cashier Roster'!$C$5:$C$64,MATCH(B3636,'Cashier Roster'!$B$5:$B$64,0)),"Not on roster"))</f>
        <v/>
      </c>
      <c r="D3636" s="12" t="str">
        <f>IF(B3636="","",IFERROR(INDEX('Cashier Roster'!$D$5:$D$64,MATCH(B3636,'Cashier Roster'!$B$5:$B$64,0)),""))</f>
        <v/>
      </c>
      <c r="E3636" s="13"/>
      <c r="F3636" s="14"/>
      <c r="G3636" s="8" t="str">
        <f>IF(OR(B3636="",E3636=""),"",IF(E3636="No","Missed",IF(F3636="","",IF(F3636&lt;=Settings!$B$7,"On time","Late"))))</f>
        <v/>
      </c>
      <c r="H3636" s="15"/>
      <c r="I3636" s="16"/>
      <c r="J3636" s="16"/>
      <c r="K3636" s="17" t="str">
        <f>IF(J3636="","",ROUND(J3636*Settings!$B$8,2))</f>
        <v/>
      </c>
      <c r="L3636" s="16"/>
      <c r="M3636" s="8" t="str">
        <f t="shared" si="56"/>
        <v/>
      </c>
      <c r="N3636" s="9"/>
    </row>
    <row r="3637" spans="1:14" ht="15.75">
      <c r="A3637" s="11"/>
      <c r="B3637" s="9"/>
      <c r="C3637" s="12" t="str">
        <f>IF(B3637="","",IFERROR(INDEX('Cashier Roster'!$C$5:$C$64,MATCH(B3637,'Cashier Roster'!$B$5:$B$64,0)),"Not on roster"))</f>
        <v/>
      </c>
      <c r="D3637" s="12" t="str">
        <f>IF(B3637="","",IFERROR(INDEX('Cashier Roster'!$D$5:$D$64,MATCH(B3637,'Cashier Roster'!$B$5:$B$64,0)),""))</f>
        <v/>
      </c>
      <c r="E3637" s="13"/>
      <c r="F3637" s="14"/>
      <c r="G3637" s="8" t="str">
        <f>IF(OR(B3637="",E3637=""),"",IF(E3637="No","Missed",IF(F3637="","",IF(F3637&lt;=Settings!$B$7,"On time","Late"))))</f>
        <v/>
      </c>
      <c r="H3637" s="15"/>
      <c r="I3637" s="16"/>
      <c r="J3637" s="16"/>
      <c r="K3637" s="17" t="str">
        <f>IF(J3637="","",ROUND(J3637*Settings!$B$8,2))</f>
        <v/>
      </c>
      <c r="L3637" s="16"/>
      <c r="M3637" s="8" t="str">
        <f t="shared" si="56"/>
        <v/>
      </c>
      <c r="N3637" s="9"/>
    </row>
    <row r="3638" spans="1:14" ht="15.75">
      <c r="A3638" s="11"/>
      <c r="B3638" s="9"/>
      <c r="C3638" s="12" t="str">
        <f>IF(B3638="","",IFERROR(INDEX('Cashier Roster'!$C$5:$C$64,MATCH(B3638,'Cashier Roster'!$B$5:$B$64,0)),"Not on roster"))</f>
        <v/>
      </c>
      <c r="D3638" s="12" t="str">
        <f>IF(B3638="","",IFERROR(INDEX('Cashier Roster'!$D$5:$D$64,MATCH(B3638,'Cashier Roster'!$B$5:$B$64,0)),""))</f>
        <v/>
      </c>
      <c r="E3638" s="13"/>
      <c r="F3638" s="14"/>
      <c r="G3638" s="8" t="str">
        <f>IF(OR(B3638="",E3638=""),"",IF(E3638="No","Missed",IF(F3638="","",IF(F3638&lt;=Settings!$B$7,"On time","Late"))))</f>
        <v/>
      </c>
      <c r="H3638" s="15"/>
      <c r="I3638" s="16"/>
      <c r="J3638" s="16"/>
      <c r="K3638" s="17" t="str">
        <f>IF(J3638="","",ROUND(J3638*Settings!$B$8,2))</f>
        <v/>
      </c>
      <c r="L3638" s="16"/>
      <c r="M3638" s="8" t="str">
        <f t="shared" si="56"/>
        <v/>
      </c>
      <c r="N3638" s="9"/>
    </row>
    <row r="3639" spans="1:14" ht="15.75">
      <c r="A3639" s="11"/>
      <c r="B3639" s="9"/>
      <c r="C3639" s="12" t="str">
        <f>IF(B3639="","",IFERROR(INDEX('Cashier Roster'!$C$5:$C$64,MATCH(B3639,'Cashier Roster'!$B$5:$B$64,0)),"Not on roster"))</f>
        <v/>
      </c>
      <c r="D3639" s="12" t="str">
        <f>IF(B3639="","",IFERROR(INDEX('Cashier Roster'!$D$5:$D$64,MATCH(B3639,'Cashier Roster'!$B$5:$B$64,0)),""))</f>
        <v/>
      </c>
      <c r="E3639" s="13"/>
      <c r="F3639" s="14"/>
      <c r="G3639" s="8" t="str">
        <f>IF(OR(B3639="",E3639=""),"",IF(E3639="No","Missed",IF(F3639="","",IF(F3639&lt;=Settings!$B$7,"On time","Late"))))</f>
        <v/>
      </c>
      <c r="H3639" s="15"/>
      <c r="I3639" s="16"/>
      <c r="J3639" s="16"/>
      <c r="K3639" s="17" t="str">
        <f>IF(J3639="","",ROUND(J3639*Settings!$B$8,2))</f>
        <v/>
      </c>
      <c r="L3639" s="16"/>
      <c r="M3639" s="8" t="str">
        <f t="shared" si="56"/>
        <v/>
      </c>
      <c r="N3639" s="9"/>
    </row>
    <row r="3640" spans="1:14" ht="15.75">
      <c r="A3640" s="11"/>
      <c r="B3640" s="9"/>
      <c r="C3640" s="12" t="str">
        <f>IF(B3640="","",IFERROR(INDEX('Cashier Roster'!$C$5:$C$64,MATCH(B3640,'Cashier Roster'!$B$5:$B$64,0)),"Not on roster"))</f>
        <v/>
      </c>
      <c r="D3640" s="12" t="str">
        <f>IF(B3640="","",IFERROR(INDEX('Cashier Roster'!$D$5:$D$64,MATCH(B3640,'Cashier Roster'!$B$5:$B$64,0)),""))</f>
        <v/>
      </c>
      <c r="E3640" s="13"/>
      <c r="F3640" s="14"/>
      <c r="G3640" s="8" t="str">
        <f>IF(OR(B3640="",E3640=""),"",IF(E3640="No","Missed",IF(F3640="","",IF(F3640&lt;=Settings!$B$7,"On time","Late"))))</f>
        <v/>
      </c>
      <c r="H3640" s="15"/>
      <c r="I3640" s="16"/>
      <c r="J3640" s="16"/>
      <c r="K3640" s="17" t="str">
        <f>IF(J3640="","",ROUND(J3640*Settings!$B$8,2))</f>
        <v/>
      </c>
      <c r="L3640" s="16"/>
      <c r="M3640" s="8" t="str">
        <f t="shared" si="56"/>
        <v/>
      </c>
      <c r="N3640" s="9"/>
    </row>
    <row r="3641" spans="1:14" ht="15.75">
      <c r="A3641" s="11"/>
      <c r="B3641" s="9"/>
      <c r="C3641" s="12" t="str">
        <f>IF(B3641="","",IFERROR(INDEX('Cashier Roster'!$C$5:$C$64,MATCH(B3641,'Cashier Roster'!$B$5:$B$64,0)),"Not on roster"))</f>
        <v/>
      </c>
      <c r="D3641" s="12" t="str">
        <f>IF(B3641="","",IFERROR(INDEX('Cashier Roster'!$D$5:$D$64,MATCH(B3641,'Cashier Roster'!$B$5:$B$64,0)),""))</f>
        <v/>
      </c>
      <c r="E3641" s="13"/>
      <c r="F3641" s="14"/>
      <c r="G3641" s="8" t="str">
        <f>IF(OR(B3641="",E3641=""),"",IF(E3641="No","Missed",IF(F3641="","",IF(F3641&lt;=Settings!$B$7,"On time","Late"))))</f>
        <v/>
      </c>
      <c r="H3641" s="15"/>
      <c r="I3641" s="16"/>
      <c r="J3641" s="16"/>
      <c r="K3641" s="17" t="str">
        <f>IF(J3641="","",ROUND(J3641*Settings!$B$8,2))</f>
        <v/>
      </c>
      <c r="L3641" s="16"/>
      <c r="M3641" s="8" t="str">
        <f t="shared" si="56"/>
        <v/>
      </c>
      <c r="N3641" s="9"/>
    </row>
    <row r="3642" spans="1:14" ht="15.75">
      <c r="A3642" s="11"/>
      <c r="B3642" s="9"/>
      <c r="C3642" s="12" t="str">
        <f>IF(B3642="","",IFERROR(INDEX('Cashier Roster'!$C$5:$C$64,MATCH(B3642,'Cashier Roster'!$B$5:$B$64,0)),"Not on roster"))</f>
        <v/>
      </c>
      <c r="D3642" s="12" t="str">
        <f>IF(B3642="","",IFERROR(INDEX('Cashier Roster'!$D$5:$D$64,MATCH(B3642,'Cashier Roster'!$B$5:$B$64,0)),""))</f>
        <v/>
      </c>
      <c r="E3642" s="13"/>
      <c r="F3642" s="14"/>
      <c r="G3642" s="8" t="str">
        <f>IF(OR(B3642="",E3642=""),"",IF(E3642="No","Missed",IF(F3642="","",IF(F3642&lt;=Settings!$B$7,"On time","Late"))))</f>
        <v/>
      </c>
      <c r="H3642" s="15"/>
      <c r="I3642" s="16"/>
      <c r="J3642" s="16"/>
      <c r="K3642" s="17" t="str">
        <f>IF(J3642="","",ROUND(J3642*Settings!$B$8,2))</f>
        <v/>
      </c>
      <c r="L3642" s="16"/>
      <c r="M3642" s="8" t="str">
        <f t="shared" si="56"/>
        <v/>
      </c>
      <c r="N3642" s="9"/>
    </row>
    <row r="3643" spans="1:14" ht="15.75">
      <c r="A3643" s="11"/>
      <c r="B3643" s="9"/>
      <c r="C3643" s="12" t="str">
        <f>IF(B3643="","",IFERROR(INDEX('Cashier Roster'!$C$5:$C$64,MATCH(B3643,'Cashier Roster'!$B$5:$B$64,0)),"Not on roster"))</f>
        <v/>
      </c>
      <c r="D3643" s="12" t="str">
        <f>IF(B3643="","",IFERROR(INDEX('Cashier Roster'!$D$5:$D$64,MATCH(B3643,'Cashier Roster'!$B$5:$B$64,0)),""))</f>
        <v/>
      </c>
      <c r="E3643" s="13"/>
      <c r="F3643" s="14"/>
      <c r="G3643" s="8" t="str">
        <f>IF(OR(B3643="",E3643=""),"",IF(E3643="No","Missed",IF(F3643="","",IF(F3643&lt;=Settings!$B$7,"On time","Late"))))</f>
        <v/>
      </c>
      <c r="H3643" s="15"/>
      <c r="I3643" s="16"/>
      <c r="J3643" s="16"/>
      <c r="K3643" s="17" t="str">
        <f>IF(J3643="","",ROUND(J3643*Settings!$B$8,2))</f>
        <v/>
      </c>
      <c r="L3643" s="16"/>
      <c r="M3643" s="8" t="str">
        <f t="shared" si="56"/>
        <v/>
      </c>
      <c r="N3643" s="9"/>
    </row>
    <row r="3644" spans="1:14" ht="15.75">
      <c r="A3644" s="11"/>
      <c r="B3644" s="9"/>
      <c r="C3644" s="12" t="str">
        <f>IF(B3644="","",IFERROR(INDEX('Cashier Roster'!$C$5:$C$64,MATCH(B3644,'Cashier Roster'!$B$5:$B$64,0)),"Not on roster"))</f>
        <v/>
      </c>
      <c r="D3644" s="12" t="str">
        <f>IF(B3644="","",IFERROR(INDEX('Cashier Roster'!$D$5:$D$64,MATCH(B3644,'Cashier Roster'!$B$5:$B$64,0)),""))</f>
        <v/>
      </c>
      <c r="E3644" s="13"/>
      <c r="F3644" s="14"/>
      <c r="G3644" s="8" t="str">
        <f>IF(OR(B3644="",E3644=""),"",IF(E3644="No","Missed",IF(F3644="","",IF(F3644&lt;=Settings!$B$7,"On time","Late"))))</f>
        <v/>
      </c>
      <c r="H3644" s="15"/>
      <c r="I3644" s="16"/>
      <c r="J3644" s="16"/>
      <c r="K3644" s="17" t="str">
        <f>IF(J3644="","",ROUND(J3644*Settings!$B$8,2))</f>
        <v/>
      </c>
      <c r="L3644" s="16"/>
      <c r="M3644" s="8" t="str">
        <f t="shared" si="56"/>
        <v/>
      </c>
      <c r="N3644" s="9"/>
    </row>
    <row r="3645" spans="1:14" ht="15.75">
      <c r="A3645" s="11"/>
      <c r="B3645" s="9"/>
      <c r="C3645" s="12" t="str">
        <f>IF(B3645="","",IFERROR(INDEX('Cashier Roster'!$C$5:$C$64,MATCH(B3645,'Cashier Roster'!$B$5:$B$64,0)),"Not on roster"))</f>
        <v/>
      </c>
      <c r="D3645" s="12" t="str">
        <f>IF(B3645="","",IFERROR(INDEX('Cashier Roster'!$D$5:$D$64,MATCH(B3645,'Cashier Roster'!$B$5:$B$64,0)),""))</f>
        <v/>
      </c>
      <c r="E3645" s="13"/>
      <c r="F3645" s="14"/>
      <c r="G3645" s="8" t="str">
        <f>IF(OR(B3645="",E3645=""),"",IF(E3645="No","Missed",IF(F3645="","",IF(F3645&lt;=Settings!$B$7,"On time","Late"))))</f>
        <v/>
      </c>
      <c r="H3645" s="15"/>
      <c r="I3645" s="16"/>
      <c r="J3645" s="16"/>
      <c r="K3645" s="17" t="str">
        <f>IF(J3645="","",ROUND(J3645*Settings!$B$8,2))</f>
        <v/>
      </c>
      <c r="L3645" s="16"/>
      <c r="M3645" s="8" t="str">
        <f t="shared" si="56"/>
        <v/>
      </c>
      <c r="N3645" s="9"/>
    </row>
    <row r="3646" spans="1:14" ht="15.75">
      <c r="A3646" s="11"/>
      <c r="B3646" s="9"/>
      <c r="C3646" s="12" t="str">
        <f>IF(B3646="","",IFERROR(INDEX('Cashier Roster'!$C$5:$C$64,MATCH(B3646,'Cashier Roster'!$B$5:$B$64,0)),"Not on roster"))</f>
        <v/>
      </c>
      <c r="D3646" s="12" t="str">
        <f>IF(B3646="","",IFERROR(INDEX('Cashier Roster'!$D$5:$D$64,MATCH(B3646,'Cashier Roster'!$B$5:$B$64,0)),""))</f>
        <v/>
      </c>
      <c r="E3646" s="13"/>
      <c r="F3646" s="14"/>
      <c r="G3646" s="8" t="str">
        <f>IF(OR(B3646="",E3646=""),"",IF(E3646="No","Missed",IF(F3646="","",IF(F3646&lt;=Settings!$B$7,"On time","Late"))))</f>
        <v/>
      </c>
      <c r="H3646" s="15"/>
      <c r="I3646" s="16"/>
      <c r="J3646" s="16"/>
      <c r="K3646" s="17" t="str">
        <f>IF(J3646="","",ROUND(J3646*Settings!$B$8,2))</f>
        <v/>
      </c>
      <c r="L3646" s="16"/>
      <c r="M3646" s="8" t="str">
        <f t="shared" si="56"/>
        <v/>
      </c>
      <c r="N3646" s="9"/>
    </row>
    <row r="3647" spans="1:14" ht="15.75">
      <c r="A3647" s="11"/>
      <c r="B3647" s="9"/>
      <c r="C3647" s="12" t="str">
        <f>IF(B3647="","",IFERROR(INDEX('Cashier Roster'!$C$5:$C$64,MATCH(B3647,'Cashier Roster'!$B$5:$B$64,0)),"Not on roster"))</f>
        <v/>
      </c>
      <c r="D3647" s="12" t="str">
        <f>IF(B3647="","",IFERROR(INDEX('Cashier Roster'!$D$5:$D$64,MATCH(B3647,'Cashier Roster'!$B$5:$B$64,0)),""))</f>
        <v/>
      </c>
      <c r="E3647" s="13"/>
      <c r="F3647" s="14"/>
      <c r="G3647" s="8" t="str">
        <f>IF(OR(B3647="",E3647=""),"",IF(E3647="No","Missed",IF(F3647="","",IF(F3647&lt;=Settings!$B$7,"On time","Late"))))</f>
        <v/>
      </c>
      <c r="H3647" s="15"/>
      <c r="I3647" s="16"/>
      <c r="J3647" s="16"/>
      <c r="K3647" s="17" t="str">
        <f>IF(J3647="","",ROUND(J3647*Settings!$B$8,2))</f>
        <v/>
      </c>
      <c r="L3647" s="16"/>
      <c r="M3647" s="8" t="str">
        <f t="shared" si="56"/>
        <v/>
      </c>
      <c r="N3647" s="9"/>
    </row>
    <row r="3648" spans="1:14" ht="15.75">
      <c r="A3648" s="11"/>
      <c r="B3648" s="9"/>
      <c r="C3648" s="12" t="str">
        <f>IF(B3648="","",IFERROR(INDEX('Cashier Roster'!$C$5:$C$64,MATCH(B3648,'Cashier Roster'!$B$5:$B$64,0)),"Not on roster"))</f>
        <v/>
      </c>
      <c r="D3648" s="12" t="str">
        <f>IF(B3648="","",IFERROR(INDEX('Cashier Roster'!$D$5:$D$64,MATCH(B3648,'Cashier Roster'!$B$5:$B$64,0)),""))</f>
        <v/>
      </c>
      <c r="E3648" s="13"/>
      <c r="F3648" s="14"/>
      <c r="G3648" s="8" t="str">
        <f>IF(OR(B3648="",E3648=""),"",IF(E3648="No","Missed",IF(F3648="","",IF(F3648&lt;=Settings!$B$7,"On time","Late"))))</f>
        <v/>
      </c>
      <c r="H3648" s="15"/>
      <c r="I3648" s="16"/>
      <c r="J3648" s="16"/>
      <c r="K3648" s="17" t="str">
        <f>IF(J3648="","",ROUND(J3648*Settings!$B$8,2))</f>
        <v/>
      </c>
      <c r="L3648" s="16"/>
      <c r="M3648" s="8" t="str">
        <f t="shared" si="56"/>
        <v/>
      </c>
      <c r="N3648" s="9"/>
    </row>
    <row r="3649" spans="1:14" ht="15.75">
      <c r="A3649" s="11"/>
      <c r="B3649" s="9"/>
      <c r="C3649" s="12" t="str">
        <f>IF(B3649="","",IFERROR(INDEX('Cashier Roster'!$C$5:$C$64,MATCH(B3649,'Cashier Roster'!$B$5:$B$64,0)),"Not on roster"))</f>
        <v/>
      </c>
      <c r="D3649" s="12" t="str">
        <f>IF(B3649="","",IFERROR(INDEX('Cashier Roster'!$D$5:$D$64,MATCH(B3649,'Cashier Roster'!$B$5:$B$64,0)),""))</f>
        <v/>
      </c>
      <c r="E3649" s="13"/>
      <c r="F3649" s="14"/>
      <c r="G3649" s="8" t="str">
        <f>IF(OR(B3649="",E3649=""),"",IF(E3649="No","Missed",IF(F3649="","",IF(F3649&lt;=Settings!$B$7,"On time","Late"))))</f>
        <v/>
      </c>
      <c r="H3649" s="15"/>
      <c r="I3649" s="16"/>
      <c r="J3649" s="16"/>
      <c r="K3649" s="17" t="str">
        <f>IF(J3649="","",ROUND(J3649*Settings!$B$8,2))</f>
        <v/>
      </c>
      <c r="L3649" s="16"/>
      <c r="M3649" s="8" t="str">
        <f t="shared" si="56"/>
        <v/>
      </c>
      <c r="N3649" s="9"/>
    </row>
    <row r="3650" spans="1:14" ht="15.75">
      <c r="A3650" s="11"/>
      <c r="B3650" s="9"/>
      <c r="C3650" s="12" t="str">
        <f>IF(B3650="","",IFERROR(INDEX('Cashier Roster'!$C$5:$C$64,MATCH(B3650,'Cashier Roster'!$B$5:$B$64,0)),"Not on roster"))</f>
        <v/>
      </c>
      <c r="D3650" s="12" t="str">
        <f>IF(B3650="","",IFERROR(INDEX('Cashier Roster'!$D$5:$D$64,MATCH(B3650,'Cashier Roster'!$B$5:$B$64,0)),""))</f>
        <v/>
      </c>
      <c r="E3650" s="13"/>
      <c r="F3650" s="14"/>
      <c r="G3650" s="8" t="str">
        <f>IF(OR(B3650="",E3650=""),"",IF(E3650="No","Missed",IF(F3650="","",IF(F3650&lt;=Settings!$B$7,"On time","Late"))))</f>
        <v/>
      </c>
      <c r="H3650" s="15"/>
      <c r="I3650" s="16"/>
      <c r="J3650" s="16"/>
      <c r="K3650" s="17" t="str">
        <f>IF(J3650="","",ROUND(J3650*Settings!$B$8,2))</f>
        <v/>
      </c>
      <c r="L3650" s="16"/>
      <c r="M3650" s="8" t="str">
        <f t="shared" si="56"/>
        <v/>
      </c>
      <c r="N3650" s="9"/>
    </row>
    <row r="3651" spans="1:14" ht="15.75">
      <c r="A3651" s="11"/>
      <c r="B3651" s="9"/>
      <c r="C3651" s="12" t="str">
        <f>IF(B3651="","",IFERROR(INDEX('Cashier Roster'!$C$5:$C$64,MATCH(B3651,'Cashier Roster'!$B$5:$B$64,0)),"Not on roster"))</f>
        <v/>
      </c>
      <c r="D3651" s="12" t="str">
        <f>IF(B3651="","",IFERROR(INDEX('Cashier Roster'!$D$5:$D$64,MATCH(B3651,'Cashier Roster'!$B$5:$B$64,0)),""))</f>
        <v/>
      </c>
      <c r="E3651" s="13"/>
      <c r="F3651" s="14"/>
      <c r="G3651" s="8" t="str">
        <f>IF(OR(B3651="",E3651=""),"",IF(E3651="No","Missed",IF(F3651="","",IF(F3651&lt;=Settings!$B$7,"On time","Late"))))</f>
        <v/>
      </c>
      <c r="H3651" s="15"/>
      <c r="I3651" s="16"/>
      <c r="J3651" s="16"/>
      <c r="K3651" s="17" t="str">
        <f>IF(J3651="","",ROUND(J3651*Settings!$B$8,2))</f>
        <v/>
      </c>
      <c r="L3651" s="16"/>
      <c r="M3651" s="8" t="str">
        <f t="shared" si="56"/>
        <v/>
      </c>
      <c r="N3651" s="9"/>
    </row>
    <row r="3652" spans="1:14" ht="15.75">
      <c r="A3652" s="11"/>
      <c r="B3652" s="9"/>
      <c r="C3652" s="12" t="str">
        <f>IF(B3652="","",IFERROR(INDEX('Cashier Roster'!$C$5:$C$64,MATCH(B3652,'Cashier Roster'!$B$5:$B$64,0)),"Not on roster"))</f>
        <v/>
      </c>
      <c r="D3652" s="12" t="str">
        <f>IF(B3652="","",IFERROR(INDEX('Cashier Roster'!$D$5:$D$64,MATCH(B3652,'Cashier Roster'!$B$5:$B$64,0)),""))</f>
        <v/>
      </c>
      <c r="E3652" s="13"/>
      <c r="F3652" s="14"/>
      <c r="G3652" s="8" t="str">
        <f>IF(OR(B3652="",E3652=""),"",IF(E3652="No","Missed",IF(F3652="","",IF(F3652&lt;=Settings!$B$7,"On time","Late"))))</f>
        <v/>
      </c>
      <c r="H3652" s="15"/>
      <c r="I3652" s="16"/>
      <c r="J3652" s="16"/>
      <c r="K3652" s="17" t="str">
        <f>IF(J3652="","",ROUND(J3652*Settings!$B$8,2))</f>
        <v/>
      </c>
      <c r="L3652" s="16"/>
      <c r="M3652" s="8" t="str">
        <f t="shared" si="56"/>
        <v/>
      </c>
      <c r="N3652" s="9"/>
    </row>
    <row r="3653" spans="1:14" ht="15.75">
      <c r="A3653" s="11"/>
      <c r="B3653" s="9"/>
      <c r="C3653" s="12" t="str">
        <f>IF(B3653="","",IFERROR(INDEX('Cashier Roster'!$C$5:$C$64,MATCH(B3653,'Cashier Roster'!$B$5:$B$64,0)),"Not on roster"))</f>
        <v/>
      </c>
      <c r="D3653" s="12" t="str">
        <f>IF(B3653="","",IFERROR(INDEX('Cashier Roster'!$D$5:$D$64,MATCH(B3653,'Cashier Roster'!$B$5:$B$64,0)),""))</f>
        <v/>
      </c>
      <c r="E3653" s="13"/>
      <c r="F3653" s="14"/>
      <c r="G3653" s="8" t="str">
        <f>IF(OR(B3653="",E3653=""),"",IF(E3653="No","Missed",IF(F3653="","",IF(F3653&lt;=Settings!$B$7,"On time","Late"))))</f>
        <v/>
      </c>
      <c r="H3653" s="15"/>
      <c r="I3653" s="16"/>
      <c r="J3653" s="16"/>
      <c r="K3653" s="17" t="str">
        <f>IF(J3653="","",ROUND(J3653*Settings!$B$8,2))</f>
        <v/>
      </c>
      <c r="L3653" s="16"/>
      <c r="M3653" s="8" t="str">
        <f t="shared" ref="M3653:M3716" si="57">IF(L3653="","",IF(L3653&lt;=0,"Yes","No"))</f>
        <v/>
      </c>
      <c r="N3653" s="9"/>
    </row>
    <row r="3654" spans="1:14" ht="15.75">
      <c r="A3654" s="11"/>
      <c r="B3654" s="9"/>
      <c r="C3654" s="12" t="str">
        <f>IF(B3654="","",IFERROR(INDEX('Cashier Roster'!$C$5:$C$64,MATCH(B3654,'Cashier Roster'!$B$5:$B$64,0)),"Not on roster"))</f>
        <v/>
      </c>
      <c r="D3654" s="12" t="str">
        <f>IF(B3654="","",IFERROR(INDEX('Cashier Roster'!$D$5:$D$64,MATCH(B3654,'Cashier Roster'!$B$5:$B$64,0)),""))</f>
        <v/>
      </c>
      <c r="E3654" s="13"/>
      <c r="F3654" s="14"/>
      <c r="G3654" s="8" t="str">
        <f>IF(OR(B3654="",E3654=""),"",IF(E3654="No","Missed",IF(F3654="","",IF(F3654&lt;=Settings!$B$7,"On time","Late"))))</f>
        <v/>
      </c>
      <c r="H3654" s="15"/>
      <c r="I3654" s="16"/>
      <c r="J3654" s="16"/>
      <c r="K3654" s="17" t="str">
        <f>IF(J3654="","",ROUND(J3654*Settings!$B$8,2))</f>
        <v/>
      </c>
      <c r="L3654" s="16"/>
      <c r="M3654" s="8" t="str">
        <f t="shared" si="57"/>
        <v/>
      </c>
      <c r="N3654" s="9"/>
    </row>
    <row r="3655" spans="1:14" ht="15.75">
      <c r="A3655" s="11"/>
      <c r="B3655" s="9"/>
      <c r="C3655" s="12" t="str">
        <f>IF(B3655="","",IFERROR(INDEX('Cashier Roster'!$C$5:$C$64,MATCH(B3655,'Cashier Roster'!$B$5:$B$64,0)),"Not on roster"))</f>
        <v/>
      </c>
      <c r="D3655" s="12" t="str">
        <f>IF(B3655="","",IFERROR(INDEX('Cashier Roster'!$D$5:$D$64,MATCH(B3655,'Cashier Roster'!$B$5:$B$64,0)),""))</f>
        <v/>
      </c>
      <c r="E3655" s="13"/>
      <c r="F3655" s="14"/>
      <c r="G3655" s="8" t="str">
        <f>IF(OR(B3655="",E3655=""),"",IF(E3655="No","Missed",IF(F3655="","",IF(F3655&lt;=Settings!$B$7,"On time","Late"))))</f>
        <v/>
      </c>
      <c r="H3655" s="15"/>
      <c r="I3655" s="16"/>
      <c r="J3655" s="16"/>
      <c r="K3655" s="17" t="str">
        <f>IF(J3655="","",ROUND(J3655*Settings!$B$8,2))</f>
        <v/>
      </c>
      <c r="L3655" s="16"/>
      <c r="M3655" s="8" t="str">
        <f t="shared" si="57"/>
        <v/>
      </c>
      <c r="N3655" s="9"/>
    </row>
    <row r="3656" spans="1:14" ht="15.75">
      <c r="A3656" s="11"/>
      <c r="B3656" s="9"/>
      <c r="C3656" s="12" t="str">
        <f>IF(B3656="","",IFERROR(INDEX('Cashier Roster'!$C$5:$C$64,MATCH(B3656,'Cashier Roster'!$B$5:$B$64,0)),"Not on roster"))</f>
        <v/>
      </c>
      <c r="D3656" s="12" t="str">
        <f>IF(B3656="","",IFERROR(INDEX('Cashier Roster'!$D$5:$D$64,MATCH(B3656,'Cashier Roster'!$B$5:$B$64,0)),""))</f>
        <v/>
      </c>
      <c r="E3656" s="13"/>
      <c r="F3656" s="14"/>
      <c r="G3656" s="8" t="str">
        <f>IF(OR(B3656="",E3656=""),"",IF(E3656="No","Missed",IF(F3656="","",IF(F3656&lt;=Settings!$B$7,"On time","Late"))))</f>
        <v/>
      </c>
      <c r="H3656" s="15"/>
      <c r="I3656" s="16"/>
      <c r="J3656" s="16"/>
      <c r="K3656" s="17" t="str">
        <f>IF(J3656="","",ROUND(J3656*Settings!$B$8,2))</f>
        <v/>
      </c>
      <c r="L3656" s="16"/>
      <c r="M3656" s="8" t="str">
        <f t="shared" si="57"/>
        <v/>
      </c>
      <c r="N3656" s="9"/>
    </row>
    <row r="3657" spans="1:14" ht="15.75">
      <c r="A3657" s="11"/>
      <c r="B3657" s="9"/>
      <c r="C3657" s="12" t="str">
        <f>IF(B3657="","",IFERROR(INDEX('Cashier Roster'!$C$5:$C$64,MATCH(B3657,'Cashier Roster'!$B$5:$B$64,0)),"Not on roster"))</f>
        <v/>
      </c>
      <c r="D3657" s="12" t="str">
        <f>IF(B3657="","",IFERROR(INDEX('Cashier Roster'!$D$5:$D$64,MATCH(B3657,'Cashier Roster'!$B$5:$B$64,0)),""))</f>
        <v/>
      </c>
      <c r="E3657" s="13"/>
      <c r="F3657" s="14"/>
      <c r="G3657" s="8" t="str">
        <f>IF(OR(B3657="",E3657=""),"",IF(E3657="No","Missed",IF(F3657="","",IF(F3657&lt;=Settings!$B$7,"On time","Late"))))</f>
        <v/>
      </c>
      <c r="H3657" s="15"/>
      <c r="I3657" s="16"/>
      <c r="J3657" s="16"/>
      <c r="K3657" s="17" t="str">
        <f>IF(J3657="","",ROUND(J3657*Settings!$B$8,2))</f>
        <v/>
      </c>
      <c r="L3657" s="16"/>
      <c r="M3657" s="8" t="str">
        <f t="shared" si="57"/>
        <v/>
      </c>
      <c r="N3657" s="9"/>
    </row>
    <row r="3658" spans="1:14" ht="15.75">
      <c r="A3658" s="11"/>
      <c r="B3658" s="9"/>
      <c r="C3658" s="12" t="str">
        <f>IF(B3658="","",IFERROR(INDEX('Cashier Roster'!$C$5:$C$64,MATCH(B3658,'Cashier Roster'!$B$5:$B$64,0)),"Not on roster"))</f>
        <v/>
      </c>
      <c r="D3658" s="12" t="str">
        <f>IF(B3658="","",IFERROR(INDEX('Cashier Roster'!$D$5:$D$64,MATCH(B3658,'Cashier Roster'!$B$5:$B$64,0)),""))</f>
        <v/>
      </c>
      <c r="E3658" s="13"/>
      <c r="F3658" s="14"/>
      <c r="G3658" s="8" t="str">
        <f>IF(OR(B3658="",E3658=""),"",IF(E3658="No","Missed",IF(F3658="","",IF(F3658&lt;=Settings!$B$7,"On time","Late"))))</f>
        <v/>
      </c>
      <c r="H3658" s="15"/>
      <c r="I3658" s="16"/>
      <c r="J3658" s="16"/>
      <c r="K3658" s="17" t="str">
        <f>IF(J3658="","",ROUND(J3658*Settings!$B$8,2))</f>
        <v/>
      </c>
      <c r="L3658" s="16"/>
      <c r="M3658" s="8" t="str">
        <f t="shared" si="57"/>
        <v/>
      </c>
      <c r="N3658" s="9"/>
    </row>
    <row r="3659" spans="1:14" ht="15.75">
      <c r="A3659" s="11"/>
      <c r="B3659" s="9"/>
      <c r="C3659" s="12" t="str">
        <f>IF(B3659="","",IFERROR(INDEX('Cashier Roster'!$C$5:$C$64,MATCH(B3659,'Cashier Roster'!$B$5:$B$64,0)),"Not on roster"))</f>
        <v/>
      </c>
      <c r="D3659" s="12" t="str">
        <f>IF(B3659="","",IFERROR(INDEX('Cashier Roster'!$D$5:$D$64,MATCH(B3659,'Cashier Roster'!$B$5:$B$64,0)),""))</f>
        <v/>
      </c>
      <c r="E3659" s="13"/>
      <c r="F3659" s="14"/>
      <c r="G3659" s="8" t="str">
        <f>IF(OR(B3659="",E3659=""),"",IF(E3659="No","Missed",IF(F3659="","",IF(F3659&lt;=Settings!$B$7,"On time","Late"))))</f>
        <v/>
      </c>
      <c r="H3659" s="15"/>
      <c r="I3659" s="16"/>
      <c r="J3659" s="16"/>
      <c r="K3659" s="17" t="str">
        <f>IF(J3659="","",ROUND(J3659*Settings!$B$8,2))</f>
        <v/>
      </c>
      <c r="L3659" s="16"/>
      <c r="M3659" s="8" t="str">
        <f t="shared" si="57"/>
        <v/>
      </c>
      <c r="N3659" s="9"/>
    </row>
    <row r="3660" spans="1:14" ht="15.75">
      <c r="A3660" s="11"/>
      <c r="B3660" s="9"/>
      <c r="C3660" s="12" t="str">
        <f>IF(B3660="","",IFERROR(INDEX('Cashier Roster'!$C$5:$C$64,MATCH(B3660,'Cashier Roster'!$B$5:$B$64,0)),"Not on roster"))</f>
        <v/>
      </c>
      <c r="D3660" s="12" t="str">
        <f>IF(B3660="","",IFERROR(INDEX('Cashier Roster'!$D$5:$D$64,MATCH(B3660,'Cashier Roster'!$B$5:$B$64,0)),""))</f>
        <v/>
      </c>
      <c r="E3660" s="13"/>
      <c r="F3660" s="14"/>
      <c r="G3660" s="8" t="str">
        <f>IF(OR(B3660="",E3660=""),"",IF(E3660="No","Missed",IF(F3660="","",IF(F3660&lt;=Settings!$B$7,"On time","Late"))))</f>
        <v/>
      </c>
      <c r="H3660" s="15"/>
      <c r="I3660" s="16"/>
      <c r="J3660" s="16"/>
      <c r="K3660" s="17" t="str">
        <f>IF(J3660="","",ROUND(J3660*Settings!$B$8,2))</f>
        <v/>
      </c>
      <c r="L3660" s="16"/>
      <c r="M3660" s="8" t="str">
        <f t="shared" si="57"/>
        <v/>
      </c>
      <c r="N3660" s="9"/>
    </row>
    <row r="3661" spans="1:14" ht="15.75">
      <c r="A3661" s="11"/>
      <c r="B3661" s="9"/>
      <c r="C3661" s="12" t="str">
        <f>IF(B3661="","",IFERROR(INDEX('Cashier Roster'!$C$5:$C$64,MATCH(B3661,'Cashier Roster'!$B$5:$B$64,0)),"Not on roster"))</f>
        <v/>
      </c>
      <c r="D3661" s="12" t="str">
        <f>IF(B3661="","",IFERROR(INDEX('Cashier Roster'!$D$5:$D$64,MATCH(B3661,'Cashier Roster'!$B$5:$B$64,0)),""))</f>
        <v/>
      </c>
      <c r="E3661" s="13"/>
      <c r="F3661" s="14"/>
      <c r="G3661" s="8" t="str">
        <f>IF(OR(B3661="",E3661=""),"",IF(E3661="No","Missed",IF(F3661="","",IF(F3661&lt;=Settings!$B$7,"On time","Late"))))</f>
        <v/>
      </c>
      <c r="H3661" s="15"/>
      <c r="I3661" s="16"/>
      <c r="J3661" s="16"/>
      <c r="K3661" s="17" t="str">
        <f>IF(J3661="","",ROUND(J3661*Settings!$B$8,2))</f>
        <v/>
      </c>
      <c r="L3661" s="16"/>
      <c r="M3661" s="8" t="str">
        <f t="shared" si="57"/>
        <v/>
      </c>
      <c r="N3661" s="9"/>
    </row>
    <row r="3662" spans="1:14" ht="15.75">
      <c r="A3662" s="11"/>
      <c r="B3662" s="9"/>
      <c r="C3662" s="12" t="str">
        <f>IF(B3662="","",IFERROR(INDEX('Cashier Roster'!$C$5:$C$64,MATCH(B3662,'Cashier Roster'!$B$5:$B$64,0)),"Not on roster"))</f>
        <v/>
      </c>
      <c r="D3662" s="12" t="str">
        <f>IF(B3662="","",IFERROR(INDEX('Cashier Roster'!$D$5:$D$64,MATCH(B3662,'Cashier Roster'!$B$5:$B$64,0)),""))</f>
        <v/>
      </c>
      <c r="E3662" s="13"/>
      <c r="F3662" s="14"/>
      <c r="G3662" s="8" t="str">
        <f>IF(OR(B3662="",E3662=""),"",IF(E3662="No","Missed",IF(F3662="","",IF(F3662&lt;=Settings!$B$7,"On time","Late"))))</f>
        <v/>
      </c>
      <c r="H3662" s="15"/>
      <c r="I3662" s="16"/>
      <c r="J3662" s="16"/>
      <c r="K3662" s="17" t="str">
        <f>IF(J3662="","",ROUND(J3662*Settings!$B$8,2))</f>
        <v/>
      </c>
      <c r="L3662" s="16"/>
      <c r="M3662" s="8" t="str">
        <f t="shared" si="57"/>
        <v/>
      </c>
      <c r="N3662" s="9"/>
    </row>
    <row r="3663" spans="1:14" ht="15.75">
      <c r="A3663" s="11"/>
      <c r="B3663" s="9"/>
      <c r="C3663" s="12" t="str">
        <f>IF(B3663="","",IFERROR(INDEX('Cashier Roster'!$C$5:$C$64,MATCH(B3663,'Cashier Roster'!$B$5:$B$64,0)),"Not on roster"))</f>
        <v/>
      </c>
      <c r="D3663" s="12" t="str">
        <f>IF(B3663="","",IFERROR(INDEX('Cashier Roster'!$D$5:$D$64,MATCH(B3663,'Cashier Roster'!$B$5:$B$64,0)),""))</f>
        <v/>
      </c>
      <c r="E3663" s="13"/>
      <c r="F3663" s="14"/>
      <c r="G3663" s="8" t="str">
        <f>IF(OR(B3663="",E3663=""),"",IF(E3663="No","Missed",IF(F3663="","",IF(F3663&lt;=Settings!$B$7,"On time","Late"))))</f>
        <v/>
      </c>
      <c r="H3663" s="15"/>
      <c r="I3663" s="16"/>
      <c r="J3663" s="16"/>
      <c r="K3663" s="17" t="str">
        <f>IF(J3663="","",ROUND(J3663*Settings!$B$8,2))</f>
        <v/>
      </c>
      <c r="L3663" s="16"/>
      <c r="M3663" s="8" t="str">
        <f t="shared" si="57"/>
        <v/>
      </c>
      <c r="N3663" s="9"/>
    </row>
    <row r="3664" spans="1:14" ht="15.75">
      <c r="A3664" s="11"/>
      <c r="B3664" s="9"/>
      <c r="C3664" s="12" t="str">
        <f>IF(B3664="","",IFERROR(INDEX('Cashier Roster'!$C$5:$C$64,MATCH(B3664,'Cashier Roster'!$B$5:$B$64,0)),"Not on roster"))</f>
        <v/>
      </c>
      <c r="D3664" s="12" t="str">
        <f>IF(B3664="","",IFERROR(INDEX('Cashier Roster'!$D$5:$D$64,MATCH(B3664,'Cashier Roster'!$B$5:$B$64,0)),""))</f>
        <v/>
      </c>
      <c r="E3664" s="13"/>
      <c r="F3664" s="14"/>
      <c r="G3664" s="8" t="str">
        <f>IF(OR(B3664="",E3664=""),"",IF(E3664="No","Missed",IF(F3664="","",IF(F3664&lt;=Settings!$B$7,"On time","Late"))))</f>
        <v/>
      </c>
      <c r="H3664" s="15"/>
      <c r="I3664" s="16"/>
      <c r="J3664" s="16"/>
      <c r="K3664" s="17" t="str">
        <f>IF(J3664="","",ROUND(J3664*Settings!$B$8,2))</f>
        <v/>
      </c>
      <c r="L3664" s="16"/>
      <c r="M3664" s="8" t="str">
        <f t="shared" si="57"/>
        <v/>
      </c>
      <c r="N3664" s="9"/>
    </row>
    <row r="3665" spans="1:14" ht="15.75">
      <c r="A3665" s="11"/>
      <c r="B3665" s="9"/>
      <c r="C3665" s="12" t="str">
        <f>IF(B3665="","",IFERROR(INDEX('Cashier Roster'!$C$5:$C$64,MATCH(B3665,'Cashier Roster'!$B$5:$B$64,0)),"Not on roster"))</f>
        <v/>
      </c>
      <c r="D3665" s="12" t="str">
        <f>IF(B3665="","",IFERROR(INDEX('Cashier Roster'!$D$5:$D$64,MATCH(B3665,'Cashier Roster'!$B$5:$B$64,0)),""))</f>
        <v/>
      </c>
      <c r="E3665" s="13"/>
      <c r="F3665" s="14"/>
      <c r="G3665" s="8" t="str">
        <f>IF(OR(B3665="",E3665=""),"",IF(E3665="No","Missed",IF(F3665="","",IF(F3665&lt;=Settings!$B$7,"On time","Late"))))</f>
        <v/>
      </c>
      <c r="H3665" s="15"/>
      <c r="I3665" s="16"/>
      <c r="J3665" s="16"/>
      <c r="K3665" s="17" t="str">
        <f>IF(J3665="","",ROUND(J3665*Settings!$B$8,2))</f>
        <v/>
      </c>
      <c r="L3665" s="16"/>
      <c r="M3665" s="8" t="str">
        <f t="shared" si="57"/>
        <v/>
      </c>
      <c r="N3665" s="9"/>
    </row>
    <row r="3666" spans="1:14" ht="15.75">
      <c r="A3666" s="11"/>
      <c r="B3666" s="9"/>
      <c r="C3666" s="12" t="str">
        <f>IF(B3666="","",IFERROR(INDEX('Cashier Roster'!$C$5:$C$64,MATCH(B3666,'Cashier Roster'!$B$5:$B$64,0)),"Not on roster"))</f>
        <v/>
      </c>
      <c r="D3666" s="12" t="str">
        <f>IF(B3666="","",IFERROR(INDEX('Cashier Roster'!$D$5:$D$64,MATCH(B3666,'Cashier Roster'!$B$5:$B$64,0)),""))</f>
        <v/>
      </c>
      <c r="E3666" s="13"/>
      <c r="F3666" s="14"/>
      <c r="G3666" s="8" t="str">
        <f>IF(OR(B3666="",E3666=""),"",IF(E3666="No","Missed",IF(F3666="","",IF(F3666&lt;=Settings!$B$7,"On time","Late"))))</f>
        <v/>
      </c>
      <c r="H3666" s="15"/>
      <c r="I3666" s="16"/>
      <c r="J3666" s="16"/>
      <c r="K3666" s="17" t="str">
        <f>IF(J3666="","",ROUND(J3666*Settings!$B$8,2))</f>
        <v/>
      </c>
      <c r="L3666" s="16"/>
      <c r="M3666" s="8" t="str">
        <f t="shared" si="57"/>
        <v/>
      </c>
      <c r="N3666" s="9"/>
    </row>
    <row r="3667" spans="1:14" ht="15.75">
      <c r="A3667" s="11"/>
      <c r="B3667" s="9"/>
      <c r="C3667" s="12" t="str">
        <f>IF(B3667="","",IFERROR(INDEX('Cashier Roster'!$C$5:$C$64,MATCH(B3667,'Cashier Roster'!$B$5:$B$64,0)),"Not on roster"))</f>
        <v/>
      </c>
      <c r="D3667" s="12" t="str">
        <f>IF(B3667="","",IFERROR(INDEX('Cashier Roster'!$D$5:$D$64,MATCH(B3667,'Cashier Roster'!$B$5:$B$64,0)),""))</f>
        <v/>
      </c>
      <c r="E3667" s="13"/>
      <c r="F3667" s="14"/>
      <c r="G3667" s="8" t="str">
        <f>IF(OR(B3667="",E3667=""),"",IF(E3667="No","Missed",IF(F3667="","",IF(F3667&lt;=Settings!$B$7,"On time","Late"))))</f>
        <v/>
      </c>
      <c r="H3667" s="15"/>
      <c r="I3667" s="16"/>
      <c r="J3667" s="16"/>
      <c r="K3667" s="17" t="str">
        <f>IF(J3667="","",ROUND(J3667*Settings!$B$8,2))</f>
        <v/>
      </c>
      <c r="L3667" s="16"/>
      <c r="M3667" s="8" t="str">
        <f t="shared" si="57"/>
        <v/>
      </c>
      <c r="N3667" s="9"/>
    </row>
    <row r="3668" spans="1:14" ht="15.75">
      <c r="A3668" s="11"/>
      <c r="B3668" s="9"/>
      <c r="C3668" s="12" t="str">
        <f>IF(B3668="","",IFERROR(INDEX('Cashier Roster'!$C$5:$C$64,MATCH(B3668,'Cashier Roster'!$B$5:$B$64,0)),"Not on roster"))</f>
        <v/>
      </c>
      <c r="D3668" s="12" t="str">
        <f>IF(B3668="","",IFERROR(INDEX('Cashier Roster'!$D$5:$D$64,MATCH(B3668,'Cashier Roster'!$B$5:$B$64,0)),""))</f>
        <v/>
      </c>
      <c r="E3668" s="13"/>
      <c r="F3668" s="14"/>
      <c r="G3668" s="8" t="str">
        <f>IF(OR(B3668="",E3668=""),"",IF(E3668="No","Missed",IF(F3668="","",IF(F3668&lt;=Settings!$B$7,"On time","Late"))))</f>
        <v/>
      </c>
      <c r="H3668" s="15"/>
      <c r="I3668" s="16"/>
      <c r="J3668" s="16"/>
      <c r="K3668" s="17" t="str">
        <f>IF(J3668="","",ROUND(J3668*Settings!$B$8,2))</f>
        <v/>
      </c>
      <c r="L3668" s="16"/>
      <c r="M3668" s="8" t="str">
        <f t="shared" si="57"/>
        <v/>
      </c>
      <c r="N3668" s="9"/>
    </row>
    <row r="3669" spans="1:14" ht="15.75">
      <c r="A3669" s="11"/>
      <c r="B3669" s="9"/>
      <c r="C3669" s="12" t="str">
        <f>IF(B3669="","",IFERROR(INDEX('Cashier Roster'!$C$5:$C$64,MATCH(B3669,'Cashier Roster'!$B$5:$B$64,0)),"Not on roster"))</f>
        <v/>
      </c>
      <c r="D3669" s="12" t="str">
        <f>IF(B3669="","",IFERROR(INDEX('Cashier Roster'!$D$5:$D$64,MATCH(B3669,'Cashier Roster'!$B$5:$B$64,0)),""))</f>
        <v/>
      </c>
      <c r="E3669" s="13"/>
      <c r="F3669" s="14"/>
      <c r="G3669" s="8" t="str">
        <f>IF(OR(B3669="",E3669=""),"",IF(E3669="No","Missed",IF(F3669="","",IF(F3669&lt;=Settings!$B$7,"On time","Late"))))</f>
        <v/>
      </c>
      <c r="H3669" s="15"/>
      <c r="I3669" s="16"/>
      <c r="J3669" s="16"/>
      <c r="K3669" s="17" t="str">
        <f>IF(J3669="","",ROUND(J3669*Settings!$B$8,2))</f>
        <v/>
      </c>
      <c r="L3669" s="16"/>
      <c r="M3669" s="8" t="str">
        <f t="shared" si="57"/>
        <v/>
      </c>
      <c r="N3669" s="9"/>
    </row>
    <row r="3670" spans="1:14" ht="15.75">
      <c r="A3670" s="11"/>
      <c r="B3670" s="9"/>
      <c r="C3670" s="12" t="str">
        <f>IF(B3670="","",IFERROR(INDEX('Cashier Roster'!$C$5:$C$64,MATCH(B3670,'Cashier Roster'!$B$5:$B$64,0)),"Not on roster"))</f>
        <v/>
      </c>
      <c r="D3670" s="12" t="str">
        <f>IF(B3670="","",IFERROR(INDEX('Cashier Roster'!$D$5:$D$64,MATCH(B3670,'Cashier Roster'!$B$5:$B$64,0)),""))</f>
        <v/>
      </c>
      <c r="E3670" s="13"/>
      <c r="F3670" s="14"/>
      <c r="G3670" s="8" t="str">
        <f>IF(OR(B3670="",E3670=""),"",IF(E3670="No","Missed",IF(F3670="","",IF(F3670&lt;=Settings!$B$7,"On time","Late"))))</f>
        <v/>
      </c>
      <c r="H3670" s="15"/>
      <c r="I3670" s="16"/>
      <c r="J3670" s="16"/>
      <c r="K3670" s="17" t="str">
        <f>IF(J3670="","",ROUND(J3670*Settings!$B$8,2))</f>
        <v/>
      </c>
      <c r="L3670" s="16"/>
      <c r="M3670" s="8" t="str">
        <f t="shared" si="57"/>
        <v/>
      </c>
      <c r="N3670" s="9"/>
    </row>
    <row r="3671" spans="1:14" ht="15.75">
      <c r="A3671" s="11"/>
      <c r="B3671" s="9"/>
      <c r="C3671" s="12" t="str">
        <f>IF(B3671="","",IFERROR(INDEX('Cashier Roster'!$C$5:$C$64,MATCH(B3671,'Cashier Roster'!$B$5:$B$64,0)),"Not on roster"))</f>
        <v/>
      </c>
      <c r="D3671" s="12" t="str">
        <f>IF(B3671="","",IFERROR(INDEX('Cashier Roster'!$D$5:$D$64,MATCH(B3671,'Cashier Roster'!$B$5:$B$64,0)),""))</f>
        <v/>
      </c>
      <c r="E3671" s="13"/>
      <c r="F3671" s="14"/>
      <c r="G3671" s="8" t="str">
        <f>IF(OR(B3671="",E3671=""),"",IF(E3671="No","Missed",IF(F3671="","",IF(F3671&lt;=Settings!$B$7,"On time","Late"))))</f>
        <v/>
      </c>
      <c r="H3671" s="15"/>
      <c r="I3671" s="16"/>
      <c r="J3671" s="16"/>
      <c r="K3671" s="17" t="str">
        <f>IF(J3671="","",ROUND(J3671*Settings!$B$8,2))</f>
        <v/>
      </c>
      <c r="L3671" s="16"/>
      <c r="M3671" s="8" t="str">
        <f t="shared" si="57"/>
        <v/>
      </c>
      <c r="N3671" s="9"/>
    </row>
    <row r="3672" spans="1:14" ht="15.75">
      <c r="A3672" s="11"/>
      <c r="B3672" s="9"/>
      <c r="C3672" s="12" t="str">
        <f>IF(B3672="","",IFERROR(INDEX('Cashier Roster'!$C$5:$C$64,MATCH(B3672,'Cashier Roster'!$B$5:$B$64,0)),"Not on roster"))</f>
        <v/>
      </c>
      <c r="D3672" s="12" t="str">
        <f>IF(B3672="","",IFERROR(INDEX('Cashier Roster'!$D$5:$D$64,MATCH(B3672,'Cashier Roster'!$B$5:$B$64,0)),""))</f>
        <v/>
      </c>
      <c r="E3672" s="13"/>
      <c r="F3672" s="14"/>
      <c r="G3672" s="8" t="str">
        <f>IF(OR(B3672="",E3672=""),"",IF(E3672="No","Missed",IF(F3672="","",IF(F3672&lt;=Settings!$B$7,"On time","Late"))))</f>
        <v/>
      </c>
      <c r="H3672" s="15"/>
      <c r="I3672" s="16"/>
      <c r="J3672" s="16"/>
      <c r="K3672" s="17" t="str">
        <f>IF(J3672="","",ROUND(J3672*Settings!$B$8,2))</f>
        <v/>
      </c>
      <c r="L3672" s="16"/>
      <c r="M3672" s="8" t="str">
        <f t="shared" si="57"/>
        <v/>
      </c>
      <c r="N3672" s="9"/>
    </row>
    <row r="3673" spans="1:14" ht="15.75">
      <c r="A3673" s="11"/>
      <c r="B3673" s="9"/>
      <c r="C3673" s="12" t="str">
        <f>IF(B3673="","",IFERROR(INDEX('Cashier Roster'!$C$5:$C$64,MATCH(B3673,'Cashier Roster'!$B$5:$B$64,0)),"Not on roster"))</f>
        <v/>
      </c>
      <c r="D3673" s="12" t="str">
        <f>IF(B3673="","",IFERROR(INDEX('Cashier Roster'!$D$5:$D$64,MATCH(B3673,'Cashier Roster'!$B$5:$B$64,0)),""))</f>
        <v/>
      </c>
      <c r="E3673" s="13"/>
      <c r="F3673" s="14"/>
      <c r="G3673" s="8" t="str">
        <f>IF(OR(B3673="",E3673=""),"",IF(E3673="No","Missed",IF(F3673="","",IF(F3673&lt;=Settings!$B$7,"On time","Late"))))</f>
        <v/>
      </c>
      <c r="H3673" s="15"/>
      <c r="I3673" s="16"/>
      <c r="J3673" s="16"/>
      <c r="K3673" s="17" t="str">
        <f>IF(J3673="","",ROUND(J3673*Settings!$B$8,2))</f>
        <v/>
      </c>
      <c r="L3673" s="16"/>
      <c r="M3673" s="8" t="str">
        <f t="shared" si="57"/>
        <v/>
      </c>
      <c r="N3673" s="9"/>
    </row>
    <row r="3674" spans="1:14" ht="15.75">
      <c r="A3674" s="11"/>
      <c r="B3674" s="9"/>
      <c r="C3674" s="12" t="str">
        <f>IF(B3674="","",IFERROR(INDEX('Cashier Roster'!$C$5:$C$64,MATCH(B3674,'Cashier Roster'!$B$5:$B$64,0)),"Not on roster"))</f>
        <v/>
      </c>
      <c r="D3674" s="12" t="str">
        <f>IF(B3674="","",IFERROR(INDEX('Cashier Roster'!$D$5:$D$64,MATCH(B3674,'Cashier Roster'!$B$5:$B$64,0)),""))</f>
        <v/>
      </c>
      <c r="E3674" s="13"/>
      <c r="F3674" s="14"/>
      <c r="G3674" s="8" t="str">
        <f>IF(OR(B3674="",E3674=""),"",IF(E3674="No","Missed",IF(F3674="","",IF(F3674&lt;=Settings!$B$7,"On time","Late"))))</f>
        <v/>
      </c>
      <c r="H3674" s="15"/>
      <c r="I3674" s="16"/>
      <c r="J3674" s="16"/>
      <c r="K3674" s="17" t="str">
        <f>IF(J3674="","",ROUND(J3674*Settings!$B$8,2))</f>
        <v/>
      </c>
      <c r="L3674" s="16"/>
      <c r="M3674" s="8" t="str">
        <f t="shared" si="57"/>
        <v/>
      </c>
      <c r="N3674" s="9"/>
    </row>
    <row r="3675" spans="1:14" ht="15.75">
      <c r="A3675" s="11"/>
      <c r="B3675" s="9"/>
      <c r="C3675" s="12" t="str">
        <f>IF(B3675="","",IFERROR(INDEX('Cashier Roster'!$C$5:$C$64,MATCH(B3675,'Cashier Roster'!$B$5:$B$64,0)),"Not on roster"))</f>
        <v/>
      </c>
      <c r="D3675" s="12" t="str">
        <f>IF(B3675="","",IFERROR(INDEX('Cashier Roster'!$D$5:$D$64,MATCH(B3675,'Cashier Roster'!$B$5:$B$64,0)),""))</f>
        <v/>
      </c>
      <c r="E3675" s="13"/>
      <c r="F3675" s="14"/>
      <c r="G3675" s="8" t="str">
        <f>IF(OR(B3675="",E3675=""),"",IF(E3675="No","Missed",IF(F3675="","",IF(F3675&lt;=Settings!$B$7,"On time","Late"))))</f>
        <v/>
      </c>
      <c r="H3675" s="15"/>
      <c r="I3675" s="16"/>
      <c r="J3675" s="16"/>
      <c r="K3675" s="17" t="str">
        <f>IF(J3675="","",ROUND(J3675*Settings!$B$8,2))</f>
        <v/>
      </c>
      <c r="L3675" s="16"/>
      <c r="M3675" s="8" t="str">
        <f t="shared" si="57"/>
        <v/>
      </c>
      <c r="N3675" s="9"/>
    </row>
    <row r="3676" spans="1:14" ht="15.75">
      <c r="A3676" s="11"/>
      <c r="B3676" s="9"/>
      <c r="C3676" s="12" t="str">
        <f>IF(B3676="","",IFERROR(INDEX('Cashier Roster'!$C$5:$C$64,MATCH(B3676,'Cashier Roster'!$B$5:$B$64,0)),"Not on roster"))</f>
        <v/>
      </c>
      <c r="D3676" s="12" t="str">
        <f>IF(B3676="","",IFERROR(INDEX('Cashier Roster'!$D$5:$D$64,MATCH(B3676,'Cashier Roster'!$B$5:$B$64,0)),""))</f>
        <v/>
      </c>
      <c r="E3676" s="13"/>
      <c r="F3676" s="14"/>
      <c r="G3676" s="8" t="str">
        <f>IF(OR(B3676="",E3676=""),"",IF(E3676="No","Missed",IF(F3676="","",IF(F3676&lt;=Settings!$B$7,"On time","Late"))))</f>
        <v/>
      </c>
      <c r="H3676" s="15"/>
      <c r="I3676" s="16"/>
      <c r="J3676" s="16"/>
      <c r="K3676" s="17" t="str">
        <f>IF(J3676="","",ROUND(J3676*Settings!$B$8,2))</f>
        <v/>
      </c>
      <c r="L3676" s="16"/>
      <c r="M3676" s="8" t="str">
        <f t="shared" si="57"/>
        <v/>
      </c>
      <c r="N3676" s="9"/>
    </row>
    <row r="3677" spans="1:14" ht="15.75">
      <c r="A3677" s="11"/>
      <c r="B3677" s="9"/>
      <c r="C3677" s="12" t="str">
        <f>IF(B3677="","",IFERROR(INDEX('Cashier Roster'!$C$5:$C$64,MATCH(B3677,'Cashier Roster'!$B$5:$B$64,0)),"Not on roster"))</f>
        <v/>
      </c>
      <c r="D3677" s="12" t="str">
        <f>IF(B3677="","",IFERROR(INDEX('Cashier Roster'!$D$5:$D$64,MATCH(B3677,'Cashier Roster'!$B$5:$B$64,0)),""))</f>
        <v/>
      </c>
      <c r="E3677" s="13"/>
      <c r="F3677" s="14"/>
      <c r="G3677" s="8" t="str">
        <f>IF(OR(B3677="",E3677=""),"",IF(E3677="No","Missed",IF(F3677="","",IF(F3677&lt;=Settings!$B$7,"On time","Late"))))</f>
        <v/>
      </c>
      <c r="H3677" s="15"/>
      <c r="I3677" s="16"/>
      <c r="J3677" s="16"/>
      <c r="K3677" s="17" t="str">
        <f>IF(J3677="","",ROUND(J3677*Settings!$B$8,2))</f>
        <v/>
      </c>
      <c r="L3677" s="16"/>
      <c r="M3677" s="8" t="str">
        <f t="shared" si="57"/>
        <v/>
      </c>
      <c r="N3677" s="9"/>
    </row>
    <row r="3678" spans="1:14" ht="15.75">
      <c r="A3678" s="11"/>
      <c r="B3678" s="9"/>
      <c r="C3678" s="12" t="str">
        <f>IF(B3678="","",IFERROR(INDEX('Cashier Roster'!$C$5:$C$64,MATCH(B3678,'Cashier Roster'!$B$5:$B$64,0)),"Not on roster"))</f>
        <v/>
      </c>
      <c r="D3678" s="12" t="str">
        <f>IF(B3678="","",IFERROR(INDEX('Cashier Roster'!$D$5:$D$64,MATCH(B3678,'Cashier Roster'!$B$5:$B$64,0)),""))</f>
        <v/>
      </c>
      <c r="E3678" s="13"/>
      <c r="F3678" s="14"/>
      <c r="G3678" s="8" t="str">
        <f>IF(OR(B3678="",E3678=""),"",IF(E3678="No","Missed",IF(F3678="","",IF(F3678&lt;=Settings!$B$7,"On time","Late"))))</f>
        <v/>
      </c>
      <c r="H3678" s="15"/>
      <c r="I3678" s="16"/>
      <c r="J3678" s="16"/>
      <c r="K3678" s="17" t="str">
        <f>IF(J3678="","",ROUND(J3678*Settings!$B$8,2))</f>
        <v/>
      </c>
      <c r="L3678" s="16"/>
      <c r="M3678" s="8" t="str">
        <f t="shared" si="57"/>
        <v/>
      </c>
      <c r="N3678" s="9"/>
    </row>
    <row r="3679" spans="1:14" ht="15.75">
      <c r="A3679" s="11"/>
      <c r="B3679" s="9"/>
      <c r="C3679" s="12" t="str">
        <f>IF(B3679="","",IFERROR(INDEX('Cashier Roster'!$C$5:$C$64,MATCH(B3679,'Cashier Roster'!$B$5:$B$64,0)),"Not on roster"))</f>
        <v/>
      </c>
      <c r="D3679" s="12" t="str">
        <f>IF(B3679="","",IFERROR(INDEX('Cashier Roster'!$D$5:$D$64,MATCH(B3679,'Cashier Roster'!$B$5:$B$64,0)),""))</f>
        <v/>
      </c>
      <c r="E3679" s="13"/>
      <c r="F3679" s="14"/>
      <c r="G3679" s="8" t="str">
        <f>IF(OR(B3679="",E3679=""),"",IF(E3679="No","Missed",IF(F3679="","",IF(F3679&lt;=Settings!$B$7,"On time","Late"))))</f>
        <v/>
      </c>
      <c r="H3679" s="15"/>
      <c r="I3679" s="16"/>
      <c r="J3679" s="16"/>
      <c r="K3679" s="17" t="str">
        <f>IF(J3679="","",ROUND(J3679*Settings!$B$8,2))</f>
        <v/>
      </c>
      <c r="L3679" s="16"/>
      <c r="M3679" s="8" t="str">
        <f t="shared" si="57"/>
        <v/>
      </c>
      <c r="N3679" s="9"/>
    </row>
    <row r="3680" spans="1:14" ht="15.75">
      <c r="A3680" s="11"/>
      <c r="B3680" s="9"/>
      <c r="C3680" s="12" t="str">
        <f>IF(B3680="","",IFERROR(INDEX('Cashier Roster'!$C$5:$C$64,MATCH(B3680,'Cashier Roster'!$B$5:$B$64,0)),"Not on roster"))</f>
        <v/>
      </c>
      <c r="D3680" s="12" t="str">
        <f>IF(B3680="","",IFERROR(INDEX('Cashier Roster'!$D$5:$D$64,MATCH(B3680,'Cashier Roster'!$B$5:$B$64,0)),""))</f>
        <v/>
      </c>
      <c r="E3680" s="13"/>
      <c r="F3680" s="14"/>
      <c r="G3680" s="8" t="str">
        <f>IF(OR(B3680="",E3680=""),"",IF(E3680="No","Missed",IF(F3680="","",IF(F3680&lt;=Settings!$B$7,"On time","Late"))))</f>
        <v/>
      </c>
      <c r="H3680" s="15"/>
      <c r="I3680" s="16"/>
      <c r="J3680" s="16"/>
      <c r="K3680" s="17" t="str">
        <f>IF(J3680="","",ROUND(J3680*Settings!$B$8,2))</f>
        <v/>
      </c>
      <c r="L3680" s="16"/>
      <c r="M3680" s="8" t="str">
        <f t="shared" si="57"/>
        <v/>
      </c>
      <c r="N3680" s="9"/>
    </row>
    <row r="3681" spans="1:14" ht="15.75">
      <c r="A3681" s="11"/>
      <c r="B3681" s="9"/>
      <c r="C3681" s="12" t="str">
        <f>IF(B3681="","",IFERROR(INDEX('Cashier Roster'!$C$5:$C$64,MATCH(B3681,'Cashier Roster'!$B$5:$B$64,0)),"Not on roster"))</f>
        <v/>
      </c>
      <c r="D3681" s="12" t="str">
        <f>IF(B3681="","",IFERROR(INDEX('Cashier Roster'!$D$5:$D$64,MATCH(B3681,'Cashier Roster'!$B$5:$B$64,0)),""))</f>
        <v/>
      </c>
      <c r="E3681" s="13"/>
      <c r="F3681" s="14"/>
      <c r="G3681" s="8" t="str">
        <f>IF(OR(B3681="",E3681=""),"",IF(E3681="No","Missed",IF(F3681="","",IF(F3681&lt;=Settings!$B$7,"On time","Late"))))</f>
        <v/>
      </c>
      <c r="H3681" s="15"/>
      <c r="I3681" s="16"/>
      <c r="J3681" s="16"/>
      <c r="K3681" s="17" t="str">
        <f>IF(J3681="","",ROUND(J3681*Settings!$B$8,2))</f>
        <v/>
      </c>
      <c r="L3681" s="16"/>
      <c r="M3681" s="8" t="str">
        <f t="shared" si="57"/>
        <v/>
      </c>
      <c r="N3681" s="9"/>
    </row>
    <row r="3682" spans="1:14" ht="15.75">
      <c r="A3682" s="11"/>
      <c r="B3682" s="9"/>
      <c r="C3682" s="12" t="str">
        <f>IF(B3682="","",IFERROR(INDEX('Cashier Roster'!$C$5:$C$64,MATCH(B3682,'Cashier Roster'!$B$5:$B$64,0)),"Not on roster"))</f>
        <v/>
      </c>
      <c r="D3682" s="12" t="str">
        <f>IF(B3682="","",IFERROR(INDEX('Cashier Roster'!$D$5:$D$64,MATCH(B3682,'Cashier Roster'!$B$5:$B$64,0)),""))</f>
        <v/>
      </c>
      <c r="E3682" s="13"/>
      <c r="F3682" s="14"/>
      <c r="G3682" s="8" t="str">
        <f>IF(OR(B3682="",E3682=""),"",IF(E3682="No","Missed",IF(F3682="","",IF(F3682&lt;=Settings!$B$7,"On time","Late"))))</f>
        <v/>
      </c>
      <c r="H3682" s="15"/>
      <c r="I3682" s="16"/>
      <c r="J3682" s="16"/>
      <c r="K3682" s="17" t="str">
        <f>IF(J3682="","",ROUND(J3682*Settings!$B$8,2))</f>
        <v/>
      </c>
      <c r="L3682" s="16"/>
      <c r="M3682" s="8" t="str">
        <f t="shared" si="57"/>
        <v/>
      </c>
      <c r="N3682" s="9"/>
    </row>
    <row r="3683" spans="1:14" ht="15.75">
      <c r="A3683" s="11"/>
      <c r="B3683" s="9"/>
      <c r="C3683" s="12" t="str">
        <f>IF(B3683="","",IFERROR(INDEX('Cashier Roster'!$C$5:$C$64,MATCH(B3683,'Cashier Roster'!$B$5:$B$64,0)),"Not on roster"))</f>
        <v/>
      </c>
      <c r="D3683" s="12" t="str">
        <f>IF(B3683="","",IFERROR(INDEX('Cashier Roster'!$D$5:$D$64,MATCH(B3683,'Cashier Roster'!$B$5:$B$64,0)),""))</f>
        <v/>
      </c>
      <c r="E3683" s="13"/>
      <c r="F3683" s="14"/>
      <c r="G3683" s="8" t="str">
        <f>IF(OR(B3683="",E3683=""),"",IF(E3683="No","Missed",IF(F3683="","",IF(F3683&lt;=Settings!$B$7,"On time","Late"))))</f>
        <v/>
      </c>
      <c r="H3683" s="15"/>
      <c r="I3683" s="16"/>
      <c r="J3683" s="16"/>
      <c r="K3683" s="17" t="str">
        <f>IF(J3683="","",ROUND(J3683*Settings!$B$8,2))</f>
        <v/>
      </c>
      <c r="L3683" s="16"/>
      <c r="M3683" s="8" t="str">
        <f t="shared" si="57"/>
        <v/>
      </c>
      <c r="N3683" s="9"/>
    </row>
    <row r="3684" spans="1:14" ht="15.75">
      <c r="A3684" s="11"/>
      <c r="B3684" s="9"/>
      <c r="C3684" s="12" t="str">
        <f>IF(B3684="","",IFERROR(INDEX('Cashier Roster'!$C$5:$C$64,MATCH(B3684,'Cashier Roster'!$B$5:$B$64,0)),"Not on roster"))</f>
        <v/>
      </c>
      <c r="D3684" s="12" t="str">
        <f>IF(B3684="","",IFERROR(INDEX('Cashier Roster'!$D$5:$D$64,MATCH(B3684,'Cashier Roster'!$B$5:$B$64,0)),""))</f>
        <v/>
      </c>
      <c r="E3684" s="13"/>
      <c r="F3684" s="14"/>
      <c r="G3684" s="8" t="str">
        <f>IF(OR(B3684="",E3684=""),"",IF(E3684="No","Missed",IF(F3684="","",IF(F3684&lt;=Settings!$B$7,"On time","Late"))))</f>
        <v/>
      </c>
      <c r="H3684" s="15"/>
      <c r="I3684" s="16"/>
      <c r="J3684" s="16"/>
      <c r="K3684" s="17" t="str">
        <f>IF(J3684="","",ROUND(J3684*Settings!$B$8,2))</f>
        <v/>
      </c>
      <c r="L3684" s="16"/>
      <c r="M3684" s="8" t="str">
        <f t="shared" si="57"/>
        <v/>
      </c>
      <c r="N3684" s="9"/>
    </row>
    <row r="3685" spans="1:14" ht="15.75">
      <c r="A3685" s="11"/>
      <c r="B3685" s="9"/>
      <c r="C3685" s="12" t="str">
        <f>IF(B3685="","",IFERROR(INDEX('Cashier Roster'!$C$5:$C$64,MATCH(B3685,'Cashier Roster'!$B$5:$B$64,0)),"Not on roster"))</f>
        <v/>
      </c>
      <c r="D3685" s="12" t="str">
        <f>IF(B3685="","",IFERROR(INDEX('Cashier Roster'!$D$5:$D$64,MATCH(B3685,'Cashier Roster'!$B$5:$B$64,0)),""))</f>
        <v/>
      </c>
      <c r="E3685" s="13"/>
      <c r="F3685" s="14"/>
      <c r="G3685" s="8" t="str">
        <f>IF(OR(B3685="",E3685=""),"",IF(E3685="No","Missed",IF(F3685="","",IF(F3685&lt;=Settings!$B$7,"On time","Late"))))</f>
        <v/>
      </c>
      <c r="H3685" s="15"/>
      <c r="I3685" s="16"/>
      <c r="J3685" s="16"/>
      <c r="K3685" s="17" t="str">
        <f>IF(J3685="","",ROUND(J3685*Settings!$B$8,2))</f>
        <v/>
      </c>
      <c r="L3685" s="16"/>
      <c r="M3685" s="8" t="str">
        <f t="shared" si="57"/>
        <v/>
      </c>
      <c r="N3685" s="9"/>
    </row>
    <row r="3686" spans="1:14" ht="15.75">
      <c r="A3686" s="11"/>
      <c r="B3686" s="9"/>
      <c r="C3686" s="12" t="str">
        <f>IF(B3686="","",IFERROR(INDEX('Cashier Roster'!$C$5:$C$64,MATCH(B3686,'Cashier Roster'!$B$5:$B$64,0)),"Not on roster"))</f>
        <v/>
      </c>
      <c r="D3686" s="12" t="str">
        <f>IF(B3686="","",IFERROR(INDEX('Cashier Roster'!$D$5:$D$64,MATCH(B3686,'Cashier Roster'!$B$5:$B$64,0)),""))</f>
        <v/>
      </c>
      <c r="E3686" s="13"/>
      <c r="F3686" s="14"/>
      <c r="G3686" s="8" t="str">
        <f>IF(OR(B3686="",E3686=""),"",IF(E3686="No","Missed",IF(F3686="","",IF(F3686&lt;=Settings!$B$7,"On time","Late"))))</f>
        <v/>
      </c>
      <c r="H3686" s="15"/>
      <c r="I3686" s="16"/>
      <c r="J3686" s="16"/>
      <c r="K3686" s="17" t="str">
        <f>IF(J3686="","",ROUND(J3686*Settings!$B$8,2))</f>
        <v/>
      </c>
      <c r="L3686" s="16"/>
      <c r="M3686" s="8" t="str">
        <f t="shared" si="57"/>
        <v/>
      </c>
      <c r="N3686" s="9"/>
    </row>
    <row r="3687" spans="1:14" ht="15.75">
      <c r="A3687" s="11"/>
      <c r="B3687" s="9"/>
      <c r="C3687" s="12" t="str">
        <f>IF(B3687="","",IFERROR(INDEX('Cashier Roster'!$C$5:$C$64,MATCH(B3687,'Cashier Roster'!$B$5:$B$64,0)),"Not on roster"))</f>
        <v/>
      </c>
      <c r="D3687" s="12" t="str">
        <f>IF(B3687="","",IFERROR(INDEX('Cashier Roster'!$D$5:$D$64,MATCH(B3687,'Cashier Roster'!$B$5:$B$64,0)),""))</f>
        <v/>
      </c>
      <c r="E3687" s="13"/>
      <c r="F3687" s="14"/>
      <c r="G3687" s="8" t="str">
        <f>IF(OR(B3687="",E3687=""),"",IF(E3687="No","Missed",IF(F3687="","",IF(F3687&lt;=Settings!$B$7,"On time","Late"))))</f>
        <v/>
      </c>
      <c r="H3687" s="15"/>
      <c r="I3687" s="16"/>
      <c r="J3687" s="16"/>
      <c r="K3687" s="17" t="str">
        <f>IF(J3687="","",ROUND(J3687*Settings!$B$8,2))</f>
        <v/>
      </c>
      <c r="L3687" s="16"/>
      <c r="M3687" s="8" t="str">
        <f t="shared" si="57"/>
        <v/>
      </c>
      <c r="N3687" s="9"/>
    </row>
    <row r="3688" spans="1:14" ht="15.75">
      <c r="A3688" s="11"/>
      <c r="B3688" s="9"/>
      <c r="C3688" s="12" t="str">
        <f>IF(B3688="","",IFERROR(INDEX('Cashier Roster'!$C$5:$C$64,MATCH(B3688,'Cashier Roster'!$B$5:$B$64,0)),"Not on roster"))</f>
        <v/>
      </c>
      <c r="D3688" s="12" t="str">
        <f>IF(B3688="","",IFERROR(INDEX('Cashier Roster'!$D$5:$D$64,MATCH(B3688,'Cashier Roster'!$B$5:$B$64,0)),""))</f>
        <v/>
      </c>
      <c r="E3688" s="13"/>
      <c r="F3688" s="14"/>
      <c r="G3688" s="8" t="str">
        <f>IF(OR(B3688="",E3688=""),"",IF(E3688="No","Missed",IF(F3688="","",IF(F3688&lt;=Settings!$B$7,"On time","Late"))))</f>
        <v/>
      </c>
      <c r="H3688" s="15"/>
      <c r="I3688" s="16"/>
      <c r="J3688" s="16"/>
      <c r="K3688" s="17" t="str">
        <f>IF(J3688="","",ROUND(J3688*Settings!$B$8,2))</f>
        <v/>
      </c>
      <c r="L3688" s="16"/>
      <c r="M3688" s="8" t="str">
        <f t="shared" si="57"/>
        <v/>
      </c>
      <c r="N3688" s="9"/>
    </row>
    <row r="3689" spans="1:14" ht="15.75">
      <c r="A3689" s="11"/>
      <c r="B3689" s="9"/>
      <c r="C3689" s="12" t="str">
        <f>IF(B3689="","",IFERROR(INDEX('Cashier Roster'!$C$5:$C$64,MATCH(B3689,'Cashier Roster'!$B$5:$B$64,0)),"Not on roster"))</f>
        <v/>
      </c>
      <c r="D3689" s="12" t="str">
        <f>IF(B3689="","",IFERROR(INDEX('Cashier Roster'!$D$5:$D$64,MATCH(B3689,'Cashier Roster'!$B$5:$B$64,0)),""))</f>
        <v/>
      </c>
      <c r="E3689" s="13"/>
      <c r="F3689" s="14"/>
      <c r="G3689" s="8" t="str">
        <f>IF(OR(B3689="",E3689=""),"",IF(E3689="No","Missed",IF(F3689="","",IF(F3689&lt;=Settings!$B$7,"On time","Late"))))</f>
        <v/>
      </c>
      <c r="H3689" s="15"/>
      <c r="I3689" s="16"/>
      <c r="J3689" s="16"/>
      <c r="K3689" s="17" t="str">
        <f>IF(J3689="","",ROUND(J3689*Settings!$B$8,2))</f>
        <v/>
      </c>
      <c r="L3689" s="16"/>
      <c r="M3689" s="8" t="str">
        <f t="shared" si="57"/>
        <v/>
      </c>
      <c r="N3689" s="9"/>
    </row>
    <row r="3690" spans="1:14" ht="15.75">
      <c r="A3690" s="11"/>
      <c r="B3690" s="9"/>
      <c r="C3690" s="12" t="str">
        <f>IF(B3690="","",IFERROR(INDEX('Cashier Roster'!$C$5:$C$64,MATCH(B3690,'Cashier Roster'!$B$5:$B$64,0)),"Not on roster"))</f>
        <v/>
      </c>
      <c r="D3690" s="12" t="str">
        <f>IF(B3690="","",IFERROR(INDEX('Cashier Roster'!$D$5:$D$64,MATCH(B3690,'Cashier Roster'!$B$5:$B$64,0)),""))</f>
        <v/>
      </c>
      <c r="E3690" s="13"/>
      <c r="F3690" s="14"/>
      <c r="G3690" s="8" t="str">
        <f>IF(OR(B3690="",E3690=""),"",IF(E3690="No","Missed",IF(F3690="","",IF(F3690&lt;=Settings!$B$7,"On time","Late"))))</f>
        <v/>
      </c>
      <c r="H3690" s="15"/>
      <c r="I3690" s="16"/>
      <c r="J3690" s="16"/>
      <c r="K3690" s="17" t="str">
        <f>IF(J3690="","",ROUND(J3690*Settings!$B$8,2))</f>
        <v/>
      </c>
      <c r="L3690" s="16"/>
      <c r="M3690" s="8" t="str">
        <f t="shared" si="57"/>
        <v/>
      </c>
      <c r="N3690" s="9"/>
    </row>
    <row r="3691" spans="1:14" ht="15.75">
      <c r="A3691" s="11"/>
      <c r="B3691" s="9"/>
      <c r="C3691" s="12" t="str">
        <f>IF(B3691="","",IFERROR(INDEX('Cashier Roster'!$C$5:$C$64,MATCH(B3691,'Cashier Roster'!$B$5:$B$64,0)),"Not on roster"))</f>
        <v/>
      </c>
      <c r="D3691" s="12" t="str">
        <f>IF(B3691="","",IFERROR(INDEX('Cashier Roster'!$D$5:$D$64,MATCH(B3691,'Cashier Roster'!$B$5:$B$64,0)),""))</f>
        <v/>
      </c>
      <c r="E3691" s="13"/>
      <c r="F3691" s="14"/>
      <c r="G3691" s="8" t="str">
        <f>IF(OR(B3691="",E3691=""),"",IF(E3691="No","Missed",IF(F3691="","",IF(F3691&lt;=Settings!$B$7,"On time","Late"))))</f>
        <v/>
      </c>
      <c r="H3691" s="15"/>
      <c r="I3691" s="16"/>
      <c r="J3691" s="16"/>
      <c r="K3691" s="17" t="str">
        <f>IF(J3691="","",ROUND(J3691*Settings!$B$8,2))</f>
        <v/>
      </c>
      <c r="L3691" s="16"/>
      <c r="M3691" s="8" t="str">
        <f t="shared" si="57"/>
        <v/>
      </c>
      <c r="N3691" s="9"/>
    </row>
    <row r="3692" spans="1:14" ht="15.75">
      <c r="A3692" s="11"/>
      <c r="B3692" s="9"/>
      <c r="C3692" s="12" t="str">
        <f>IF(B3692="","",IFERROR(INDEX('Cashier Roster'!$C$5:$C$64,MATCH(B3692,'Cashier Roster'!$B$5:$B$64,0)),"Not on roster"))</f>
        <v/>
      </c>
      <c r="D3692" s="12" t="str">
        <f>IF(B3692="","",IFERROR(INDEX('Cashier Roster'!$D$5:$D$64,MATCH(B3692,'Cashier Roster'!$B$5:$B$64,0)),""))</f>
        <v/>
      </c>
      <c r="E3692" s="13"/>
      <c r="F3692" s="14"/>
      <c r="G3692" s="8" t="str">
        <f>IF(OR(B3692="",E3692=""),"",IF(E3692="No","Missed",IF(F3692="","",IF(F3692&lt;=Settings!$B$7,"On time","Late"))))</f>
        <v/>
      </c>
      <c r="H3692" s="15"/>
      <c r="I3692" s="16"/>
      <c r="J3692" s="16"/>
      <c r="K3692" s="17" t="str">
        <f>IF(J3692="","",ROUND(J3692*Settings!$B$8,2))</f>
        <v/>
      </c>
      <c r="L3692" s="16"/>
      <c r="M3692" s="8" t="str">
        <f t="shared" si="57"/>
        <v/>
      </c>
      <c r="N3692" s="9"/>
    </row>
    <row r="3693" spans="1:14" ht="15.75">
      <c r="A3693" s="11"/>
      <c r="B3693" s="9"/>
      <c r="C3693" s="12" t="str">
        <f>IF(B3693="","",IFERROR(INDEX('Cashier Roster'!$C$5:$C$64,MATCH(B3693,'Cashier Roster'!$B$5:$B$64,0)),"Not on roster"))</f>
        <v/>
      </c>
      <c r="D3693" s="12" t="str">
        <f>IF(B3693="","",IFERROR(INDEX('Cashier Roster'!$D$5:$D$64,MATCH(B3693,'Cashier Roster'!$B$5:$B$64,0)),""))</f>
        <v/>
      </c>
      <c r="E3693" s="13"/>
      <c r="F3693" s="14"/>
      <c r="G3693" s="8" t="str">
        <f>IF(OR(B3693="",E3693=""),"",IF(E3693="No","Missed",IF(F3693="","",IF(F3693&lt;=Settings!$B$7,"On time","Late"))))</f>
        <v/>
      </c>
      <c r="H3693" s="15"/>
      <c r="I3693" s="16"/>
      <c r="J3693" s="16"/>
      <c r="K3693" s="17" t="str">
        <f>IF(J3693="","",ROUND(J3693*Settings!$B$8,2))</f>
        <v/>
      </c>
      <c r="L3693" s="16"/>
      <c r="M3693" s="8" t="str">
        <f t="shared" si="57"/>
        <v/>
      </c>
      <c r="N3693" s="9"/>
    </row>
    <row r="3694" spans="1:14" ht="15.75">
      <c r="A3694" s="11"/>
      <c r="B3694" s="9"/>
      <c r="C3694" s="12" t="str">
        <f>IF(B3694="","",IFERROR(INDEX('Cashier Roster'!$C$5:$C$64,MATCH(B3694,'Cashier Roster'!$B$5:$B$64,0)),"Not on roster"))</f>
        <v/>
      </c>
      <c r="D3694" s="12" t="str">
        <f>IF(B3694="","",IFERROR(INDEX('Cashier Roster'!$D$5:$D$64,MATCH(B3694,'Cashier Roster'!$B$5:$B$64,0)),""))</f>
        <v/>
      </c>
      <c r="E3694" s="13"/>
      <c r="F3694" s="14"/>
      <c r="G3694" s="8" t="str">
        <f>IF(OR(B3694="",E3694=""),"",IF(E3694="No","Missed",IF(F3694="","",IF(F3694&lt;=Settings!$B$7,"On time","Late"))))</f>
        <v/>
      </c>
      <c r="H3694" s="15"/>
      <c r="I3694" s="16"/>
      <c r="J3694" s="16"/>
      <c r="K3694" s="17" t="str">
        <f>IF(J3694="","",ROUND(J3694*Settings!$B$8,2))</f>
        <v/>
      </c>
      <c r="L3694" s="16"/>
      <c r="M3694" s="8" t="str">
        <f t="shared" si="57"/>
        <v/>
      </c>
      <c r="N3694" s="9"/>
    </row>
    <row r="3695" spans="1:14" ht="15.75">
      <c r="A3695" s="11"/>
      <c r="B3695" s="9"/>
      <c r="C3695" s="12" t="str">
        <f>IF(B3695="","",IFERROR(INDEX('Cashier Roster'!$C$5:$C$64,MATCH(B3695,'Cashier Roster'!$B$5:$B$64,0)),"Not on roster"))</f>
        <v/>
      </c>
      <c r="D3695" s="12" t="str">
        <f>IF(B3695="","",IFERROR(INDEX('Cashier Roster'!$D$5:$D$64,MATCH(B3695,'Cashier Roster'!$B$5:$B$64,0)),""))</f>
        <v/>
      </c>
      <c r="E3695" s="13"/>
      <c r="F3695" s="14"/>
      <c r="G3695" s="8" t="str">
        <f>IF(OR(B3695="",E3695=""),"",IF(E3695="No","Missed",IF(F3695="","",IF(F3695&lt;=Settings!$B$7,"On time","Late"))))</f>
        <v/>
      </c>
      <c r="H3695" s="15"/>
      <c r="I3695" s="16"/>
      <c r="J3695" s="16"/>
      <c r="K3695" s="17" t="str">
        <f>IF(J3695="","",ROUND(J3695*Settings!$B$8,2))</f>
        <v/>
      </c>
      <c r="L3695" s="16"/>
      <c r="M3695" s="8" t="str">
        <f t="shared" si="57"/>
        <v/>
      </c>
      <c r="N3695" s="9"/>
    </row>
    <row r="3696" spans="1:14" ht="15.75">
      <c r="A3696" s="11"/>
      <c r="B3696" s="9"/>
      <c r="C3696" s="12" t="str">
        <f>IF(B3696="","",IFERROR(INDEX('Cashier Roster'!$C$5:$C$64,MATCH(B3696,'Cashier Roster'!$B$5:$B$64,0)),"Not on roster"))</f>
        <v/>
      </c>
      <c r="D3696" s="12" t="str">
        <f>IF(B3696="","",IFERROR(INDEX('Cashier Roster'!$D$5:$D$64,MATCH(B3696,'Cashier Roster'!$B$5:$B$64,0)),""))</f>
        <v/>
      </c>
      <c r="E3696" s="13"/>
      <c r="F3696" s="14"/>
      <c r="G3696" s="8" t="str">
        <f>IF(OR(B3696="",E3696=""),"",IF(E3696="No","Missed",IF(F3696="","",IF(F3696&lt;=Settings!$B$7,"On time","Late"))))</f>
        <v/>
      </c>
      <c r="H3696" s="15"/>
      <c r="I3696" s="16"/>
      <c r="J3696" s="16"/>
      <c r="K3696" s="17" t="str">
        <f>IF(J3696="","",ROUND(J3696*Settings!$B$8,2))</f>
        <v/>
      </c>
      <c r="L3696" s="16"/>
      <c r="M3696" s="8" t="str">
        <f t="shared" si="57"/>
        <v/>
      </c>
      <c r="N3696" s="9"/>
    </row>
    <row r="3697" spans="1:14" ht="15.75">
      <c r="A3697" s="11"/>
      <c r="B3697" s="9"/>
      <c r="C3697" s="12" t="str">
        <f>IF(B3697="","",IFERROR(INDEX('Cashier Roster'!$C$5:$C$64,MATCH(B3697,'Cashier Roster'!$B$5:$B$64,0)),"Not on roster"))</f>
        <v/>
      </c>
      <c r="D3697" s="12" t="str">
        <f>IF(B3697="","",IFERROR(INDEX('Cashier Roster'!$D$5:$D$64,MATCH(B3697,'Cashier Roster'!$B$5:$B$64,0)),""))</f>
        <v/>
      </c>
      <c r="E3697" s="13"/>
      <c r="F3697" s="14"/>
      <c r="G3697" s="8" t="str">
        <f>IF(OR(B3697="",E3697=""),"",IF(E3697="No","Missed",IF(F3697="","",IF(F3697&lt;=Settings!$B$7,"On time","Late"))))</f>
        <v/>
      </c>
      <c r="H3697" s="15"/>
      <c r="I3697" s="16"/>
      <c r="J3697" s="16"/>
      <c r="K3697" s="17" t="str">
        <f>IF(J3697="","",ROUND(J3697*Settings!$B$8,2))</f>
        <v/>
      </c>
      <c r="L3697" s="16"/>
      <c r="M3697" s="8" t="str">
        <f t="shared" si="57"/>
        <v/>
      </c>
      <c r="N3697" s="9"/>
    </row>
    <row r="3698" spans="1:14" ht="15.75">
      <c r="A3698" s="11"/>
      <c r="B3698" s="9"/>
      <c r="C3698" s="12" t="str">
        <f>IF(B3698="","",IFERROR(INDEX('Cashier Roster'!$C$5:$C$64,MATCH(B3698,'Cashier Roster'!$B$5:$B$64,0)),"Not on roster"))</f>
        <v/>
      </c>
      <c r="D3698" s="12" t="str">
        <f>IF(B3698="","",IFERROR(INDEX('Cashier Roster'!$D$5:$D$64,MATCH(B3698,'Cashier Roster'!$B$5:$B$64,0)),""))</f>
        <v/>
      </c>
      <c r="E3698" s="13"/>
      <c r="F3698" s="14"/>
      <c r="G3698" s="8" t="str">
        <f>IF(OR(B3698="",E3698=""),"",IF(E3698="No","Missed",IF(F3698="","",IF(F3698&lt;=Settings!$B$7,"On time","Late"))))</f>
        <v/>
      </c>
      <c r="H3698" s="15"/>
      <c r="I3698" s="16"/>
      <c r="J3698" s="16"/>
      <c r="K3698" s="17" t="str">
        <f>IF(J3698="","",ROUND(J3698*Settings!$B$8,2))</f>
        <v/>
      </c>
      <c r="L3698" s="16"/>
      <c r="M3698" s="8" t="str">
        <f t="shared" si="57"/>
        <v/>
      </c>
      <c r="N3698" s="9"/>
    </row>
    <row r="3699" spans="1:14" ht="15.75">
      <c r="A3699" s="11"/>
      <c r="B3699" s="9"/>
      <c r="C3699" s="12" t="str">
        <f>IF(B3699="","",IFERROR(INDEX('Cashier Roster'!$C$5:$C$64,MATCH(B3699,'Cashier Roster'!$B$5:$B$64,0)),"Not on roster"))</f>
        <v/>
      </c>
      <c r="D3699" s="12" t="str">
        <f>IF(B3699="","",IFERROR(INDEX('Cashier Roster'!$D$5:$D$64,MATCH(B3699,'Cashier Roster'!$B$5:$B$64,0)),""))</f>
        <v/>
      </c>
      <c r="E3699" s="13"/>
      <c r="F3699" s="14"/>
      <c r="G3699" s="8" t="str">
        <f>IF(OR(B3699="",E3699=""),"",IF(E3699="No","Missed",IF(F3699="","",IF(F3699&lt;=Settings!$B$7,"On time","Late"))))</f>
        <v/>
      </c>
      <c r="H3699" s="15"/>
      <c r="I3699" s="16"/>
      <c r="J3699" s="16"/>
      <c r="K3699" s="17" t="str">
        <f>IF(J3699="","",ROUND(J3699*Settings!$B$8,2))</f>
        <v/>
      </c>
      <c r="L3699" s="16"/>
      <c r="M3699" s="8" t="str">
        <f t="shared" si="57"/>
        <v/>
      </c>
      <c r="N3699" s="9"/>
    </row>
    <row r="3700" spans="1:14" ht="15.75">
      <c r="A3700" s="11"/>
      <c r="B3700" s="9"/>
      <c r="C3700" s="12" t="str">
        <f>IF(B3700="","",IFERROR(INDEX('Cashier Roster'!$C$5:$C$64,MATCH(B3700,'Cashier Roster'!$B$5:$B$64,0)),"Not on roster"))</f>
        <v/>
      </c>
      <c r="D3700" s="12" t="str">
        <f>IF(B3700="","",IFERROR(INDEX('Cashier Roster'!$D$5:$D$64,MATCH(B3700,'Cashier Roster'!$B$5:$B$64,0)),""))</f>
        <v/>
      </c>
      <c r="E3700" s="13"/>
      <c r="F3700" s="14"/>
      <c r="G3700" s="8" t="str">
        <f>IF(OR(B3700="",E3700=""),"",IF(E3700="No","Missed",IF(F3700="","",IF(F3700&lt;=Settings!$B$7,"On time","Late"))))</f>
        <v/>
      </c>
      <c r="H3700" s="15"/>
      <c r="I3700" s="16"/>
      <c r="J3700" s="16"/>
      <c r="K3700" s="17" t="str">
        <f>IF(J3700="","",ROUND(J3700*Settings!$B$8,2))</f>
        <v/>
      </c>
      <c r="L3700" s="16"/>
      <c r="M3700" s="8" t="str">
        <f t="shared" si="57"/>
        <v/>
      </c>
      <c r="N3700" s="9"/>
    </row>
    <row r="3701" spans="1:14" ht="15.75">
      <c r="A3701" s="11"/>
      <c r="B3701" s="9"/>
      <c r="C3701" s="12" t="str">
        <f>IF(B3701="","",IFERROR(INDEX('Cashier Roster'!$C$5:$C$64,MATCH(B3701,'Cashier Roster'!$B$5:$B$64,0)),"Not on roster"))</f>
        <v/>
      </c>
      <c r="D3701" s="12" t="str">
        <f>IF(B3701="","",IFERROR(INDEX('Cashier Roster'!$D$5:$D$64,MATCH(B3701,'Cashier Roster'!$B$5:$B$64,0)),""))</f>
        <v/>
      </c>
      <c r="E3701" s="13"/>
      <c r="F3701" s="14"/>
      <c r="G3701" s="8" t="str">
        <f>IF(OR(B3701="",E3701=""),"",IF(E3701="No","Missed",IF(F3701="","",IF(F3701&lt;=Settings!$B$7,"On time","Late"))))</f>
        <v/>
      </c>
      <c r="H3701" s="15"/>
      <c r="I3701" s="16"/>
      <c r="J3701" s="16"/>
      <c r="K3701" s="17" t="str">
        <f>IF(J3701="","",ROUND(J3701*Settings!$B$8,2))</f>
        <v/>
      </c>
      <c r="L3701" s="16"/>
      <c r="M3701" s="8" t="str">
        <f t="shared" si="57"/>
        <v/>
      </c>
      <c r="N3701" s="9"/>
    </row>
    <row r="3702" spans="1:14" ht="15.75">
      <c r="A3702" s="11"/>
      <c r="B3702" s="9"/>
      <c r="C3702" s="12" t="str">
        <f>IF(B3702="","",IFERROR(INDEX('Cashier Roster'!$C$5:$C$64,MATCH(B3702,'Cashier Roster'!$B$5:$B$64,0)),"Not on roster"))</f>
        <v/>
      </c>
      <c r="D3702" s="12" t="str">
        <f>IF(B3702="","",IFERROR(INDEX('Cashier Roster'!$D$5:$D$64,MATCH(B3702,'Cashier Roster'!$B$5:$B$64,0)),""))</f>
        <v/>
      </c>
      <c r="E3702" s="13"/>
      <c r="F3702" s="14"/>
      <c r="G3702" s="8" t="str">
        <f>IF(OR(B3702="",E3702=""),"",IF(E3702="No","Missed",IF(F3702="","",IF(F3702&lt;=Settings!$B$7,"On time","Late"))))</f>
        <v/>
      </c>
      <c r="H3702" s="15"/>
      <c r="I3702" s="16"/>
      <c r="J3702" s="16"/>
      <c r="K3702" s="17" t="str">
        <f>IF(J3702="","",ROUND(J3702*Settings!$B$8,2))</f>
        <v/>
      </c>
      <c r="L3702" s="16"/>
      <c r="M3702" s="8" t="str">
        <f t="shared" si="57"/>
        <v/>
      </c>
      <c r="N3702" s="9"/>
    </row>
    <row r="3703" spans="1:14" ht="15.75">
      <c r="A3703" s="11"/>
      <c r="B3703" s="9"/>
      <c r="C3703" s="12" t="str">
        <f>IF(B3703="","",IFERROR(INDEX('Cashier Roster'!$C$5:$C$64,MATCH(B3703,'Cashier Roster'!$B$5:$B$64,0)),"Not on roster"))</f>
        <v/>
      </c>
      <c r="D3703" s="12" t="str">
        <f>IF(B3703="","",IFERROR(INDEX('Cashier Roster'!$D$5:$D$64,MATCH(B3703,'Cashier Roster'!$B$5:$B$64,0)),""))</f>
        <v/>
      </c>
      <c r="E3703" s="13"/>
      <c r="F3703" s="14"/>
      <c r="G3703" s="8" t="str">
        <f>IF(OR(B3703="",E3703=""),"",IF(E3703="No","Missed",IF(F3703="","",IF(F3703&lt;=Settings!$B$7,"On time","Late"))))</f>
        <v/>
      </c>
      <c r="H3703" s="15"/>
      <c r="I3703" s="16"/>
      <c r="J3703" s="16"/>
      <c r="K3703" s="17" t="str">
        <f>IF(J3703="","",ROUND(J3703*Settings!$B$8,2))</f>
        <v/>
      </c>
      <c r="L3703" s="16"/>
      <c r="M3703" s="8" t="str">
        <f t="shared" si="57"/>
        <v/>
      </c>
      <c r="N3703" s="9"/>
    </row>
    <row r="3704" spans="1:14" ht="15.75">
      <c r="A3704" s="11"/>
      <c r="B3704" s="9"/>
      <c r="C3704" s="12" t="str">
        <f>IF(B3704="","",IFERROR(INDEX('Cashier Roster'!$C$5:$C$64,MATCH(B3704,'Cashier Roster'!$B$5:$B$64,0)),"Not on roster"))</f>
        <v/>
      </c>
      <c r="D3704" s="12" t="str">
        <f>IF(B3704="","",IFERROR(INDEX('Cashier Roster'!$D$5:$D$64,MATCH(B3704,'Cashier Roster'!$B$5:$B$64,0)),""))</f>
        <v/>
      </c>
      <c r="E3704" s="13"/>
      <c r="F3704" s="14"/>
      <c r="G3704" s="8" t="str">
        <f>IF(OR(B3704="",E3704=""),"",IF(E3704="No","Missed",IF(F3704="","",IF(F3704&lt;=Settings!$B$7,"On time","Late"))))</f>
        <v/>
      </c>
      <c r="H3704" s="15"/>
      <c r="I3704" s="16"/>
      <c r="J3704" s="16"/>
      <c r="K3704" s="17" t="str">
        <f>IF(J3704="","",ROUND(J3704*Settings!$B$8,2))</f>
        <v/>
      </c>
      <c r="L3704" s="16"/>
      <c r="M3704" s="8" t="str">
        <f t="shared" si="57"/>
        <v/>
      </c>
      <c r="N3704" s="9"/>
    </row>
    <row r="3705" spans="1:14" ht="15.75">
      <c r="A3705" s="11"/>
      <c r="B3705" s="9"/>
      <c r="C3705" s="12" t="str">
        <f>IF(B3705="","",IFERROR(INDEX('Cashier Roster'!$C$5:$C$64,MATCH(B3705,'Cashier Roster'!$B$5:$B$64,0)),"Not on roster"))</f>
        <v/>
      </c>
      <c r="D3705" s="12" t="str">
        <f>IF(B3705="","",IFERROR(INDEX('Cashier Roster'!$D$5:$D$64,MATCH(B3705,'Cashier Roster'!$B$5:$B$64,0)),""))</f>
        <v/>
      </c>
      <c r="E3705" s="13"/>
      <c r="F3705" s="14"/>
      <c r="G3705" s="8" t="str">
        <f>IF(OR(B3705="",E3705=""),"",IF(E3705="No","Missed",IF(F3705="","",IF(F3705&lt;=Settings!$B$7,"On time","Late"))))</f>
        <v/>
      </c>
      <c r="H3705" s="15"/>
      <c r="I3705" s="16"/>
      <c r="J3705" s="16"/>
      <c r="K3705" s="17" t="str">
        <f>IF(J3705="","",ROUND(J3705*Settings!$B$8,2))</f>
        <v/>
      </c>
      <c r="L3705" s="16"/>
      <c r="M3705" s="8" t="str">
        <f t="shared" si="57"/>
        <v/>
      </c>
      <c r="N3705" s="9"/>
    </row>
    <row r="3706" spans="1:14" ht="15.75">
      <c r="A3706" s="11"/>
      <c r="B3706" s="9"/>
      <c r="C3706" s="12" t="str">
        <f>IF(B3706="","",IFERROR(INDEX('Cashier Roster'!$C$5:$C$64,MATCH(B3706,'Cashier Roster'!$B$5:$B$64,0)),"Not on roster"))</f>
        <v/>
      </c>
      <c r="D3706" s="12" t="str">
        <f>IF(B3706="","",IFERROR(INDEX('Cashier Roster'!$D$5:$D$64,MATCH(B3706,'Cashier Roster'!$B$5:$B$64,0)),""))</f>
        <v/>
      </c>
      <c r="E3706" s="13"/>
      <c r="F3706" s="14"/>
      <c r="G3706" s="8" t="str">
        <f>IF(OR(B3706="",E3706=""),"",IF(E3706="No","Missed",IF(F3706="","",IF(F3706&lt;=Settings!$B$7,"On time","Late"))))</f>
        <v/>
      </c>
      <c r="H3706" s="15"/>
      <c r="I3706" s="16"/>
      <c r="J3706" s="16"/>
      <c r="K3706" s="17" t="str">
        <f>IF(J3706="","",ROUND(J3706*Settings!$B$8,2))</f>
        <v/>
      </c>
      <c r="L3706" s="16"/>
      <c r="M3706" s="8" t="str">
        <f t="shared" si="57"/>
        <v/>
      </c>
      <c r="N3706" s="9"/>
    </row>
    <row r="3707" spans="1:14" ht="15.75">
      <c r="A3707" s="11"/>
      <c r="B3707" s="9"/>
      <c r="C3707" s="12" t="str">
        <f>IF(B3707="","",IFERROR(INDEX('Cashier Roster'!$C$5:$C$64,MATCH(B3707,'Cashier Roster'!$B$5:$B$64,0)),"Not on roster"))</f>
        <v/>
      </c>
      <c r="D3707" s="12" t="str">
        <f>IF(B3707="","",IFERROR(INDEX('Cashier Roster'!$D$5:$D$64,MATCH(B3707,'Cashier Roster'!$B$5:$B$64,0)),""))</f>
        <v/>
      </c>
      <c r="E3707" s="13"/>
      <c r="F3707" s="14"/>
      <c r="G3707" s="8" t="str">
        <f>IF(OR(B3707="",E3707=""),"",IF(E3707="No","Missed",IF(F3707="","",IF(F3707&lt;=Settings!$B$7,"On time","Late"))))</f>
        <v/>
      </c>
      <c r="H3707" s="15"/>
      <c r="I3707" s="16"/>
      <c r="J3707" s="16"/>
      <c r="K3707" s="17" t="str">
        <f>IF(J3707="","",ROUND(J3707*Settings!$B$8,2))</f>
        <v/>
      </c>
      <c r="L3707" s="16"/>
      <c r="M3707" s="8" t="str">
        <f t="shared" si="57"/>
        <v/>
      </c>
      <c r="N3707" s="9"/>
    </row>
    <row r="3708" spans="1:14" ht="15.75">
      <c r="A3708" s="11"/>
      <c r="B3708" s="9"/>
      <c r="C3708" s="12" t="str">
        <f>IF(B3708="","",IFERROR(INDEX('Cashier Roster'!$C$5:$C$64,MATCH(B3708,'Cashier Roster'!$B$5:$B$64,0)),"Not on roster"))</f>
        <v/>
      </c>
      <c r="D3708" s="12" t="str">
        <f>IF(B3708="","",IFERROR(INDEX('Cashier Roster'!$D$5:$D$64,MATCH(B3708,'Cashier Roster'!$B$5:$B$64,0)),""))</f>
        <v/>
      </c>
      <c r="E3708" s="13"/>
      <c r="F3708" s="14"/>
      <c r="G3708" s="8" t="str">
        <f>IF(OR(B3708="",E3708=""),"",IF(E3708="No","Missed",IF(F3708="","",IF(F3708&lt;=Settings!$B$7,"On time","Late"))))</f>
        <v/>
      </c>
      <c r="H3708" s="15"/>
      <c r="I3708" s="16"/>
      <c r="J3708" s="16"/>
      <c r="K3708" s="17" t="str">
        <f>IF(J3708="","",ROUND(J3708*Settings!$B$8,2))</f>
        <v/>
      </c>
      <c r="L3708" s="16"/>
      <c r="M3708" s="8" t="str">
        <f t="shared" si="57"/>
        <v/>
      </c>
      <c r="N3708" s="9"/>
    </row>
    <row r="3709" spans="1:14" ht="15.75">
      <c r="A3709" s="11"/>
      <c r="B3709" s="9"/>
      <c r="C3709" s="12" t="str">
        <f>IF(B3709="","",IFERROR(INDEX('Cashier Roster'!$C$5:$C$64,MATCH(B3709,'Cashier Roster'!$B$5:$B$64,0)),"Not on roster"))</f>
        <v/>
      </c>
      <c r="D3709" s="12" t="str">
        <f>IF(B3709="","",IFERROR(INDEX('Cashier Roster'!$D$5:$D$64,MATCH(B3709,'Cashier Roster'!$B$5:$B$64,0)),""))</f>
        <v/>
      </c>
      <c r="E3709" s="13"/>
      <c r="F3709" s="14"/>
      <c r="G3709" s="8" t="str">
        <f>IF(OR(B3709="",E3709=""),"",IF(E3709="No","Missed",IF(F3709="","",IF(F3709&lt;=Settings!$B$7,"On time","Late"))))</f>
        <v/>
      </c>
      <c r="H3709" s="15"/>
      <c r="I3709" s="16"/>
      <c r="J3709" s="16"/>
      <c r="K3709" s="17" t="str">
        <f>IF(J3709="","",ROUND(J3709*Settings!$B$8,2))</f>
        <v/>
      </c>
      <c r="L3709" s="16"/>
      <c r="M3709" s="8" t="str">
        <f t="shared" si="57"/>
        <v/>
      </c>
      <c r="N3709" s="9"/>
    </row>
    <row r="3710" spans="1:14" ht="15.75">
      <c r="A3710" s="11"/>
      <c r="B3710" s="9"/>
      <c r="C3710" s="12" t="str">
        <f>IF(B3710="","",IFERROR(INDEX('Cashier Roster'!$C$5:$C$64,MATCH(B3710,'Cashier Roster'!$B$5:$B$64,0)),"Not on roster"))</f>
        <v/>
      </c>
      <c r="D3710" s="12" t="str">
        <f>IF(B3710="","",IFERROR(INDEX('Cashier Roster'!$D$5:$D$64,MATCH(B3710,'Cashier Roster'!$B$5:$B$64,0)),""))</f>
        <v/>
      </c>
      <c r="E3710" s="13"/>
      <c r="F3710" s="14"/>
      <c r="G3710" s="8" t="str">
        <f>IF(OR(B3710="",E3710=""),"",IF(E3710="No","Missed",IF(F3710="","",IF(F3710&lt;=Settings!$B$7,"On time","Late"))))</f>
        <v/>
      </c>
      <c r="H3710" s="15"/>
      <c r="I3710" s="16"/>
      <c r="J3710" s="16"/>
      <c r="K3710" s="17" t="str">
        <f>IF(J3710="","",ROUND(J3710*Settings!$B$8,2))</f>
        <v/>
      </c>
      <c r="L3710" s="16"/>
      <c r="M3710" s="8" t="str">
        <f t="shared" si="57"/>
        <v/>
      </c>
      <c r="N3710" s="9"/>
    </row>
    <row r="3711" spans="1:14" ht="15.75">
      <c r="A3711" s="11"/>
      <c r="B3711" s="9"/>
      <c r="C3711" s="12" t="str">
        <f>IF(B3711="","",IFERROR(INDEX('Cashier Roster'!$C$5:$C$64,MATCH(B3711,'Cashier Roster'!$B$5:$B$64,0)),"Not on roster"))</f>
        <v/>
      </c>
      <c r="D3711" s="12" t="str">
        <f>IF(B3711="","",IFERROR(INDEX('Cashier Roster'!$D$5:$D$64,MATCH(B3711,'Cashier Roster'!$B$5:$B$64,0)),""))</f>
        <v/>
      </c>
      <c r="E3711" s="13"/>
      <c r="F3711" s="14"/>
      <c r="G3711" s="8" t="str">
        <f>IF(OR(B3711="",E3711=""),"",IF(E3711="No","Missed",IF(F3711="","",IF(F3711&lt;=Settings!$B$7,"On time","Late"))))</f>
        <v/>
      </c>
      <c r="H3711" s="15"/>
      <c r="I3711" s="16"/>
      <c r="J3711" s="16"/>
      <c r="K3711" s="17" t="str">
        <f>IF(J3711="","",ROUND(J3711*Settings!$B$8,2))</f>
        <v/>
      </c>
      <c r="L3711" s="16"/>
      <c r="M3711" s="8" t="str">
        <f t="shared" si="57"/>
        <v/>
      </c>
      <c r="N3711" s="9"/>
    </row>
    <row r="3712" spans="1:14" ht="15.75">
      <c r="A3712" s="11"/>
      <c r="B3712" s="9"/>
      <c r="C3712" s="12" t="str">
        <f>IF(B3712="","",IFERROR(INDEX('Cashier Roster'!$C$5:$C$64,MATCH(B3712,'Cashier Roster'!$B$5:$B$64,0)),"Not on roster"))</f>
        <v/>
      </c>
      <c r="D3712" s="12" t="str">
        <f>IF(B3712="","",IFERROR(INDEX('Cashier Roster'!$D$5:$D$64,MATCH(B3712,'Cashier Roster'!$B$5:$B$64,0)),""))</f>
        <v/>
      </c>
      <c r="E3712" s="13"/>
      <c r="F3712" s="14"/>
      <c r="G3712" s="8" t="str">
        <f>IF(OR(B3712="",E3712=""),"",IF(E3712="No","Missed",IF(F3712="","",IF(F3712&lt;=Settings!$B$7,"On time","Late"))))</f>
        <v/>
      </c>
      <c r="H3712" s="15"/>
      <c r="I3712" s="16"/>
      <c r="J3712" s="16"/>
      <c r="K3712" s="17" t="str">
        <f>IF(J3712="","",ROUND(J3712*Settings!$B$8,2))</f>
        <v/>
      </c>
      <c r="L3712" s="16"/>
      <c r="M3712" s="8" t="str">
        <f t="shared" si="57"/>
        <v/>
      </c>
      <c r="N3712" s="9"/>
    </row>
    <row r="3713" spans="1:14" ht="15.75">
      <c r="A3713" s="11"/>
      <c r="B3713" s="9"/>
      <c r="C3713" s="12" t="str">
        <f>IF(B3713="","",IFERROR(INDEX('Cashier Roster'!$C$5:$C$64,MATCH(B3713,'Cashier Roster'!$B$5:$B$64,0)),"Not on roster"))</f>
        <v/>
      </c>
      <c r="D3713" s="12" t="str">
        <f>IF(B3713="","",IFERROR(INDEX('Cashier Roster'!$D$5:$D$64,MATCH(B3713,'Cashier Roster'!$B$5:$B$64,0)),""))</f>
        <v/>
      </c>
      <c r="E3713" s="13"/>
      <c r="F3713" s="14"/>
      <c r="G3713" s="8" t="str">
        <f>IF(OR(B3713="",E3713=""),"",IF(E3713="No","Missed",IF(F3713="","",IF(F3713&lt;=Settings!$B$7,"On time","Late"))))</f>
        <v/>
      </c>
      <c r="H3713" s="15"/>
      <c r="I3713" s="16"/>
      <c r="J3713" s="16"/>
      <c r="K3713" s="17" t="str">
        <f>IF(J3713="","",ROUND(J3713*Settings!$B$8,2))</f>
        <v/>
      </c>
      <c r="L3713" s="16"/>
      <c r="M3713" s="8" t="str">
        <f t="shared" si="57"/>
        <v/>
      </c>
      <c r="N3713" s="9"/>
    </row>
    <row r="3714" spans="1:14" ht="15.75">
      <c r="A3714" s="11"/>
      <c r="B3714" s="9"/>
      <c r="C3714" s="12" t="str">
        <f>IF(B3714="","",IFERROR(INDEX('Cashier Roster'!$C$5:$C$64,MATCH(B3714,'Cashier Roster'!$B$5:$B$64,0)),"Not on roster"))</f>
        <v/>
      </c>
      <c r="D3714" s="12" t="str">
        <f>IF(B3714="","",IFERROR(INDEX('Cashier Roster'!$D$5:$D$64,MATCH(B3714,'Cashier Roster'!$B$5:$B$64,0)),""))</f>
        <v/>
      </c>
      <c r="E3714" s="13"/>
      <c r="F3714" s="14"/>
      <c r="G3714" s="8" t="str">
        <f>IF(OR(B3714="",E3714=""),"",IF(E3714="No","Missed",IF(F3714="","",IF(F3714&lt;=Settings!$B$7,"On time","Late"))))</f>
        <v/>
      </c>
      <c r="H3714" s="15"/>
      <c r="I3714" s="16"/>
      <c r="J3714" s="16"/>
      <c r="K3714" s="17" t="str">
        <f>IF(J3714="","",ROUND(J3714*Settings!$B$8,2))</f>
        <v/>
      </c>
      <c r="L3714" s="16"/>
      <c r="M3714" s="8" t="str">
        <f t="shared" si="57"/>
        <v/>
      </c>
      <c r="N3714" s="9"/>
    </row>
    <row r="3715" spans="1:14" ht="15.75">
      <c r="A3715" s="11"/>
      <c r="B3715" s="9"/>
      <c r="C3715" s="12" t="str">
        <f>IF(B3715="","",IFERROR(INDEX('Cashier Roster'!$C$5:$C$64,MATCH(B3715,'Cashier Roster'!$B$5:$B$64,0)),"Not on roster"))</f>
        <v/>
      </c>
      <c r="D3715" s="12" t="str">
        <f>IF(B3715="","",IFERROR(INDEX('Cashier Roster'!$D$5:$D$64,MATCH(B3715,'Cashier Roster'!$B$5:$B$64,0)),""))</f>
        <v/>
      </c>
      <c r="E3715" s="13"/>
      <c r="F3715" s="14"/>
      <c r="G3715" s="8" t="str">
        <f>IF(OR(B3715="",E3715=""),"",IF(E3715="No","Missed",IF(F3715="","",IF(F3715&lt;=Settings!$B$7,"On time","Late"))))</f>
        <v/>
      </c>
      <c r="H3715" s="15"/>
      <c r="I3715" s="16"/>
      <c r="J3715" s="16"/>
      <c r="K3715" s="17" t="str">
        <f>IF(J3715="","",ROUND(J3715*Settings!$B$8,2))</f>
        <v/>
      </c>
      <c r="L3715" s="16"/>
      <c r="M3715" s="8" t="str">
        <f t="shared" si="57"/>
        <v/>
      </c>
      <c r="N3715" s="9"/>
    </row>
    <row r="3716" spans="1:14" ht="15.75">
      <c r="A3716" s="11"/>
      <c r="B3716" s="9"/>
      <c r="C3716" s="12" t="str">
        <f>IF(B3716="","",IFERROR(INDEX('Cashier Roster'!$C$5:$C$64,MATCH(B3716,'Cashier Roster'!$B$5:$B$64,0)),"Not on roster"))</f>
        <v/>
      </c>
      <c r="D3716" s="12" t="str">
        <f>IF(B3716="","",IFERROR(INDEX('Cashier Roster'!$D$5:$D$64,MATCH(B3716,'Cashier Roster'!$B$5:$B$64,0)),""))</f>
        <v/>
      </c>
      <c r="E3716" s="13"/>
      <c r="F3716" s="14"/>
      <c r="G3716" s="8" t="str">
        <f>IF(OR(B3716="",E3716=""),"",IF(E3716="No","Missed",IF(F3716="","",IF(F3716&lt;=Settings!$B$7,"On time","Late"))))</f>
        <v/>
      </c>
      <c r="H3716" s="15"/>
      <c r="I3716" s="16"/>
      <c r="J3716" s="16"/>
      <c r="K3716" s="17" t="str">
        <f>IF(J3716="","",ROUND(J3716*Settings!$B$8,2))</f>
        <v/>
      </c>
      <c r="L3716" s="16"/>
      <c r="M3716" s="8" t="str">
        <f t="shared" si="57"/>
        <v/>
      </c>
      <c r="N3716" s="9"/>
    </row>
    <row r="3717" spans="1:14" ht="15.75">
      <c r="A3717" s="11"/>
      <c r="B3717" s="9"/>
      <c r="C3717" s="12" t="str">
        <f>IF(B3717="","",IFERROR(INDEX('Cashier Roster'!$C$5:$C$64,MATCH(B3717,'Cashier Roster'!$B$5:$B$64,0)),"Not on roster"))</f>
        <v/>
      </c>
      <c r="D3717" s="12" t="str">
        <f>IF(B3717="","",IFERROR(INDEX('Cashier Roster'!$D$5:$D$64,MATCH(B3717,'Cashier Roster'!$B$5:$B$64,0)),""))</f>
        <v/>
      </c>
      <c r="E3717" s="13"/>
      <c r="F3717" s="14"/>
      <c r="G3717" s="8" t="str">
        <f>IF(OR(B3717="",E3717=""),"",IF(E3717="No","Missed",IF(F3717="","",IF(F3717&lt;=Settings!$B$7,"On time","Late"))))</f>
        <v/>
      </c>
      <c r="H3717" s="15"/>
      <c r="I3717" s="16"/>
      <c r="J3717" s="16"/>
      <c r="K3717" s="17" t="str">
        <f>IF(J3717="","",ROUND(J3717*Settings!$B$8,2))</f>
        <v/>
      </c>
      <c r="L3717" s="16"/>
      <c r="M3717" s="8" t="str">
        <f t="shared" ref="M3717:M3780" si="58">IF(L3717="","",IF(L3717&lt;=0,"Yes","No"))</f>
        <v/>
      </c>
      <c r="N3717" s="9"/>
    </row>
    <row r="3718" spans="1:14" ht="15.75">
      <c r="A3718" s="11"/>
      <c r="B3718" s="9"/>
      <c r="C3718" s="12" t="str">
        <f>IF(B3718="","",IFERROR(INDEX('Cashier Roster'!$C$5:$C$64,MATCH(B3718,'Cashier Roster'!$B$5:$B$64,0)),"Not on roster"))</f>
        <v/>
      </c>
      <c r="D3718" s="12" t="str">
        <f>IF(B3718="","",IFERROR(INDEX('Cashier Roster'!$D$5:$D$64,MATCH(B3718,'Cashier Roster'!$B$5:$B$64,0)),""))</f>
        <v/>
      </c>
      <c r="E3718" s="13"/>
      <c r="F3718" s="14"/>
      <c r="G3718" s="8" t="str">
        <f>IF(OR(B3718="",E3718=""),"",IF(E3718="No","Missed",IF(F3718="","",IF(F3718&lt;=Settings!$B$7,"On time","Late"))))</f>
        <v/>
      </c>
      <c r="H3718" s="15"/>
      <c r="I3718" s="16"/>
      <c r="J3718" s="16"/>
      <c r="K3718" s="17" t="str">
        <f>IF(J3718="","",ROUND(J3718*Settings!$B$8,2))</f>
        <v/>
      </c>
      <c r="L3718" s="16"/>
      <c r="M3718" s="8" t="str">
        <f t="shared" si="58"/>
        <v/>
      </c>
      <c r="N3718" s="9"/>
    </row>
    <row r="3719" spans="1:14" ht="15.75">
      <c r="A3719" s="11"/>
      <c r="B3719" s="9"/>
      <c r="C3719" s="12" t="str">
        <f>IF(B3719="","",IFERROR(INDEX('Cashier Roster'!$C$5:$C$64,MATCH(B3719,'Cashier Roster'!$B$5:$B$64,0)),"Not on roster"))</f>
        <v/>
      </c>
      <c r="D3719" s="12" t="str">
        <f>IF(B3719="","",IFERROR(INDEX('Cashier Roster'!$D$5:$D$64,MATCH(B3719,'Cashier Roster'!$B$5:$B$64,0)),""))</f>
        <v/>
      </c>
      <c r="E3719" s="13"/>
      <c r="F3719" s="14"/>
      <c r="G3719" s="8" t="str">
        <f>IF(OR(B3719="",E3719=""),"",IF(E3719="No","Missed",IF(F3719="","",IF(F3719&lt;=Settings!$B$7,"On time","Late"))))</f>
        <v/>
      </c>
      <c r="H3719" s="15"/>
      <c r="I3719" s="16"/>
      <c r="J3719" s="16"/>
      <c r="K3719" s="17" t="str">
        <f>IF(J3719="","",ROUND(J3719*Settings!$B$8,2))</f>
        <v/>
      </c>
      <c r="L3719" s="16"/>
      <c r="M3719" s="8" t="str">
        <f t="shared" si="58"/>
        <v/>
      </c>
      <c r="N3719" s="9"/>
    </row>
    <row r="3720" spans="1:14" ht="15.75">
      <c r="A3720" s="11"/>
      <c r="B3720" s="9"/>
      <c r="C3720" s="12" t="str">
        <f>IF(B3720="","",IFERROR(INDEX('Cashier Roster'!$C$5:$C$64,MATCH(B3720,'Cashier Roster'!$B$5:$B$64,0)),"Not on roster"))</f>
        <v/>
      </c>
      <c r="D3720" s="12" t="str">
        <f>IF(B3720="","",IFERROR(INDEX('Cashier Roster'!$D$5:$D$64,MATCH(B3720,'Cashier Roster'!$B$5:$B$64,0)),""))</f>
        <v/>
      </c>
      <c r="E3720" s="13"/>
      <c r="F3720" s="14"/>
      <c r="G3720" s="8" t="str">
        <f>IF(OR(B3720="",E3720=""),"",IF(E3720="No","Missed",IF(F3720="","",IF(F3720&lt;=Settings!$B$7,"On time","Late"))))</f>
        <v/>
      </c>
      <c r="H3720" s="15"/>
      <c r="I3720" s="16"/>
      <c r="J3720" s="16"/>
      <c r="K3720" s="17" t="str">
        <f>IF(J3720="","",ROUND(J3720*Settings!$B$8,2))</f>
        <v/>
      </c>
      <c r="L3720" s="16"/>
      <c r="M3720" s="8" t="str">
        <f t="shared" si="58"/>
        <v/>
      </c>
      <c r="N3720" s="9"/>
    </row>
    <row r="3721" spans="1:14" ht="15.75">
      <c r="A3721" s="11"/>
      <c r="B3721" s="9"/>
      <c r="C3721" s="12" t="str">
        <f>IF(B3721="","",IFERROR(INDEX('Cashier Roster'!$C$5:$C$64,MATCH(B3721,'Cashier Roster'!$B$5:$B$64,0)),"Not on roster"))</f>
        <v/>
      </c>
      <c r="D3721" s="12" t="str">
        <f>IF(B3721="","",IFERROR(INDEX('Cashier Roster'!$D$5:$D$64,MATCH(B3721,'Cashier Roster'!$B$5:$B$64,0)),""))</f>
        <v/>
      </c>
      <c r="E3721" s="13"/>
      <c r="F3721" s="14"/>
      <c r="G3721" s="8" t="str">
        <f>IF(OR(B3721="",E3721=""),"",IF(E3721="No","Missed",IF(F3721="","",IF(F3721&lt;=Settings!$B$7,"On time","Late"))))</f>
        <v/>
      </c>
      <c r="H3721" s="15"/>
      <c r="I3721" s="16"/>
      <c r="J3721" s="16"/>
      <c r="K3721" s="17" t="str">
        <f>IF(J3721="","",ROUND(J3721*Settings!$B$8,2))</f>
        <v/>
      </c>
      <c r="L3721" s="16"/>
      <c r="M3721" s="8" t="str">
        <f t="shared" si="58"/>
        <v/>
      </c>
      <c r="N3721" s="9"/>
    </row>
    <row r="3722" spans="1:14" ht="15.75">
      <c r="A3722" s="11"/>
      <c r="B3722" s="9"/>
      <c r="C3722" s="12" t="str">
        <f>IF(B3722="","",IFERROR(INDEX('Cashier Roster'!$C$5:$C$64,MATCH(B3722,'Cashier Roster'!$B$5:$B$64,0)),"Not on roster"))</f>
        <v/>
      </c>
      <c r="D3722" s="12" t="str">
        <f>IF(B3722="","",IFERROR(INDEX('Cashier Roster'!$D$5:$D$64,MATCH(B3722,'Cashier Roster'!$B$5:$B$64,0)),""))</f>
        <v/>
      </c>
      <c r="E3722" s="13"/>
      <c r="F3722" s="14"/>
      <c r="G3722" s="8" t="str">
        <f>IF(OR(B3722="",E3722=""),"",IF(E3722="No","Missed",IF(F3722="","",IF(F3722&lt;=Settings!$B$7,"On time","Late"))))</f>
        <v/>
      </c>
      <c r="H3722" s="15"/>
      <c r="I3722" s="16"/>
      <c r="J3722" s="16"/>
      <c r="K3722" s="17" t="str">
        <f>IF(J3722="","",ROUND(J3722*Settings!$B$8,2))</f>
        <v/>
      </c>
      <c r="L3722" s="16"/>
      <c r="M3722" s="8" t="str">
        <f t="shared" si="58"/>
        <v/>
      </c>
      <c r="N3722" s="9"/>
    </row>
    <row r="3723" spans="1:14" ht="15.75">
      <c r="A3723" s="11"/>
      <c r="B3723" s="9"/>
      <c r="C3723" s="12" t="str">
        <f>IF(B3723="","",IFERROR(INDEX('Cashier Roster'!$C$5:$C$64,MATCH(B3723,'Cashier Roster'!$B$5:$B$64,0)),"Not on roster"))</f>
        <v/>
      </c>
      <c r="D3723" s="12" t="str">
        <f>IF(B3723="","",IFERROR(INDEX('Cashier Roster'!$D$5:$D$64,MATCH(B3723,'Cashier Roster'!$B$5:$B$64,0)),""))</f>
        <v/>
      </c>
      <c r="E3723" s="13"/>
      <c r="F3723" s="14"/>
      <c r="G3723" s="8" t="str">
        <f>IF(OR(B3723="",E3723=""),"",IF(E3723="No","Missed",IF(F3723="","",IF(F3723&lt;=Settings!$B$7,"On time","Late"))))</f>
        <v/>
      </c>
      <c r="H3723" s="15"/>
      <c r="I3723" s="16"/>
      <c r="J3723" s="16"/>
      <c r="K3723" s="17" t="str">
        <f>IF(J3723="","",ROUND(J3723*Settings!$B$8,2))</f>
        <v/>
      </c>
      <c r="L3723" s="16"/>
      <c r="M3723" s="8" t="str">
        <f t="shared" si="58"/>
        <v/>
      </c>
      <c r="N3723" s="9"/>
    </row>
    <row r="3724" spans="1:14" ht="15.75">
      <c r="A3724" s="11"/>
      <c r="B3724" s="9"/>
      <c r="C3724" s="12" t="str">
        <f>IF(B3724="","",IFERROR(INDEX('Cashier Roster'!$C$5:$C$64,MATCH(B3724,'Cashier Roster'!$B$5:$B$64,0)),"Not on roster"))</f>
        <v/>
      </c>
      <c r="D3724" s="12" t="str">
        <f>IF(B3724="","",IFERROR(INDEX('Cashier Roster'!$D$5:$D$64,MATCH(B3724,'Cashier Roster'!$B$5:$B$64,0)),""))</f>
        <v/>
      </c>
      <c r="E3724" s="13"/>
      <c r="F3724" s="14"/>
      <c r="G3724" s="8" t="str">
        <f>IF(OR(B3724="",E3724=""),"",IF(E3724="No","Missed",IF(F3724="","",IF(F3724&lt;=Settings!$B$7,"On time","Late"))))</f>
        <v/>
      </c>
      <c r="H3724" s="15"/>
      <c r="I3724" s="16"/>
      <c r="J3724" s="16"/>
      <c r="K3724" s="17" t="str">
        <f>IF(J3724="","",ROUND(J3724*Settings!$B$8,2))</f>
        <v/>
      </c>
      <c r="L3724" s="16"/>
      <c r="M3724" s="8" t="str">
        <f t="shared" si="58"/>
        <v/>
      </c>
      <c r="N3724" s="9"/>
    </row>
    <row r="3725" spans="1:14" ht="15.75">
      <c r="A3725" s="11"/>
      <c r="B3725" s="9"/>
      <c r="C3725" s="12" t="str">
        <f>IF(B3725="","",IFERROR(INDEX('Cashier Roster'!$C$5:$C$64,MATCH(B3725,'Cashier Roster'!$B$5:$B$64,0)),"Not on roster"))</f>
        <v/>
      </c>
      <c r="D3725" s="12" t="str">
        <f>IF(B3725="","",IFERROR(INDEX('Cashier Roster'!$D$5:$D$64,MATCH(B3725,'Cashier Roster'!$B$5:$B$64,0)),""))</f>
        <v/>
      </c>
      <c r="E3725" s="13"/>
      <c r="F3725" s="14"/>
      <c r="G3725" s="8" t="str">
        <f>IF(OR(B3725="",E3725=""),"",IF(E3725="No","Missed",IF(F3725="","",IF(F3725&lt;=Settings!$B$7,"On time","Late"))))</f>
        <v/>
      </c>
      <c r="H3725" s="15"/>
      <c r="I3725" s="16"/>
      <c r="J3725" s="16"/>
      <c r="K3725" s="17" t="str">
        <f>IF(J3725="","",ROUND(J3725*Settings!$B$8,2))</f>
        <v/>
      </c>
      <c r="L3725" s="16"/>
      <c r="M3725" s="8" t="str">
        <f t="shared" si="58"/>
        <v/>
      </c>
      <c r="N3725" s="9"/>
    </row>
    <row r="3726" spans="1:14" ht="15.75">
      <c r="A3726" s="11"/>
      <c r="B3726" s="9"/>
      <c r="C3726" s="12" t="str">
        <f>IF(B3726="","",IFERROR(INDEX('Cashier Roster'!$C$5:$C$64,MATCH(B3726,'Cashier Roster'!$B$5:$B$64,0)),"Not on roster"))</f>
        <v/>
      </c>
      <c r="D3726" s="12" t="str">
        <f>IF(B3726="","",IFERROR(INDEX('Cashier Roster'!$D$5:$D$64,MATCH(B3726,'Cashier Roster'!$B$5:$B$64,0)),""))</f>
        <v/>
      </c>
      <c r="E3726" s="13"/>
      <c r="F3726" s="14"/>
      <c r="G3726" s="8" t="str">
        <f>IF(OR(B3726="",E3726=""),"",IF(E3726="No","Missed",IF(F3726="","",IF(F3726&lt;=Settings!$B$7,"On time","Late"))))</f>
        <v/>
      </c>
      <c r="H3726" s="15"/>
      <c r="I3726" s="16"/>
      <c r="J3726" s="16"/>
      <c r="K3726" s="17" t="str">
        <f>IF(J3726="","",ROUND(J3726*Settings!$B$8,2))</f>
        <v/>
      </c>
      <c r="L3726" s="16"/>
      <c r="M3726" s="8" t="str">
        <f t="shared" si="58"/>
        <v/>
      </c>
      <c r="N3726" s="9"/>
    </row>
    <row r="3727" spans="1:14" ht="15.75">
      <c r="A3727" s="11"/>
      <c r="B3727" s="9"/>
      <c r="C3727" s="12" t="str">
        <f>IF(B3727="","",IFERROR(INDEX('Cashier Roster'!$C$5:$C$64,MATCH(B3727,'Cashier Roster'!$B$5:$B$64,0)),"Not on roster"))</f>
        <v/>
      </c>
      <c r="D3727" s="12" t="str">
        <f>IF(B3727="","",IFERROR(INDEX('Cashier Roster'!$D$5:$D$64,MATCH(B3727,'Cashier Roster'!$B$5:$B$64,0)),""))</f>
        <v/>
      </c>
      <c r="E3727" s="13"/>
      <c r="F3727" s="14"/>
      <c r="G3727" s="8" t="str">
        <f>IF(OR(B3727="",E3727=""),"",IF(E3727="No","Missed",IF(F3727="","",IF(F3727&lt;=Settings!$B$7,"On time","Late"))))</f>
        <v/>
      </c>
      <c r="H3727" s="15"/>
      <c r="I3727" s="16"/>
      <c r="J3727" s="16"/>
      <c r="K3727" s="17" t="str">
        <f>IF(J3727="","",ROUND(J3727*Settings!$B$8,2))</f>
        <v/>
      </c>
      <c r="L3727" s="16"/>
      <c r="M3727" s="8" t="str">
        <f t="shared" si="58"/>
        <v/>
      </c>
      <c r="N3727" s="9"/>
    </row>
    <row r="3728" spans="1:14" ht="15.75">
      <c r="A3728" s="11"/>
      <c r="B3728" s="9"/>
      <c r="C3728" s="12" t="str">
        <f>IF(B3728="","",IFERROR(INDEX('Cashier Roster'!$C$5:$C$64,MATCH(B3728,'Cashier Roster'!$B$5:$B$64,0)),"Not on roster"))</f>
        <v/>
      </c>
      <c r="D3728" s="12" t="str">
        <f>IF(B3728="","",IFERROR(INDEX('Cashier Roster'!$D$5:$D$64,MATCH(B3728,'Cashier Roster'!$B$5:$B$64,0)),""))</f>
        <v/>
      </c>
      <c r="E3728" s="13"/>
      <c r="F3728" s="14"/>
      <c r="G3728" s="8" t="str">
        <f>IF(OR(B3728="",E3728=""),"",IF(E3728="No","Missed",IF(F3728="","",IF(F3728&lt;=Settings!$B$7,"On time","Late"))))</f>
        <v/>
      </c>
      <c r="H3728" s="15"/>
      <c r="I3728" s="16"/>
      <c r="J3728" s="16"/>
      <c r="K3728" s="17" t="str">
        <f>IF(J3728="","",ROUND(J3728*Settings!$B$8,2))</f>
        <v/>
      </c>
      <c r="L3728" s="16"/>
      <c r="M3728" s="8" t="str">
        <f t="shared" si="58"/>
        <v/>
      </c>
      <c r="N3728" s="9"/>
    </row>
    <row r="3729" spans="1:14" ht="15.75">
      <c r="A3729" s="11"/>
      <c r="B3729" s="9"/>
      <c r="C3729" s="12" t="str">
        <f>IF(B3729="","",IFERROR(INDEX('Cashier Roster'!$C$5:$C$64,MATCH(B3729,'Cashier Roster'!$B$5:$B$64,0)),"Not on roster"))</f>
        <v/>
      </c>
      <c r="D3729" s="12" t="str">
        <f>IF(B3729="","",IFERROR(INDEX('Cashier Roster'!$D$5:$D$64,MATCH(B3729,'Cashier Roster'!$B$5:$B$64,0)),""))</f>
        <v/>
      </c>
      <c r="E3729" s="13"/>
      <c r="F3729" s="14"/>
      <c r="G3729" s="8" t="str">
        <f>IF(OR(B3729="",E3729=""),"",IF(E3729="No","Missed",IF(F3729="","",IF(F3729&lt;=Settings!$B$7,"On time","Late"))))</f>
        <v/>
      </c>
      <c r="H3729" s="15"/>
      <c r="I3729" s="16"/>
      <c r="J3729" s="16"/>
      <c r="K3729" s="17" t="str">
        <f>IF(J3729="","",ROUND(J3729*Settings!$B$8,2))</f>
        <v/>
      </c>
      <c r="L3729" s="16"/>
      <c r="M3729" s="8" t="str">
        <f t="shared" si="58"/>
        <v/>
      </c>
      <c r="N3729" s="9"/>
    </row>
    <row r="3730" spans="1:14" ht="15.75">
      <c r="A3730" s="11"/>
      <c r="B3730" s="9"/>
      <c r="C3730" s="12" t="str">
        <f>IF(B3730="","",IFERROR(INDEX('Cashier Roster'!$C$5:$C$64,MATCH(B3730,'Cashier Roster'!$B$5:$B$64,0)),"Not on roster"))</f>
        <v/>
      </c>
      <c r="D3730" s="12" t="str">
        <f>IF(B3730="","",IFERROR(INDEX('Cashier Roster'!$D$5:$D$64,MATCH(B3730,'Cashier Roster'!$B$5:$B$64,0)),""))</f>
        <v/>
      </c>
      <c r="E3730" s="13"/>
      <c r="F3730" s="14"/>
      <c r="G3730" s="8" t="str">
        <f>IF(OR(B3730="",E3730=""),"",IF(E3730="No","Missed",IF(F3730="","",IF(F3730&lt;=Settings!$B$7,"On time","Late"))))</f>
        <v/>
      </c>
      <c r="H3730" s="15"/>
      <c r="I3730" s="16"/>
      <c r="J3730" s="16"/>
      <c r="K3730" s="17" t="str">
        <f>IF(J3730="","",ROUND(J3730*Settings!$B$8,2))</f>
        <v/>
      </c>
      <c r="L3730" s="16"/>
      <c r="M3730" s="8" t="str">
        <f t="shared" si="58"/>
        <v/>
      </c>
      <c r="N3730" s="9"/>
    </row>
    <row r="3731" spans="1:14" ht="15.75">
      <c r="A3731" s="11"/>
      <c r="B3731" s="9"/>
      <c r="C3731" s="12" t="str">
        <f>IF(B3731="","",IFERROR(INDEX('Cashier Roster'!$C$5:$C$64,MATCH(B3731,'Cashier Roster'!$B$5:$B$64,0)),"Not on roster"))</f>
        <v/>
      </c>
      <c r="D3731" s="12" t="str">
        <f>IF(B3731="","",IFERROR(INDEX('Cashier Roster'!$D$5:$D$64,MATCH(B3731,'Cashier Roster'!$B$5:$B$64,0)),""))</f>
        <v/>
      </c>
      <c r="E3731" s="13"/>
      <c r="F3731" s="14"/>
      <c r="G3731" s="8" t="str">
        <f>IF(OR(B3731="",E3731=""),"",IF(E3731="No","Missed",IF(F3731="","",IF(F3731&lt;=Settings!$B$7,"On time","Late"))))</f>
        <v/>
      </c>
      <c r="H3731" s="15"/>
      <c r="I3731" s="16"/>
      <c r="J3731" s="16"/>
      <c r="K3731" s="17" t="str">
        <f>IF(J3731="","",ROUND(J3731*Settings!$B$8,2))</f>
        <v/>
      </c>
      <c r="L3731" s="16"/>
      <c r="M3731" s="8" t="str">
        <f t="shared" si="58"/>
        <v/>
      </c>
      <c r="N3731" s="9"/>
    </row>
    <row r="3732" spans="1:14" ht="15.75">
      <c r="A3732" s="11"/>
      <c r="B3732" s="9"/>
      <c r="C3732" s="12" t="str">
        <f>IF(B3732="","",IFERROR(INDEX('Cashier Roster'!$C$5:$C$64,MATCH(B3732,'Cashier Roster'!$B$5:$B$64,0)),"Not on roster"))</f>
        <v/>
      </c>
      <c r="D3732" s="12" t="str">
        <f>IF(B3732="","",IFERROR(INDEX('Cashier Roster'!$D$5:$D$64,MATCH(B3732,'Cashier Roster'!$B$5:$B$64,0)),""))</f>
        <v/>
      </c>
      <c r="E3732" s="13"/>
      <c r="F3732" s="14"/>
      <c r="G3732" s="8" t="str">
        <f>IF(OR(B3732="",E3732=""),"",IF(E3732="No","Missed",IF(F3732="","",IF(F3732&lt;=Settings!$B$7,"On time","Late"))))</f>
        <v/>
      </c>
      <c r="H3732" s="15"/>
      <c r="I3732" s="16"/>
      <c r="J3732" s="16"/>
      <c r="K3732" s="17" t="str">
        <f>IF(J3732="","",ROUND(J3732*Settings!$B$8,2))</f>
        <v/>
      </c>
      <c r="L3732" s="16"/>
      <c r="M3732" s="8" t="str">
        <f t="shared" si="58"/>
        <v/>
      </c>
      <c r="N3732" s="9"/>
    </row>
    <row r="3733" spans="1:14" ht="15.75">
      <c r="A3733" s="11"/>
      <c r="B3733" s="9"/>
      <c r="C3733" s="12" t="str">
        <f>IF(B3733="","",IFERROR(INDEX('Cashier Roster'!$C$5:$C$64,MATCH(B3733,'Cashier Roster'!$B$5:$B$64,0)),"Not on roster"))</f>
        <v/>
      </c>
      <c r="D3733" s="12" t="str">
        <f>IF(B3733="","",IFERROR(INDEX('Cashier Roster'!$D$5:$D$64,MATCH(B3733,'Cashier Roster'!$B$5:$B$64,0)),""))</f>
        <v/>
      </c>
      <c r="E3733" s="13"/>
      <c r="F3733" s="14"/>
      <c r="G3733" s="8" t="str">
        <f>IF(OR(B3733="",E3733=""),"",IF(E3733="No","Missed",IF(F3733="","",IF(F3733&lt;=Settings!$B$7,"On time","Late"))))</f>
        <v/>
      </c>
      <c r="H3733" s="15"/>
      <c r="I3733" s="16"/>
      <c r="J3733" s="16"/>
      <c r="K3733" s="17" t="str">
        <f>IF(J3733="","",ROUND(J3733*Settings!$B$8,2))</f>
        <v/>
      </c>
      <c r="L3733" s="16"/>
      <c r="M3733" s="8" t="str">
        <f t="shared" si="58"/>
        <v/>
      </c>
      <c r="N3733" s="9"/>
    </row>
    <row r="3734" spans="1:14" ht="15.75">
      <c r="A3734" s="11"/>
      <c r="B3734" s="9"/>
      <c r="C3734" s="12" t="str">
        <f>IF(B3734="","",IFERROR(INDEX('Cashier Roster'!$C$5:$C$64,MATCH(B3734,'Cashier Roster'!$B$5:$B$64,0)),"Not on roster"))</f>
        <v/>
      </c>
      <c r="D3734" s="12" t="str">
        <f>IF(B3734="","",IFERROR(INDEX('Cashier Roster'!$D$5:$D$64,MATCH(B3734,'Cashier Roster'!$B$5:$B$64,0)),""))</f>
        <v/>
      </c>
      <c r="E3734" s="13"/>
      <c r="F3734" s="14"/>
      <c r="G3734" s="8" t="str">
        <f>IF(OR(B3734="",E3734=""),"",IF(E3734="No","Missed",IF(F3734="","",IF(F3734&lt;=Settings!$B$7,"On time","Late"))))</f>
        <v/>
      </c>
      <c r="H3734" s="15"/>
      <c r="I3734" s="16"/>
      <c r="J3734" s="16"/>
      <c r="K3734" s="17" t="str">
        <f>IF(J3734="","",ROUND(J3734*Settings!$B$8,2))</f>
        <v/>
      </c>
      <c r="L3734" s="16"/>
      <c r="M3734" s="8" t="str">
        <f t="shared" si="58"/>
        <v/>
      </c>
      <c r="N3734" s="9"/>
    </row>
    <row r="3735" spans="1:14" ht="15.75">
      <c r="A3735" s="11"/>
      <c r="B3735" s="9"/>
      <c r="C3735" s="12" t="str">
        <f>IF(B3735="","",IFERROR(INDEX('Cashier Roster'!$C$5:$C$64,MATCH(B3735,'Cashier Roster'!$B$5:$B$64,0)),"Not on roster"))</f>
        <v/>
      </c>
      <c r="D3735" s="12" t="str">
        <f>IF(B3735="","",IFERROR(INDEX('Cashier Roster'!$D$5:$D$64,MATCH(B3735,'Cashier Roster'!$B$5:$B$64,0)),""))</f>
        <v/>
      </c>
      <c r="E3735" s="13"/>
      <c r="F3735" s="14"/>
      <c r="G3735" s="8" t="str">
        <f>IF(OR(B3735="",E3735=""),"",IF(E3735="No","Missed",IF(F3735="","",IF(F3735&lt;=Settings!$B$7,"On time","Late"))))</f>
        <v/>
      </c>
      <c r="H3735" s="15"/>
      <c r="I3735" s="16"/>
      <c r="J3735" s="16"/>
      <c r="K3735" s="17" t="str">
        <f>IF(J3735="","",ROUND(J3735*Settings!$B$8,2))</f>
        <v/>
      </c>
      <c r="L3735" s="16"/>
      <c r="M3735" s="8" t="str">
        <f t="shared" si="58"/>
        <v/>
      </c>
      <c r="N3735" s="9"/>
    </row>
    <row r="3736" spans="1:14" ht="15.75">
      <c r="A3736" s="11"/>
      <c r="B3736" s="9"/>
      <c r="C3736" s="12" t="str">
        <f>IF(B3736="","",IFERROR(INDEX('Cashier Roster'!$C$5:$C$64,MATCH(B3736,'Cashier Roster'!$B$5:$B$64,0)),"Not on roster"))</f>
        <v/>
      </c>
      <c r="D3736" s="12" t="str">
        <f>IF(B3736="","",IFERROR(INDEX('Cashier Roster'!$D$5:$D$64,MATCH(B3736,'Cashier Roster'!$B$5:$B$64,0)),""))</f>
        <v/>
      </c>
      <c r="E3736" s="13"/>
      <c r="F3736" s="14"/>
      <c r="G3736" s="8" t="str">
        <f>IF(OR(B3736="",E3736=""),"",IF(E3736="No","Missed",IF(F3736="","",IF(F3736&lt;=Settings!$B$7,"On time","Late"))))</f>
        <v/>
      </c>
      <c r="H3736" s="15"/>
      <c r="I3736" s="16"/>
      <c r="J3736" s="16"/>
      <c r="K3736" s="17" t="str">
        <f>IF(J3736="","",ROUND(J3736*Settings!$B$8,2))</f>
        <v/>
      </c>
      <c r="L3736" s="16"/>
      <c r="M3736" s="8" t="str">
        <f t="shared" si="58"/>
        <v/>
      </c>
      <c r="N3736" s="9"/>
    </row>
    <row r="3737" spans="1:14" ht="15.75">
      <c r="A3737" s="11"/>
      <c r="B3737" s="9"/>
      <c r="C3737" s="12" t="str">
        <f>IF(B3737="","",IFERROR(INDEX('Cashier Roster'!$C$5:$C$64,MATCH(B3737,'Cashier Roster'!$B$5:$B$64,0)),"Not on roster"))</f>
        <v/>
      </c>
      <c r="D3737" s="12" t="str">
        <f>IF(B3737="","",IFERROR(INDEX('Cashier Roster'!$D$5:$D$64,MATCH(B3737,'Cashier Roster'!$B$5:$B$64,0)),""))</f>
        <v/>
      </c>
      <c r="E3737" s="13"/>
      <c r="F3737" s="14"/>
      <c r="G3737" s="8" t="str">
        <f>IF(OR(B3737="",E3737=""),"",IF(E3737="No","Missed",IF(F3737="","",IF(F3737&lt;=Settings!$B$7,"On time","Late"))))</f>
        <v/>
      </c>
      <c r="H3737" s="15"/>
      <c r="I3737" s="16"/>
      <c r="J3737" s="16"/>
      <c r="K3737" s="17" t="str">
        <f>IF(J3737="","",ROUND(J3737*Settings!$B$8,2))</f>
        <v/>
      </c>
      <c r="L3737" s="16"/>
      <c r="M3737" s="8" t="str">
        <f t="shared" si="58"/>
        <v/>
      </c>
      <c r="N3737" s="9"/>
    </row>
    <row r="3738" spans="1:14" ht="15.75">
      <c r="A3738" s="11"/>
      <c r="B3738" s="9"/>
      <c r="C3738" s="12" t="str">
        <f>IF(B3738="","",IFERROR(INDEX('Cashier Roster'!$C$5:$C$64,MATCH(B3738,'Cashier Roster'!$B$5:$B$64,0)),"Not on roster"))</f>
        <v/>
      </c>
      <c r="D3738" s="12" t="str">
        <f>IF(B3738="","",IFERROR(INDEX('Cashier Roster'!$D$5:$D$64,MATCH(B3738,'Cashier Roster'!$B$5:$B$64,0)),""))</f>
        <v/>
      </c>
      <c r="E3738" s="13"/>
      <c r="F3738" s="14"/>
      <c r="G3738" s="8" t="str">
        <f>IF(OR(B3738="",E3738=""),"",IF(E3738="No","Missed",IF(F3738="","",IF(F3738&lt;=Settings!$B$7,"On time","Late"))))</f>
        <v/>
      </c>
      <c r="H3738" s="15"/>
      <c r="I3738" s="16"/>
      <c r="J3738" s="16"/>
      <c r="K3738" s="17" t="str">
        <f>IF(J3738="","",ROUND(J3738*Settings!$B$8,2))</f>
        <v/>
      </c>
      <c r="L3738" s="16"/>
      <c r="M3738" s="8" t="str">
        <f t="shared" si="58"/>
        <v/>
      </c>
      <c r="N3738" s="9"/>
    </row>
    <row r="3739" spans="1:14" ht="15.75">
      <c r="A3739" s="11"/>
      <c r="B3739" s="9"/>
      <c r="C3739" s="12" t="str">
        <f>IF(B3739="","",IFERROR(INDEX('Cashier Roster'!$C$5:$C$64,MATCH(B3739,'Cashier Roster'!$B$5:$B$64,0)),"Not on roster"))</f>
        <v/>
      </c>
      <c r="D3739" s="12" t="str">
        <f>IF(B3739="","",IFERROR(INDEX('Cashier Roster'!$D$5:$D$64,MATCH(B3739,'Cashier Roster'!$B$5:$B$64,0)),""))</f>
        <v/>
      </c>
      <c r="E3739" s="13"/>
      <c r="F3739" s="14"/>
      <c r="G3739" s="8" t="str">
        <f>IF(OR(B3739="",E3739=""),"",IF(E3739="No","Missed",IF(F3739="","",IF(F3739&lt;=Settings!$B$7,"On time","Late"))))</f>
        <v/>
      </c>
      <c r="H3739" s="15"/>
      <c r="I3739" s="16"/>
      <c r="J3739" s="16"/>
      <c r="K3739" s="17" t="str">
        <f>IF(J3739="","",ROUND(J3739*Settings!$B$8,2))</f>
        <v/>
      </c>
      <c r="L3739" s="16"/>
      <c r="M3739" s="8" t="str">
        <f t="shared" si="58"/>
        <v/>
      </c>
      <c r="N3739" s="9"/>
    </row>
    <row r="3740" spans="1:14" ht="15.75">
      <c r="A3740" s="11"/>
      <c r="B3740" s="9"/>
      <c r="C3740" s="12" t="str">
        <f>IF(B3740="","",IFERROR(INDEX('Cashier Roster'!$C$5:$C$64,MATCH(B3740,'Cashier Roster'!$B$5:$B$64,0)),"Not on roster"))</f>
        <v/>
      </c>
      <c r="D3740" s="12" t="str">
        <f>IF(B3740="","",IFERROR(INDEX('Cashier Roster'!$D$5:$D$64,MATCH(B3740,'Cashier Roster'!$B$5:$B$64,0)),""))</f>
        <v/>
      </c>
      <c r="E3740" s="13"/>
      <c r="F3740" s="14"/>
      <c r="G3740" s="8" t="str">
        <f>IF(OR(B3740="",E3740=""),"",IF(E3740="No","Missed",IF(F3740="","",IF(F3740&lt;=Settings!$B$7,"On time","Late"))))</f>
        <v/>
      </c>
      <c r="H3740" s="15"/>
      <c r="I3740" s="16"/>
      <c r="J3740" s="16"/>
      <c r="K3740" s="17" t="str">
        <f>IF(J3740="","",ROUND(J3740*Settings!$B$8,2))</f>
        <v/>
      </c>
      <c r="L3740" s="16"/>
      <c r="M3740" s="8" t="str">
        <f t="shared" si="58"/>
        <v/>
      </c>
      <c r="N3740" s="9"/>
    </row>
    <row r="3741" spans="1:14" ht="15.75">
      <c r="A3741" s="11"/>
      <c r="B3741" s="9"/>
      <c r="C3741" s="12" t="str">
        <f>IF(B3741="","",IFERROR(INDEX('Cashier Roster'!$C$5:$C$64,MATCH(B3741,'Cashier Roster'!$B$5:$B$64,0)),"Not on roster"))</f>
        <v/>
      </c>
      <c r="D3741" s="12" t="str">
        <f>IF(B3741="","",IFERROR(INDEX('Cashier Roster'!$D$5:$D$64,MATCH(B3741,'Cashier Roster'!$B$5:$B$64,0)),""))</f>
        <v/>
      </c>
      <c r="E3741" s="13"/>
      <c r="F3741" s="14"/>
      <c r="G3741" s="8" t="str">
        <f>IF(OR(B3741="",E3741=""),"",IF(E3741="No","Missed",IF(F3741="","",IF(F3741&lt;=Settings!$B$7,"On time","Late"))))</f>
        <v/>
      </c>
      <c r="H3741" s="15"/>
      <c r="I3741" s="16"/>
      <c r="J3741" s="16"/>
      <c r="K3741" s="17" t="str">
        <f>IF(J3741="","",ROUND(J3741*Settings!$B$8,2))</f>
        <v/>
      </c>
      <c r="L3741" s="16"/>
      <c r="M3741" s="8" t="str">
        <f t="shared" si="58"/>
        <v/>
      </c>
      <c r="N3741" s="9"/>
    </row>
    <row r="3742" spans="1:14" ht="15.75">
      <c r="A3742" s="11"/>
      <c r="B3742" s="9"/>
      <c r="C3742" s="12" t="str">
        <f>IF(B3742="","",IFERROR(INDEX('Cashier Roster'!$C$5:$C$64,MATCH(B3742,'Cashier Roster'!$B$5:$B$64,0)),"Not on roster"))</f>
        <v/>
      </c>
      <c r="D3742" s="12" t="str">
        <f>IF(B3742="","",IFERROR(INDEX('Cashier Roster'!$D$5:$D$64,MATCH(B3742,'Cashier Roster'!$B$5:$B$64,0)),""))</f>
        <v/>
      </c>
      <c r="E3742" s="13"/>
      <c r="F3742" s="14"/>
      <c r="G3742" s="8" t="str">
        <f>IF(OR(B3742="",E3742=""),"",IF(E3742="No","Missed",IF(F3742="","",IF(F3742&lt;=Settings!$B$7,"On time","Late"))))</f>
        <v/>
      </c>
      <c r="H3742" s="15"/>
      <c r="I3742" s="16"/>
      <c r="J3742" s="16"/>
      <c r="K3742" s="17" t="str">
        <f>IF(J3742="","",ROUND(J3742*Settings!$B$8,2))</f>
        <v/>
      </c>
      <c r="L3742" s="16"/>
      <c r="M3742" s="8" t="str">
        <f t="shared" si="58"/>
        <v/>
      </c>
      <c r="N3742" s="9"/>
    </row>
    <row r="3743" spans="1:14" ht="15.75">
      <c r="A3743" s="11"/>
      <c r="B3743" s="9"/>
      <c r="C3743" s="12" t="str">
        <f>IF(B3743="","",IFERROR(INDEX('Cashier Roster'!$C$5:$C$64,MATCH(B3743,'Cashier Roster'!$B$5:$B$64,0)),"Not on roster"))</f>
        <v/>
      </c>
      <c r="D3743" s="12" t="str">
        <f>IF(B3743="","",IFERROR(INDEX('Cashier Roster'!$D$5:$D$64,MATCH(B3743,'Cashier Roster'!$B$5:$B$64,0)),""))</f>
        <v/>
      </c>
      <c r="E3743" s="13"/>
      <c r="F3743" s="14"/>
      <c r="G3743" s="8" t="str">
        <f>IF(OR(B3743="",E3743=""),"",IF(E3743="No","Missed",IF(F3743="","",IF(F3743&lt;=Settings!$B$7,"On time","Late"))))</f>
        <v/>
      </c>
      <c r="H3743" s="15"/>
      <c r="I3743" s="16"/>
      <c r="J3743" s="16"/>
      <c r="K3743" s="17" t="str">
        <f>IF(J3743="","",ROUND(J3743*Settings!$B$8,2))</f>
        <v/>
      </c>
      <c r="L3743" s="16"/>
      <c r="M3743" s="8" t="str">
        <f t="shared" si="58"/>
        <v/>
      </c>
      <c r="N3743" s="9"/>
    </row>
    <row r="3744" spans="1:14" ht="15.75">
      <c r="A3744" s="11"/>
      <c r="B3744" s="9"/>
      <c r="C3744" s="12" t="str">
        <f>IF(B3744="","",IFERROR(INDEX('Cashier Roster'!$C$5:$C$64,MATCH(B3744,'Cashier Roster'!$B$5:$B$64,0)),"Not on roster"))</f>
        <v/>
      </c>
      <c r="D3744" s="12" t="str">
        <f>IF(B3744="","",IFERROR(INDEX('Cashier Roster'!$D$5:$D$64,MATCH(B3744,'Cashier Roster'!$B$5:$B$64,0)),""))</f>
        <v/>
      </c>
      <c r="E3744" s="13"/>
      <c r="F3744" s="14"/>
      <c r="G3744" s="8" t="str">
        <f>IF(OR(B3744="",E3744=""),"",IF(E3744="No","Missed",IF(F3744="","",IF(F3744&lt;=Settings!$B$7,"On time","Late"))))</f>
        <v/>
      </c>
      <c r="H3744" s="15"/>
      <c r="I3744" s="16"/>
      <c r="J3744" s="16"/>
      <c r="K3744" s="17" t="str">
        <f>IF(J3744="","",ROUND(J3744*Settings!$B$8,2))</f>
        <v/>
      </c>
      <c r="L3744" s="16"/>
      <c r="M3744" s="8" t="str">
        <f t="shared" si="58"/>
        <v/>
      </c>
      <c r="N3744" s="9"/>
    </row>
    <row r="3745" spans="1:14" ht="15.75">
      <c r="A3745" s="11"/>
      <c r="B3745" s="9"/>
      <c r="C3745" s="12" t="str">
        <f>IF(B3745="","",IFERROR(INDEX('Cashier Roster'!$C$5:$C$64,MATCH(B3745,'Cashier Roster'!$B$5:$B$64,0)),"Not on roster"))</f>
        <v/>
      </c>
      <c r="D3745" s="12" t="str">
        <f>IF(B3745="","",IFERROR(INDEX('Cashier Roster'!$D$5:$D$64,MATCH(B3745,'Cashier Roster'!$B$5:$B$64,0)),""))</f>
        <v/>
      </c>
      <c r="E3745" s="13"/>
      <c r="F3745" s="14"/>
      <c r="G3745" s="8" t="str">
        <f>IF(OR(B3745="",E3745=""),"",IF(E3745="No","Missed",IF(F3745="","",IF(F3745&lt;=Settings!$B$7,"On time","Late"))))</f>
        <v/>
      </c>
      <c r="H3745" s="15"/>
      <c r="I3745" s="16"/>
      <c r="J3745" s="16"/>
      <c r="K3745" s="17" t="str">
        <f>IF(J3745="","",ROUND(J3745*Settings!$B$8,2))</f>
        <v/>
      </c>
      <c r="L3745" s="16"/>
      <c r="M3745" s="8" t="str">
        <f t="shared" si="58"/>
        <v/>
      </c>
      <c r="N3745" s="9"/>
    </row>
    <row r="3746" spans="1:14" ht="15.75">
      <c r="A3746" s="11"/>
      <c r="B3746" s="9"/>
      <c r="C3746" s="12" t="str">
        <f>IF(B3746="","",IFERROR(INDEX('Cashier Roster'!$C$5:$C$64,MATCH(B3746,'Cashier Roster'!$B$5:$B$64,0)),"Not on roster"))</f>
        <v/>
      </c>
      <c r="D3746" s="12" t="str">
        <f>IF(B3746="","",IFERROR(INDEX('Cashier Roster'!$D$5:$D$64,MATCH(B3746,'Cashier Roster'!$B$5:$B$64,0)),""))</f>
        <v/>
      </c>
      <c r="E3746" s="13"/>
      <c r="F3746" s="14"/>
      <c r="G3746" s="8" t="str">
        <f>IF(OR(B3746="",E3746=""),"",IF(E3746="No","Missed",IF(F3746="","",IF(F3746&lt;=Settings!$B$7,"On time","Late"))))</f>
        <v/>
      </c>
      <c r="H3746" s="15"/>
      <c r="I3746" s="16"/>
      <c r="J3746" s="16"/>
      <c r="K3746" s="17" t="str">
        <f>IF(J3746="","",ROUND(J3746*Settings!$B$8,2))</f>
        <v/>
      </c>
      <c r="L3746" s="16"/>
      <c r="M3746" s="8" t="str">
        <f t="shared" si="58"/>
        <v/>
      </c>
      <c r="N3746" s="9"/>
    </row>
    <row r="3747" spans="1:14" ht="15.75">
      <c r="A3747" s="11"/>
      <c r="B3747" s="9"/>
      <c r="C3747" s="12" t="str">
        <f>IF(B3747="","",IFERROR(INDEX('Cashier Roster'!$C$5:$C$64,MATCH(B3747,'Cashier Roster'!$B$5:$B$64,0)),"Not on roster"))</f>
        <v/>
      </c>
      <c r="D3747" s="12" t="str">
        <f>IF(B3747="","",IFERROR(INDEX('Cashier Roster'!$D$5:$D$64,MATCH(B3747,'Cashier Roster'!$B$5:$B$64,0)),""))</f>
        <v/>
      </c>
      <c r="E3747" s="13"/>
      <c r="F3747" s="14"/>
      <c r="G3747" s="8" t="str">
        <f>IF(OR(B3747="",E3747=""),"",IF(E3747="No","Missed",IF(F3747="","",IF(F3747&lt;=Settings!$B$7,"On time","Late"))))</f>
        <v/>
      </c>
      <c r="H3747" s="15"/>
      <c r="I3747" s="16"/>
      <c r="J3747" s="16"/>
      <c r="K3747" s="17" t="str">
        <f>IF(J3747="","",ROUND(J3747*Settings!$B$8,2))</f>
        <v/>
      </c>
      <c r="L3747" s="16"/>
      <c r="M3747" s="8" t="str">
        <f t="shared" si="58"/>
        <v/>
      </c>
      <c r="N3747" s="9"/>
    </row>
    <row r="3748" spans="1:14" ht="15.75">
      <c r="A3748" s="11"/>
      <c r="B3748" s="9"/>
      <c r="C3748" s="12" t="str">
        <f>IF(B3748="","",IFERROR(INDEX('Cashier Roster'!$C$5:$C$64,MATCH(B3748,'Cashier Roster'!$B$5:$B$64,0)),"Not on roster"))</f>
        <v/>
      </c>
      <c r="D3748" s="12" t="str">
        <f>IF(B3748="","",IFERROR(INDEX('Cashier Roster'!$D$5:$D$64,MATCH(B3748,'Cashier Roster'!$B$5:$B$64,0)),""))</f>
        <v/>
      </c>
      <c r="E3748" s="13"/>
      <c r="F3748" s="14"/>
      <c r="G3748" s="8" t="str">
        <f>IF(OR(B3748="",E3748=""),"",IF(E3748="No","Missed",IF(F3748="","",IF(F3748&lt;=Settings!$B$7,"On time","Late"))))</f>
        <v/>
      </c>
      <c r="H3748" s="15"/>
      <c r="I3748" s="16"/>
      <c r="J3748" s="16"/>
      <c r="K3748" s="17" t="str">
        <f>IF(J3748="","",ROUND(J3748*Settings!$B$8,2))</f>
        <v/>
      </c>
      <c r="L3748" s="16"/>
      <c r="M3748" s="8" t="str">
        <f t="shared" si="58"/>
        <v/>
      </c>
      <c r="N3748" s="9"/>
    </row>
    <row r="3749" spans="1:14" ht="15.75">
      <c r="A3749" s="11"/>
      <c r="B3749" s="9"/>
      <c r="C3749" s="12" t="str">
        <f>IF(B3749="","",IFERROR(INDEX('Cashier Roster'!$C$5:$C$64,MATCH(B3749,'Cashier Roster'!$B$5:$B$64,0)),"Not on roster"))</f>
        <v/>
      </c>
      <c r="D3749" s="12" t="str">
        <f>IF(B3749="","",IFERROR(INDEX('Cashier Roster'!$D$5:$D$64,MATCH(B3749,'Cashier Roster'!$B$5:$B$64,0)),""))</f>
        <v/>
      </c>
      <c r="E3749" s="13"/>
      <c r="F3749" s="14"/>
      <c r="G3749" s="8" t="str">
        <f>IF(OR(B3749="",E3749=""),"",IF(E3749="No","Missed",IF(F3749="","",IF(F3749&lt;=Settings!$B$7,"On time","Late"))))</f>
        <v/>
      </c>
      <c r="H3749" s="15"/>
      <c r="I3749" s="16"/>
      <c r="J3749" s="16"/>
      <c r="K3749" s="17" t="str">
        <f>IF(J3749="","",ROUND(J3749*Settings!$B$8,2))</f>
        <v/>
      </c>
      <c r="L3749" s="16"/>
      <c r="M3749" s="8" t="str">
        <f t="shared" si="58"/>
        <v/>
      </c>
      <c r="N3749" s="9"/>
    </row>
    <row r="3750" spans="1:14" ht="15.75">
      <c r="A3750" s="11"/>
      <c r="B3750" s="9"/>
      <c r="C3750" s="12" t="str">
        <f>IF(B3750="","",IFERROR(INDEX('Cashier Roster'!$C$5:$C$64,MATCH(B3750,'Cashier Roster'!$B$5:$B$64,0)),"Not on roster"))</f>
        <v/>
      </c>
      <c r="D3750" s="12" t="str">
        <f>IF(B3750="","",IFERROR(INDEX('Cashier Roster'!$D$5:$D$64,MATCH(B3750,'Cashier Roster'!$B$5:$B$64,0)),""))</f>
        <v/>
      </c>
      <c r="E3750" s="13"/>
      <c r="F3750" s="14"/>
      <c r="G3750" s="8" t="str">
        <f>IF(OR(B3750="",E3750=""),"",IF(E3750="No","Missed",IF(F3750="","",IF(F3750&lt;=Settings!$B$7,"On time","Late"))))</f>
        <v/>
      </c>
      <c r="H3750" s="15"/>
      <c r="I3750" s="16"/>
      <c r="J3750" s="16"/>
      <c r="K3750" s="17" t="str">
        <f>IF(J3750="","",ROUND(J3750*Settings!$B$8,2))</f>
        <v/>
      </c>
      <c r="L3750" s="16"/>
      <c r="M3750" s="8" t="str">
        <f t="shared" si="58"/>
        <v/>
      </c>
      <c r="N3750" s="9"/>
    </row>
    <row r="3751" spans="1:14" ht="15.75">
      <c r="A3751" s="11"/>
      <c r="B3751" s="9"/>
      <c r="C3751" s="12" t="str">
        <f>IF(B3751="","",IFERROR(INDEX('Cashier Roster'!$C$5:$C$64,MATCH(B3751,'Cashier Roster'!$B$5:$B$64,0)),"Not on roster"))</f>
        <v/>
      </c>
      <c r="D3751" s="12" t="str">
        <f>IF(B3751="","",IFERROR(INDEX('Cashier Roster'!$D$5:$D$64,MATCH(B3751,'Cashier Roster'!$B$5:$B$64,0)),""))</f>
        <v/>
      </c>
      <c r="E3751" s="13"/>
      <c r="F3751" s="14"/>
      <c r="G3751" s="8" t="str">
        <f>IF(OR(B3751="",E3751=""),"",IF(E3751="No","Missed",IF(F3751="","",IF(F3751&lt;=Settings!$B$7,"On time","Late"))))</f>
        <v/>
      </c>
      <c r="H3751" s="15"/>
      <c r="I3751" s="16"/>
      <c r="J3751" s="16"/>
      <c r="K3751" s="17" t="str">
        <f>IF(J3751="","",ROUND(J3751*Settings!$B$8,2))</f>
        <v/>
      </c>
      <c r="L3751" s="16"/>
      <c r="M3751" s="8" t="str">
        <f t="shared" si="58"/>
        <v/>
      </c>
      <c r="N3751" s="9"/>
    </row>
    <row r="3752" spans="1:14" ht="15.75">
      <c r="A3752" s="11"/>
      <c r="B3752" s="9"/>
      <c r="C3752" s="12" t="str">
        <f>IF(B3752="","",IFERROR(INDEX('Cashier Roster'!$C$5:$C$64,MATCH(B3752,'Cashier Roster'!$B$5:$B$64,0)),"Not on roster"))</f>
        <v/>
      </c>
      <c r="D3752" s="12" t="str">
        <f>IF(B3752="","",IFERROR(INDEX('Cashier Roster'!$D$5:$D$64,MATCH(B3752,'Cashier Roster'!$B$5:$B$64,0)),""))</f>
        <v/>
      </c>
      <c r="E3752" s="13"/>
      <c r="F3752" s="14"/>
      <c r="G3752" s="8" t="str">
        <f>IF(OR(B3752="",E3752=""),"",IF(E3752="No","Missed",IF(F3752="","",IF(F3752&lt;=Settings!$B$7,"On time","Late"))))</f>
        <v/>
      </c>
      <c r="H3752" s="15"/>
      <c r="I3752" s="16"/>
      <c r="J3752" s="16"/>
      <c r="K3752" s="17" t="str">
        <f>IF(J3752="","",ROUND(J3752*Settings!$B$8,2))</f>
        <v/>
      </c>
      <c r="L3752" s="16"/>
      <c r="M3752" s="8" t="str">
        <f t="shared" si="58"/>
        <v/>
      </c>
      <c r="N3752" s="9"/>
    </row>
    <row r="3753" spans="1:14" ht="15.75">
      <c r="A3753" s="11"/>
      <c r="B3753" s="9"/>
      <c r="C3753" s="12" t="str">
        <f>IF(B3753="","",IFERROR(INDEX('Cashier Roster'!$C$5:$C$64,MATCH(B3753,'Cashier Roster'!$B$5:$B$64,0)),"Not on roster"))</f>
        <v/>
      </c>
      <c r="D3753" s="12" t="str">
        <f>IF(B3753="","",IFERROR(INDEX('Cashier Roster'!$D$5:$D$64,MATCH(B3753,'Cashier Roster'!$B$5:$B$64,0)),""))</f>
        <v/>
      </c>
      <c r="E3753" s="13"/>
      <c r="F3753" s="14"/>
      <c r="G3753" s="8" t="str">
        <f>IF(OR(B3753="",E3753=""),"",IF(E3753="No","Missed",IF(F3753="","",IF(F3753&lt;=Settings!$B$7,"On time","Late"))))</f>
        <v/>
      </c>
      <c r="H3753" s="15"/>
      <c r="I3753" s="16"/>
      <c r="J3753" s="16"/>
      <c r="K3753" s="17" t="str">
        <f>IF(J3753="","",ROUND(J3753*Settings!$B$8,2))</f>
        <v/>
      </c>
      <c r="L3753" s="16"/>
      <c r="M3753" s="8" t="str">
        <f t="shared" si="58"/>
        <v/>
      </c>
      <c r="N3753" s="9"/>
    </row>
    <row r="3754" spans="1:14" ht="15.75">
      <c r="A3754" s="11"/>
      <c r="B3754" s="9"/>
      <c r="C3754" s="12" t="str">
        <f>IF(B3754="","",IFERROR(INDEX('Cashier Roster'!$C$5:$C$64,MATCH(B3754,'Cashier Roster'!$B$5:$B$64,0)),"Not on roster"))</f>
        <v/>
      </c>
      <c r="D3754" s="12" t="str">
        <f>IF(B3754="","",IFERROR(INDEX('Cashier Roster'!$D$5:$D$64,MATCH(B3754,'Cashier Roster'!$B$5:$B$64,0)),""))</f>
        <v/>
      </c>
      <c r="E3754" s="13"/>
      <c r="F3754" s="14"/>
      <c r="G3754" s="8" t="str">
        <f>IF(OR(B3754="",E3754=""),"",IF(E3754="No","Missed",IF(F3754="","",IF(F3754&lt;=Settings!$B$7,"On time","Late"))))</f>
        <v/>
      </c>
      <c r="H3754" s="15"/>
      <c r="I3754" s="16"/>
      <c r="J3754" s="16"/>
      <c r="K3754" s="17" t="str">
        <f>IF(J3754="","",ROUND(J3754*Settings!$B$8,2))</f>
        <v/>
      </c>
      <c r="L3754" s="16"/>
      <c r="M3754" s="8" t="str">
        <f t="shared" si="58"/>
        <v/>
      </c>
      <c r="N3754" s="9"/>
    </row>
    <row r="3755" spans="1:14" ht="15.75">
      <c r="A3755" s="11"/>
      <c r="B3755" s="9"/>
      <c r="C3755" s="12" t="str">
        <f>IF(B3755="","",IFERROR(INDEX('Cashier Roster'!$C$5:$C$64,MATCH(B3755,'Cashier Roster'!$B$5:$B$64,0)),"Not on roster"))</f>
        <v/>
      </c>
      <c r="D3755" s="12" t="str">
        <f>IF(B3755="","",IFERROR(INDEX('Cashier Roster'!$D$5:$D$64,MATCH(B3755,'Cashier Roster'!$B$5:$B$64,0)),""))</f>
        <v/>
      </c>
      <c r="E3755" s="13"/>
      <c r="F3755" s="14"/>
      <c r="G3755" s="8" t="str">
        <f>IF(OR(B3755="",E3755=""),"",IF(E3755="No","Missed",IF(F3755="","",IF(F3755&lt;=Settings!$B$7,"On time","Late"))))</f>
        <v/>
      </c>
      <c r="H3755" s="15"/>
      <c r="I3755" s="16"/>
      <c r="J3755" s="16"/>
      <c r="K3755" s="17" t="str">
        <f>IF(J3755="","",ROUND(J3755*Settings!$B$8,2))</f>
        <v/>
      </c>
      <c r="L3755" s="16"/>
      <c r="M3755" s="8" t="str">
        <f t="shared" si="58"/>
        <v/>
      </c>
      <c r="N3755" s="9"/>
    </row>
    <row r="3756" spans="1:14" ht="15.75">
      <c r="A3756" s="11"/>
      <c r="B3756" s="9"/>
      <c r="C3756" s="12" t="str">
        <f>IF(B3756="","",IFERROR(INDEX('Cashier Roster'!$C$5:$C$64,MATCH(B3756,'Cashier Roster'!$B$5:$B$64,0)),"Not on roster"))</f>
        <v/>
      </c>
      <c r="D3756" s="12" t="str">
        <f>IF(B3756="","",IFERROR(INDEX('Cashier Roster'!$D$5:$D$64,MATCH(B3756,'Cashier Roster'!$B$5:$B$64,0)),""))</f>
        <v/>
      </c>
      <c r="E3756" s="13"/>
      <c r="F3756" s="14"/>
      <c r="G3756" s="8" t="str">
        <f>IF(OR(B3756="",E3756=""),"",IF(E3756="No","Missed",IF(F3756="","",IF(F3756&lt;=Settings!$B$7,"On time","Late"))))</f>
        <v/>
      </c>
      <c r="H3756" s="15"/>
      <c r="I3756" s="16"/>
      <c r="J3756" s="16"/>
      <c r="K3756" s="17" t="str">
        <f>IF(J3756="","",ROUND(J3756*Settings!$B$8,2))</f>
        <v/>
      </c>
      <c r="L3756" s="16"/>
      <c r="M3756" s="8" t="str">
        <f t="shared" si="58"/>
        <v/>
      </c>
      <c r="N3756" s="9"/>
    </row>
    <row r="3757" spans="1:14" ht="15.75">
      <c r="A3757" s="11"/>
      <c r="B3757" s="9"/>
      <c r="C3757" s="12" t="str">
        <f>IF(B3757="","",IFERROR(INDEX('Cashier Roster'!$C$5:$C$64,MATCH(B3757,'Cashier Roster'!$B$5:$B$64,0)),"Not on roster"))</f>
        <v/>
      </c>
      <c r="D3757" s="12" t="str">
        <f>IF(B3757="","",IFERROR(INDEX('Cashier Roster'!$D$5:$D$64,MATCH(B3757,'Cashier Roster'!$B$5:$B$64,0)),""))</f>
        <v/>
      </c>
      <c r="E3757" s="13"/>
      <c r="F3757" s="14"/>
      <c r="G3757" s="8" t="str">
        <f>IF(OR(B3757="",E3757=""),"",IF(E3757="No","Missed",IF(F3757="","",IF(F3757&lt;=Settings!$B$7,"On time","Late"))))</f>
        <v/>
      </c>
      <c r="H3757" s="15"/>
      <c r="I3757" s="16"/>
      <c r="J3757" s="16"/>
      <c r="K3757" s="17" t="str">
        <f>IF(J3757="","",ROUND(J3757*Settings!$B$8,2))</f>
        <v/>
      </c>
      <c r="L3757" s="16"/>
      <c r="M3757" s="8" t="str">
        <f t="shared" si="58"/>
        <v/>
      </c>
      <c r="N3757" s="9"/>
    </row>
    <row r="3758" spans="1:14" ht="15.75">
      <c r="A3758" s="11"/>
      <c r="B3758" s="9"/>
      <c r="C3758" s="12" t="str">
        <f>IF(B3758="","",IFERROR(INDEX('Cashier Roster'!$C$5:$C$64,MATCH(B3758,'Cashier Roster'!$B$5:$B$64,0)),"Not on roster"))</f>
        <v/>
      </c>
      <c r="D3758" s="12" t="str">
        <f>IF(B3758="","",IFERROR(INDEX('Cashier Roster'!$D$5:$D$64,MATCH(B3758,'Cashier Roster'!$B$5:$B$64,0)),""))</f>
        <v/>
      </c>
      <c r="E3758" s="13"/>
      <c r="F3758" s="14"/>
      <c r="G3758" s="8" t="str">
        <f>IF(OR(B3758="",E3758=""),"",IF(E3758="No","Missed",IF(F3758="","",IF(F3758&lt;=Settings!$B$7,"On time","Late"))))</f>
        <v/>
      </c>
      <c r="H3758" s="15"/>
      <c r="I3758" s="16"/>
      <c r="J3758" s="16"/>
      <c r="K3758" s="17" t="str">
        <f>IF(J3758="","",ROUND(J3758*Settings!$B$8,2))</f>
        <v/>
      </c>
      <c r="L3758" s="16"/>
      <c r="M3758" s="8" t="str">
        <f t="shared" si="58"/>
        <v/>
      </c>
      <c r="N3758" s="9"/>
    </row>
    <row r="3759" spans="1:14" ht="15.75">
      <c r="A3759" s="11"/>
      <c r="B3759" s="9"/>
      <c r="C3759" s="12" t="str">
        <f>IF(B3759="","",IFERROR(INDEX('Cashier Roster'!$C$5:$C$64,MATCH(B3759,'Cashier Roster'!$B$5:$B$64,0)),"Not on roster"))</f>
        <v/>
      </c>
      <c r="D3759" s="12" t="str">
        <f>IF(B3759="","",IFERROR(INDEX('Cashier Roster'!$D$5:$D$64,MATCH(B3759,'Cashier Roster'!$B$5:$B$64,0)),""))</f>
        <v/>
      </c>
      <c r="E3759" s="13"/>
      <c r="F3759" s="14"/>
      <c r="G3759" s="8" t="str">
        <f>IF(OR(B3759="",E3759=""),"",IF(E3759="No","Missed",IF(F3759="","",IF(F3759&lt;=Settings!$B$7,"On time","Late"))))</f>
        <v/>
      </c>
      <c r="H3759" s="15"/>
      <c r="I3759" s="16"/>
      <c r="J3759" s="16"/>
      <c r="K3759" s="17" t="str">
        <f>IF(J3759="","",ROUND(J3759*Settings!$B$8,2))</f>
        <v/>
      </c>
      <c r="L3759" s="16"/>
      <c r="M3759" s="8" t="str">
        <f t="shared" si="58"/>
        <v/>
      </c>
      <c r="N3759" s="9"/>
    </row>
    <row r="3760" spans="1:14" ht="15.75">
      <c r="A3760" s="11"/>
      <c r="B3760" s="9"/>
      <c r="C3760" s="12" t="str">
        <f>IF(B3760="","",IFERROR(INDEX('Cashier Roster'!$C$5:$C$64,MATCH(B3760,'Cashier Roster'!$B$5:$B$64,0)),"Not on roster"))</f>
        <v/>
      </c>
      <c r="D3760" s="12" t="str">
        <f>IF(B3760="","",IFERROR(INDEX('Cashier Roster'!$D$5:$D$64,MATCH(B3760,'Cashier Roster'!$B$5:$B$64,0)),""))</f>
        <v/>
      </c>
      <c r="E3760" s="13"/>
      <c r="F3760" s="14"/>
      <c r="G3760" s="8" t="str">
        <f>IF(OR(B3760="",E3760=""),"",IF(E3760="No","Missed",IF(F3760="","",IF(F3760&lt;=Settings!$B$7,"On time","Late"))))</f>
        <v/>
      </c>
      <c r="H3760" s="15"/>
      <c r="I3760" s="16"/>
      <c r="J3760" s="16"/>
      <c r="K3760" s="17" t="str">
        <f>IF(J3760="","",ROUND(J3760*Settings!$B$8,2))</f>
        <v/>
      </c>
      <c r="L3760" s="16"/>
      <c r="M3760" s="8" t="str">
        <f t="shared" si="58"/>
        <v/>
      </c>
      <c r="N3760" s="9"/>
    </row>
    <row r="3761" spans="1:14" ht="15.75">
      <c r="A3761" s="11"/>
      <c r="B3761" s="9"/>
      <c r="C3761" s="12" t="str">
        <f>IF(B3761="","",IFERROR(INDEX('Cashier Roster'!$C$5:$C$64,MATCH(B3761,'Cashier Roster'!$B$5:$B$64,0)),"Not on roster"))</f>
        <v/>
      </c>
      <c r="D3761" s="12" t="str">
        <f>IF(B3761="","",IFERROR(INDEX('Cashier Roster'!$D$5:$D$64,MATCH(B3761,'Cashier Roster'!$B$5:$B$64,0)),""))</f>
        <v/>
      </c>
      <c r="E3761" s="13"/>
      <c r="F3761" s="14"/>
      <c r="G3761" s="8" t="str">
        <f>IF(OR(B3761="",E3761=""),"",IF(E3761="No","Missed",IF(F3761="","",IF(F3761&lt;=Settings!$B$7,"On time","Late"))))</f>
        <v/>
      </c>
      <c r="H3761" s="15"/>
      <c r="I3761" s="16"/>
      <c r="J3761" s="16"/>
      <c r="K3761" s="17" t="str">
        <f>IF(J3761="","",ROUND(J3761*Settings!$B$8,2))</f>
        <v/>
      </c>
      <c r="L3761" s="16"/>
      <c r="M3761" s="8" t="str">
        <f t="shared" si="58"/>
        <v/>
      </c>
      <c r="N3761" s="9"/>
    </row>
    <row r="3762" spans="1:14" ht="15.75">
      <c r="A3762" s="11"/>
      <c r="B3762" s="9"/>
      <c r="C3762" s="12" t="str">
        <f>IF(B3762="","",IFERROR(INDEX('Cashier Roster'!$C$5:$C$64,MATCH(B3762,'Cashier Roster'!$B$5:$B$64,0)),"Not on roster"))</f>
        <v/>
      </c>
      <c r="D3762" s="12" t="str">
        <f>IF(B3762="","",IFERROR(INDEX('Cashier Roster'!$D$5:$D$64,MATCH(B3762,'Cashier Roster'!$B$5:$B$64,0)),""))</f>
        <v/>
      </c>
      <c r="E3762" s="13"/>
      <c r="F3762" s="14"/>
      <c r="G3762" s="8" t="str">
        <f>IF(OR(B3762="",E3762=""),"",IF(E3762="No","Missed",IF(F3762="","",IF(F3762&lt;=Settings!$B$7,"On time","Late"))))</f>
        <v/>
      </c>
      <c r="H3762" s="15"/>
      <c r="I3762" s="16"/>
      <c r="J3762" s="16"/>
      <c r="K3762" s="17" t="str">
        <f>IF(J3762="","",ROUND(J3762*Settings!$B$8,2))</f>
        <v/>
      </c>
      <c r="L3762" s="16"/>
      <c r="M3762" s="8" t="str">
        <f t="shared" si="58"/>
        <v/>
      </c>
      <c r="N3762" s="9"/>
    </row>
    <row r="3763" spans="1:14" ht="15.75">
      <c r="A3763" s="11"/>
      <c r="B3763" s="9"/>
      <c r="C3763" s="12" t="str">
        <f>IF(B3763="","",IFERROR(INDEX('Cashier Roster'!$C$5:$C$64,MATCH(B3763,'Cashier Roster'!$B$5:$B$64,0)),"Not on roster"))</f>
        <v/>
      </c>
      <c r="D3763" s="12" t="str">
        <f>IF(B3763="","",IFERROR(INDEX('Cashier Roster'!$D$5:$D$64,MATCH(B3763,'Cashier Roster'!$B$5:$B$64,0)),""))</f>
        <v/>
      </c>
      <c r="E3763" s="13"/>
      <c r="F3763" s="14"/>
      <c r="G3763" s="8" t="str">
        <f>IF(OR(B3763="",E3763=""),"",IF(E3763="No","Missed",IF(F3763="","",IF(F3763&lt;=Settings!$B$7,"On time","Late"))))</f>
        <v/>
      </c>
      <c r="H3763" s="15"/>
      <c r="I3763" s="16"/>
      <c r="J3763" s="16"/>
      <c r="K3763" s="17" t="str">
        <f>IF(J3763="","",ROUND(J3763*Settings!$B$8,2))</f>
        <v/>
      </c>
      <c r="L3763" s="16"/>
      <c r="M3763" s="8" t="str">
        <f t="shared" si="58"/>
        <v/>
      </c>
      <c r="N3763" s="9"/>
    </row>
    <row r="3764" spans="1:14" ht="15.75">
      <c r="A3764" s="11"/>
      <c r="B3764" s="9"/>
      <c r="C3764" s="12" t="str">
        <f>IF(B3764="","",IFERROR(INDEX('Cashier Roster'!$C$5:$C$64,MATCH(B3764,'Cashier Roster'!$B$5:$B$64,0)),"Not on roster"))</f>
        <v/>
      </c>
      <c r="D3764" s="12" t="str">
        <f>IF(B3764="","",IFERROR(INDEX('Cashier Roster'!$D$5:$D$64,MATCH(B3764,'Cashier Roster'!$B$5:$B$64,0)),""))</f>
        <v/>
      </c>
      <c r="E3764" s="13"/>
      <c r="F3764" s="14"/>
      <c r="G3764" s="8" t="str">
        <f>IF(OR(B3764="",E3764=""),"",IF(E3764="No","Missed",IF(F3764="","",IF(F3764&lt;=Settings!$B$7,"On time","Late"))))</f>
        <v/>
      </c>
      <c r="H3764" s="15"/>
      <c r="I3764" s="16"/>
      <c r="J3764" s="16"/>
      <c r="K3764" s="17" t="str">
        <f>IF(J3764="","",ROUND(J3764*Settings!$B$8,2))</f>
        <v/>
      </c>
      <c r="L3764" s="16"/>
      <c r="M3764" s="8" t="str">
        <f t="shared" si="58"/>
        <v/>
      </c>
      <c r="N3764" s="9"/>
    </row>
    <row r="3765" spans="1:14" ht="15.75">
      <c r="A3765" s="11"/>
      <c r="B3765" s="9"/>
      <c r="C3765" s="12" t="str">
        <f>IF(B3765="","",IFERROR(INDEX('Cashier Roster'!$C$5:$C$64,MATCH(B3765,'Cashier Roster'!$B$5:$B$64,0)),"Not on roster"))</f>
        <v/>
      </c>
      <c r="D3765" s="12" t="str">
        <f>IF(B3765="","",IFERROR(INDEX('Cashier Roster'!$D$5:$D$64,MATCH(B3765,'Cashier Roster'!$B$5:$B$64,0)),""))</f>
        <v/>
      </c>
      <c r="E3765" s="13"/>
      <c r="F3765" s="14"/>
      <c r="G3765" s="8" t="str">
        <f>IF(OR(B3765="",E3765=""),"",IF(E3765="No","Missed",IF(F3765="","",IF(F3765&lt;=Settings!$B$7,"On time","Late"))))</f>
        <v/>
      </c>
      <c r="H3765" s="15"/>
      <c r="I3765" s="16"/>
      <c r="J3765" s="16"/>
      <c r="K3765" s="17" t="str">
        <f>IF(J3765="","",ROUND(J3765*Settings!$B$8,2))</f>
        <v/>
      </c>
      <c r="L3765" s="16"/>
      <c r="M3765" s="8" t="str">
        <f t="shared" si="58"/>
        <v/>
      </c>
      <c r="N3765" s="9"/>
    </row>
    <row r="3766" spans="1:14" ht="15.75">
      <c r="A3766" s="11"/>
      <c r="B3766" s="9"/>
      <c r="C3766" s="12" t="str">
        <f>IF(B3766="","",IFERROR(INDEX('Cashier Roster'!$C$5:$C$64,MATCH(B3766,'Cashier Roster'!$B$5:$B$64,0)),"Not on roster"))</f>
        <v/>
      </c>
      <c r="D3766" s="12" t="str">
        <f>IF(B3766="","",IFERROR(INDEX('Cashier Roster'!$D$5:$D$64,MATCH(B3766,'Cashier Roster'!$B$5:$B$64,0)),""))</f>
        <v/>
      </c>
      <c r="E3766" s="13"/>
      <c r="F3766" s="14"/>
      <c r="G3766" s="8" t="str">
        <f>IF(OR(B3766="",E3766=""),"",IF(E3766="No","Missed",IF(F3766="","",IF(F3766&lt;=Settings!$B$7,"On time","Late"))))</f>
        <v/>
      </c>
      <c r="H3766" s="15"/>
      <c r="I3766" s="16"/>
      <c r="J3766" s="16"/>
      <c r="K3766" s="17" t="str">
        <f>IF(J3766="","",ROUND(J3766*Settings!$B$8,2))</f>
        <v/>
      </c>
      <c r="L3766" s="16"/>
      <c r="M3766" s="8" t="str">
        <f t="shared" si="58"/>
        <v/>
      </c>
      <c r="N3766" s="9"/>
    </row>
    <row r="3767" spans="1:14" ht="15.75">
      <c r="A3767" s="11"/>
      <c r="B3767" s="9"/>
      <c r="C3767" s="12" t="str">
        <f>IF(B3767="","",IFERROR(INDEX('Cashier Roster'!$C$5:$C$64,MATCH(B3767,'Cashier Roster'!$B$5:$B$64,0)),"Not on roster"))</f>
        <v/>
      </c>
      <c r="D3767" s="12" t="str">
        <f>IF(B3767="","",IFERROR(INDEX('Cashier Roster'!$D$5:$D$64,MATCH(B3767,'Cashier Roster'!$B$5:$B$64,0)),""))</f>
        <v/>
      </c>
      <c r="E3767" s="13"/>
      <c r="F3767" s="14"/>
      <c r="G3767" s="8" t="str">
        <f>IF(OR(B3767="",E3767=""),"",IF(E3767="No","Missed",IF(F3767="","",IF(F3767&lt;=Settings!$B$7,"On time","Late"))))</f>
        <v/>
      </c>
      <c r="H3767" s="15"/>
      <c r="I3767" s="16"/>
      <c r="J3767" s="16"/>
      <c r="K3767" s="17" t="str">
        <f>IF(J3767="","",ROUND(J3767*Settings!$B$8,2))</f>
        <v/>
      </c>
      <c r="L3767" s="16"/>
      <c r="M3767" s="8" t="str">
        <f t="shared" si="58"/>
        <v/>
      </c>
      <c r="N3767" s="9"/>
    </row>
    <row r="3768" spans="1:14" ht="15.75">
      <c r="A3768" s="11"/>
      <c r="B3768" s="9"/>
      <c r="C3768" s="12" t="str">
        <f>IF(B3768="","",IFERROR(INDEX('Cashier Roster'!$C$5:$C$64,MATCH(B3768,'Cashier Roster'!$B$5:$B$64,0)),"Not on roster"))</f>
        <v/>
      </c>
      <c r="D3768" s="12" t="str">
        <f>IF(B3768="","",IFERROR(INDEX('Cashier Roster'!$D$5:$D$64,MATCH(B3768,'Cashier Roster'!$B$5:$B$64,0)),""))</f>
        <v/>
      </c>
      <c r="E3768" s="13"/>
      <c r="F3768" s="14"/>
      <c r="G3768" s="8" t="str">
        <f>IF(OR(B3768="",E3768=""),"",IF(E3768="No","Missed",IF(F3768="","",IF(F3768&lt;=Settings!$B$7,"On time","Late"))))</f>
        <v/>
      </c>
      <c r="H3768" s="15"/>
      <c r="I3768" s="16"/>
      <c r="J3768" s="16"/>
      <c r="K3768" s="17" t="str">
        <f>IF(J3768="","",ROUND(J3768*Settings!$B$8,2))</f>
        <v/>
      </c>
      <c r="L3768" s="16"/>
      <c r="M3768" s="8" t="str">
        <f t="shared" si="58"/>
        <v/>
      </c>
      <c r="N3768" s="9"/>
    </row>
    <row r="3769" spans="1:14" ht="15.75">
      <c r="A3769" s="11"/>
      <c r="B3769" s="9"/>
      <c r="C3769" s="12" t="str">
        <f>IF(B3769="","",IFERROR(INDEX('Cashier Roster'!$C$5:$C$64,MATCH(B3769,'Cashier Roster'!$B$5:$B$64,0)),"Not on roster"))</f>
        <v/>
      </c>
      <c r="D3769" s="12" t="str">
        <f>IF(B3769="","",IFERROR(INDEX('Cashier Roster'!$D$5:$D$64,MATCH(B3769,'Cashier Roster'!$B$5:$B$64,0)),""))</f>
        <v/>
      </c>
      <c r="E3769" s="13"/>
      <c r="F3769" s="14"/>
      <c r="G3769" s="8" t="str">
        <f>IF(OR(B3769="",E3769=""),"",IF(E3769="No","Missed",IF(F3769="","",IF(F3769&lt;=Settings!$B$7,"On time","Late"))))</f>
        <v/>
      </c>
      <c r="H3769" s="15"/>
      <c r="I3769" s="16"/>
      <c r="J3769" s="16"/>
      <c r="K3769" s="17" t="str">
        <f>IF(J3769="","",ROUND(J3769*Settings!$B$8,2))</f>
        <v/>
      </c>
      <c r="L3769" s="16"/>
      <c r="M3769" s="8" t="str">
        <f t="shared" si="58"/>
        <v/>
      </c>
      <c r="N3769" s="9"/>
    </row>
    <row r="3770" spans="1:14" ht="15.75">
      <c r="A3770" s="11"/>
      <c r="B3770" s="9"/>
      <c r="C3770" s="12" t="str">
        <f>IF(B3770="","",IFERROR(INDEX('Cashier Roster'!$C$5:$C$64,MATCH(B3770,'Cashier Roster'!$B$5:$B$64,0)),"Not on roster"))</f>
        <v/>
      </c>
      <c r="D3770" s="12" t="str">
        <f>IF(B3770="","",IFERROR(INDEX('Cashier Roster'!$D$5:$D$64,MATCH(B3770,'Cashier Roster'!$B$5:$B$64,0)),""))</f>
        <v/>
      </c>
      <c r="E3770" s="13"/>
      <c r="F3770" s="14"/>
      <c r="G3770" s="8" t="str">
        <f>IF(OR(B3770="",E3770=""),"",IF(E3770="No","Missed",IF(F3770="","",IF(F3770&lt;=Settings!$B$7,"On time","Late"))))</f>
        <v/>
      </c>
      <c r="H3770" s="15"/>
      <c r="I3770" s="16"/>
      <c r="J3770" s="16"/>
      <c r="K3770" s="17" t="str">
        <f>IF(J3770="","",ROUND(J3770*Settings!$B$8,2))</f>
        <v/>
      </c>
      <c r="L3770" s="16"/>
      <c r="M3770" s="8" t="str">
        <f t="shared" si="58"/>
        <v/>
      </c>
      <c r="N3770" s="9"/>
    </row>
    <row r="3771" spans="1:14" ht="15.75">
      <c r="A3771" s="11"/>
      <c r="B3771" s="9"/>
      <c r="C3771" s="12" t="str">
        <f>IF(B3771="","",IFERROR(INDEX('Cashier Roster'!$C$5:$C$64,MATCH(B3771,'Cashier Roster'!$B$5:$B$64,0)),"Not on roster"))</f>
        <v/>
      </c>
      <c r="D3771" s="12" t="str">
        <f>IF(B3771="","",IFERROR(INDEX('Cashier Roster'!$D$5:$D$64,MATCH(B3771,'Cashier Roster'!$B$5:$B$64,0)),""))</f>
        <v/>
      </c>
      <c r="E3771" s="13"/>
      <c r="F3771" s="14"/>
      <c r="G3771" s="8" t="str">
        <f>IF(OR(B3771="",E3771=""),"",IF(E3771="No","Missed",IF(F3771="","",IF(F3771&lt;=Settings!$B$7,"On time","Late"))))</f>
        <v/>
      </c>
      <c r="H3771" s="15"/>
      <c r="I3771" s="16"/>
      <c r="J3771" s="16"/>
      <c r="K3771" s="17" t="str">
        <f>IF(J3771="","",ROUND(J3771*Settings!$B$8,2))</f>
        <v/>
      </c>
      <c r="L3771" s="16"/>
      <c r="M3771" s="8" t="str">
        <f t="shared" si="58"/>
        <v/>
      </c>
      <c r="N3771" s="9"/>
    </row>
    <row r="3772" spans="1:14" ht="15.75">
      <c r="A3772" s="11"/>
      <c r="B3772" s="9"/>
      <c r="C3772" s="12" t="str">
        <f>IF(B3772="","",IFERROR(INDEX('Cashier Roster'!$C$5:$C$64,MATCH(B3772,'Cashier Roster'!$B$5:$B$64,0)),"Not on roster"))</f>
        <v/>
      </c>
      <c r="D3772" s="12" t="str">
        <f>IF(B3772="","",IFERROR(INDEX('Cashier Roster'!$D$5:$D$64,MATCH(B3772,'Cashier Roster'!$B$5:$B$64,0)),""))</f>
        <v/>
      </c>
      <c r="E3772" s="13"/>
      <c r="F3772" s="14"/>
      <c r="G3772" s="8" t="str">
        <f>IF(OR(B3772="",E3772=""),"",IF(E3772="No","Missed",IF(F3772="","",IF(F3772&lt;=Settings!$B$7,"On time","Late"))))</f>
        <v/>
      </c>
      <c r="H3772" s="15"/>
      <c r="I3772" s="16"/>
      <c r="J3772" s="16"/>
      <c r="K3772" s="17" t="str">
        <f>IF(J3772="","",ROUND(J3772*Settings!$B$8,2))</f>
        <v/>
      </c>
      <c r="L3772" s="16"/>
      <c r="M3772" s="8" t="str">
        <f t="shared" si="58"/>
        <v/>
      </c>
      <c r="N3772" s="9"/>
    </row>
    <row r="3773" spans="1:14" ht="15.75">
      <c r="A3773" s="11"/>
      <c r="B3773" s="9"/>
      <c r="C3773" s="12" t="str">
        <f>IF(B3773="","",IFERROR(INDEX('Cashier Roster'!$C$5:$C$64,MATCH(B3773,'Cashier Roster'!$B$5:$B$64,0)),"Not on roster"))</f>
        <v/>
      </c>
      <c r="D3773" s="12" t="str">
        <f>IF(B3773="","",IFERROR(INDEX('Cashier Roster'!$D$5:$D$64,MATCH(B3773,'Cashier Roster'!$B$5:$B$64,0)),""))</f>
        <v/>
      </c>
      <c r="E3773" s="13"/>
      <c r="F3773" s="14"/>
      <c r="G3773" s="8" t="str">
        <f>IF(OR(B3773="",E3773=""),"",IF(E3773="No","Missed",IF(F3773="","",IF(F3773&lt;=Settings!$B$7,"On time","Late"))))</f>
        <v/>
      </c>
      <c r="H3773" s="15"/>
      <c r="I3773" s="16"/>
      <c r="J3773" s="16"/>
      <c r="K3773" s="17" t="str">
        <f>IF(J3773="","",ROUND(J3773*Settings!$B$8,2))</f>
        <v/>
      </c>
      <c r="L3773" s="16"/>
      <c r="M3773" s="8" t="str">
        <f t="shared" si="58"/>
        <v/>
      </c>
      <c r="N3773" s="9"/>
    </row>
    <row r="3774" spans="1:14" ht="15.75">
      <c r="A3774" s="11"/>
      <c r="B3774" s="9"/>
      <c r="C3774" s="12" t="str">
        <f>IF(B3774="","",IFERROR(INDEX('Cashier Roster'!$C$5:$C$64,MATCH(B3774,'Cashier Roster'!$B$5:$B$64,0)),"Not on roster"))</f>
        <v/>
      </c>
      <c r="D3774" s="12" t="str">
        <f>IF(B3774="","",IFERROR(INDEX('Cashier Roster'!$D$5:$D$64,MATCH(B3774,'Cashier Roster'!$B$5:$B$64,0)),""))</f>
        <v/>
      </c>
      <c r="E3774" s="13"/>
      <c r="F3774" s="14"/>
      <c r="G3774" s="8" t="str">
        <f>IF(OR(B3774="",E3774=""),"",IF(E3774="No","Missed",IF(F3774="","",IF(F3774&lt;=Settings!$B$7,"On time","Late"))))</f>
        <v/>
      </c>
      <c r="H3774" s="15"/>
      <c r="I3774" s="16"/>
      <c r="J3774" s="16"/>
      <c r="K3774" s="17" t="str">
        <f>IF(J3774="","",ROUND(J3774*Settings!$B$8,2))</f>
        <v/>
      </c>
      <c r="L3774" s="16"/>
      <c r="M3774" s="8" t="str">
        <f t="shared" si="58"/>
        <v/>
      </c>
      <c r="N3774" s="9"/>
    </row>
    <row r="3775" spans="1:14" ht="15.75">
      <c r="A3775" s="11"/>
      <c r="B3775" s="9"/>
      <c r="C3775" s="12" t="str">
        <f>IF(B3775="","",IFERROR(INDEX('Cashier Roster'!$C$5:$C$64,MATCH(B3775,'Cashier Roster'!$B$5:$B$64,0)),"Not on roster"))</f>
        <v/>
      </c>
      <c r="D3775" s="12" t="str">
        <f>IF(B3775="","",IFERROR(INDEX('Cashier Roster'!$D$5:$D$64,MATCH(B3775,'Cashier Roster'!$B$5:$B$64,0)),""))</f>
        <v/>
      </c>
      <c r="E3775" s="13"/>
      <c r="F3775" s="14"/>
      <c r="G3775" s="8" t="str">
        <f>IF(OR(B3775="",E3775=""),"",IF(E3775="No","Missed",IF(F3775="","",IF(F3775&lt;=Settings!$B$7,"On time","Late"))))</f>
        <v/>
      </c>
      <c r="H3775" s="15"/>
      <c r="I3775" s="16"/>
      <c r="J3775" s="16"/>
      <c r="K3775" s="17" t="str">
        <f>IF(J3775="","",ROUND(J3775*Settings!$B$8,2))</f>
        <v/>
      </c>
      <c r="L3775" s="16"/>
      <c r="M3775" s="8" t="str">
        <f t="shared" si="58"/>
        <v/>
      </c>
      <c r="N3775" s="9"/>
    </row>
    <row r="3776" spans="1:14" ht="15.75">
      <c r="A3776" s="11"/>
      <c r="B3776" s="9"/>
      <c r="C3776" s="12" t="str">
        <f>IF(B3776="","",IFERROR(INDEX('Cashier Roster'!$C$5:$C$64,MATCH(B3776,'Cashier Roster'!$B$5:$B$64,0)),"Not on roster"))</f>
        <v/>
      </c>
      <c r="D3776" s="12" t="str">
        <f>IF(B3776="","",IFERROR(INDEX('Cashier Roster'!$D$5:$D$64,MATCH(B3776,'Cashier Roster'!$B$5:$B$64,0)),""))</f>
        <v/>
      </c>
      <c r="E3776" s="13"/>
      <c r="F3776" s="14"/>
      <c r="G3776" s="8" t="str">
        <f>IF(OR(B3776="",E3776=""),"",IF(E3776="No","Missed",IF(F3776="","",IF(F3776&lt;=Settings!$B$7,"On time","Late"))))</f>
        <v/>
      </c>
      <c r="H3776" s="15"/>
      <c r="I3776" s="16"/>
      <c r="J3776" s="16"/>
      <c r="K3776" s="17" t="str">
        <f>IF(J3776="","",ROUND(J3776*Settings!$B$8,2))</f>
        <v/>
      </c>
      <c r="L3776" s="16"/>
      <c r="M3776" s="8" t="str">
        <f t="shared" si="58"/>
        <v/>
      </c>
      <c r="N3776" s="9"/>
    </row>
    <row r="3777" spans="1:14" ht="15.75">
      <c r="A3777" s="11"/>
      <c r="B3777" s="9"/>
      <c r="C3777" s="12" t="str">
        <f>IF(B3777="","",IFERROR(INDEX('Cashier Roster'!$C$5:$C$64,MATCH(B3777,'Cashier Roster'!$B$5:$B$64,0)),"Not on roster"))</f>
        <v/>
      </c>
      <c r="D3777" s="12" t="str">
        <f>IF(B3777="","",IFERROR(INDEX('Cashier Roster'!$D$5:$D$64,MATCH(B3777,'Cashier Roster'!$B$5:$B$64,0)),""))</f>
        <v/>
      </c>
      <c r="E3777" s="13"/>
      <c r="F3777" s="14"/>
      <c r="G3777" s="8" t="str">
        <f>IF(OR(B3777="",E3777=""),"",IF(E3777="No","Missed",IF(F3777="","",IF(F3777&lt;=Settings!$B$7,"On time","Late"))))</f>
        <v/>
      </c>
      <c r="H3777" s="15"/>
      <c r="I3777" s="16"/>
      <c r="J3777" s="16"/>
      <c r="K3777" s="17" t="str">
        <f>IF(J3777="","",ROUND(J3777*Settings!$B$8,2))</f>
        <v/>
      </c>
      <c r="L3777" s="16"/>
      <c r="M3777" s="8" t="str">
        <f t="shared" si="58"/>
        <v/>
      </c>
      <c r="N3777" s="9"/>
    </row>
    <row r="3778" spans="1:14" ht="15.75">
      <c r="A3778" s="11"/>
      <c r="B3778" s="9"/>
      <c r="C3778" s="12" t="str">
        <f>IF(B3778="","",IFERROR(INDEX('Cashier Roster'!$C$5:$C$64,MATCH(B3778,'Cashier Roster'!$B$5:$B$64,0)),"Not on roster"))</f>
        <v/>
      </c>
      <c r="D3778" s="12" t="str">
        <f>IF(B3778="","",IFERROR(INDEX('Cashier Roster'!$D$5:$D$64,MATCH(B3778,'Cashier Roster'!$B$5:$B$64,0)),""))</f>
        <v/>
      </c>
      <c r="E3778" s="13"/>
      <c r="F3778" s="14"/>
      <c r="G3778" s="8" t="str">
        <f>IF(OR(B3778="",E3778=""),"",IF(E3778="No","Missed",IF(F3778="","",IF(F3778&lt;=Settings!$B$7,"On time","Late"))))</f>
        <v/>
      </c>
      <c r="H3778" s="15"/>
      <c r="I3778" s="16"/>
      <c r="J3778" s="16"/>
      <c r="K3778" s="17" t="str">
        <f>IF(J3778="","",ROUND(J3778*Settings!$B$8,2))</f>
        <v/>
      </c>
      <c r="L3778" s="16"/>
      <c r="M3778" s="8" t="str">
        <f t="shared" si="58"/>
        <v/>
      </c>
      <c r="N3778" s="9"/>
    </row>
    <row r="3779" spans="1:14" ht="15.75">
      <c r="A3779" s="11"/>
      <c r="B3779" s="9"/>
      <c r="C3779" s="12" t="str">
        <f>IF(B3779="","",IFERROR(INDEX('Cashier Roster'!$C$5:$C$64,MATCH(B3779,'Cashier Roster'!$B$5:$B$64,0)),"Not on roster"))</f>
        <v/>
      </c>
      <c r="D3779" s="12" t="str">
        <f>IF(B3779="","",IFERROR(INDEX('Cashier Roster'!$D$5:$D$64,MATCH(B3779,'Cashier Roster'!$B$5:$B$64,0)),""))</f>
        <v/>
      </c>
      <c r="E3779" s="13"/>
      <c r="F3779" s="14"/>
      <c r="G3779" s="8" t="str">
        <f>IF(OR(B3779="",E3779=""),"",IF(E3779="No","Missed",IF(F3779="","",IF(F3779&lt;=Settings!$B$7,"On time","Late"))))</f>
        <v/>
      </c>
      <c r="H3779" s="15"/>
      <c r="I3779" s="16"/>
      <c r="J3779" s="16"/>
      <c r="K3779" s="17" t="str">
        <f>IF(J3779="","",ROUND(J3779*Settings!$B$8,2))</f>
        <v/>
      </c>
      <c r="L3779" s="16"/>
      <c r="M3779" s="8" t="str">
        <f t="shared" si="58"/>
        <v/>
      </c>
      <c r="N3779" s="9"/>
    </row>
    <row r="3780" spans="1:14" ht="15.75">
      <c r="A3780" s="11"/>
      <c r="B3780" s="9"/>
      <c r="C3780" s="12" t="str">
        <f>IF(B3780="","",IFERROR(INDEX('Cashier Roster'!$C$5:$C$64,MATCH(B3780,'Cashier Roster'!$B$5:$B$64,0)),"Not on roster"))</f>
        <v/>
      </c>
      <c r="D3780" s="12" t="str">
        <f>IF(B3780="","",IFERROR(INDEX('Cashier Roster'!$D$5:$D$64,MATCH(B3780,'Cashier Roster'!$B$5:$B$64,0)),""))</f>
        <v/>
      </c>
      <c r="E3780" s="13"/>
      <c r="F3780" s="14"/>
      <c r="G3780" s="8" t="str">
        <f>IF(OR(B3780="",E3780=""),"",IF(E3780="No","Missed",IF(F3780="","",IF(F3780&lt;=Settings!$B$7,"On time","Late"))))</f>
        <v/>
      </c>
      <c r="H3780" s="15"/>
      <c r="I3780" s="16"/>
      <c r="J3780" s="16"/>
      <c r="K3780" s="17" t="str">
        <f>IF(J3780="","",ROUND(J3780*Settings!$B$8,2))</f>
        <v/>
      </c>
      <c r="L3780" s="16"/>
      <c r="M3780" s="8" t="str">
        <f t="shared" si="58"/>
        <v/>
      </c>
      <c r="N3780" s="9"/>
    </row>
    <row r="3781" spans="1:14" ht="15.75">
      <c r="A3781" s="11"/>
      <c r="B3781" s="9"/>
      <c r="C3781" s="12" t="str">
        <f>IF(B3781="","",IFERROR(INDEX('Cashier Roster'!$C$5:$C$64,MATCH(B3781,'Cashier Roster'!$B$5:$B$64,0)),"Not on roster"))</f>
        <v/>
      </c>
      <c r="D3781" s="12" t="str">
        <f>IF(B3781="","",IFERROR(INDEX('Cashier Roster'!$D$5:$D$64,MATCH(B3781,'Cashier Roster'!$B$5:$B$64,0)),""))</f>
        <v/>
      </c>
      <c r="E3781" s="13"/>
      <c r="F3781" s="14"/>
      <c r="G3781" s="8" t="str">
        <f>IF(OR(B3781="",E3781=""),"",IF(E3781="No","Missed",IF(F3781="","",IF(F3781&lt;=Settings!$B$7,"On time","Late"))))</f>
        <v/>
      </c>
      <c r="H3781" s="15"/>
      <c r="I3781" s="16"/>
      <c r="J3781" s="16"/>
      <c r="K3781" s="17" t="str">
        <f>IF(J3781="","",ROUND(J3781*Settings!$B$8,2))</f>
        <v/>
      </c>
      <c r="L3781" s="16"/>
      <c r="M3781" s="8" t="str">
        <f t="shared" ref="M3781:M3844" si="59">IF(L3781="","",IF(L3781&lt;=0,"Yes","No"))</f>
        <v/>
      </c>
      <c r="N3781" s="9"/>
    </row>
    <row r="3782" spans="1:14" ht="15.75">
      <c r="A3782" s="11"/>
      <c r="B3782" s="9"/>
      <c r="C3782" s="12" t="str">
        <f>IF(B3782="","",IFERROR(INDEX('Cashier Roster'!$C$5:$C$64,MATCH(B3782,'Cashier Roster'!$B$5:$B$64,0)),"Not on roster"))</f>
        <v/>
      </c>
      <c r="D3782" s="12" t="str">
        <f>IF(B3782="","",IFERROR(INDEX('Cashier Roster'!$D$5:$D$64,MATCH(B3782,'Cashier Roster'!$B$5:$B$64,0)),""))</f>
        <v/>
      </c>
      <c r="E3782" s="13"/>
      <c r="F3782" s="14"/>
      <c r="G3782" s="8" t="str">
        <f>IF(OR(B3782="",E3782=""),"",IF(E3782="No","Missed",IF(F3782="","",IF(F3782&lt;=Settings!$B$7,"On time","Late"))))</f>
        <v/>
      </c>
      <c r="H3782" s="15"/>
      <c r="I3782" s="16"/>
      <c r="J3782" s="16"/>
      <c r="K3782" s="17" t="str">
        <f>IF(J3782="","",ROUND(J3782*Settings!$B$8,2))</f>
        <v/>
      </c>
      <c r="L3782" s="16"/>
      <c r="M3782" s="8" t="str">
        <f t="shared" si="59"/>
        <v/>
      </c>
      <c r="N3782" s="9"/>
    </row>
    <row r="3783" spans="1:14" ht="15.75">
      <c r="A3783" s="11"/>
      <c r="B3783" s="9"/>
      <c r="C3783" s="12" t="str">
        <f>IF(B3783="","",IFERROR(INDEX('Cashier Roster'!$C$5:$C$64,MATCH(B3783,'Cashier Roster'!$B$5:$B$64,0)),"Not on roster"))</f>
        <v/>
      </c>
      <c r="D3783" s="12" t="str">
        <f>IF(B3783="","",IFERROR(INDEX('Cashier Roster'!$D$5:$D$64,MATCH(B3783,'Cashier Roster'!$B$5:$B$64,0)),""))</f>
        <v/>
      </c>
      <c r="E3783" s="13"/>
      <c r="F3783" s="14"/>
      <c r="G3783" s="8" t="str">
        <f>IF(OR(B3783="",E3783=""),"",IF(E3783="No","Missed",IF(F3783="","",IF(F3783&lt;=Settings!$B$7,"On time","Late"))))</f>
        <v/>
      </c>
      <c r="H3783" s="15"/>
      <c r="I3783" s="16"/>
      <c r="J3783" s="16"/>
      <c r="K3783" s="17" t="str">
        <f>IF(J3783="","",ROUND(J3783*Settings!$B$8,2))</f>
        <v/>
      </c>
      <c r="L3783" s="16"/>
      <c r="M3783" s="8" t="str">
        <f t="shared" si="59"/>
        <v/>
      </c>
      <c r="N3783" s="9"/>
    </row>
    <row r="3784" spans="1:14" ht="15.75">
      <c r="A3784" s="11"/>
      <c r="B3784" s="9"/>
      <c r="C3784" s="12" t="str">
        <f>IF(B3784="","",IFERROR(INDEX('Cashier Roster'!$C$5:$C$64,MATCH(B3784,'Cashier Roster'!$B$5:$B$64,0)),"Not on roster"))</f>
        <v/>
      </c>
      <c r="D3784" s="12" t="str">
        <f>IF(B3784="","",IFERROR(INDEX('Cashier Roster'!$D$5:$D$64,MATCH(B3784,'Cashier Roster'!$B$5:$B$64,0)),""))</f>
        <v/>
      </c>
      <c r="E3784" s="13"/>
      <c r="F3784" s="14"/>
      <c r="G3784" s="8" t="str">
        <f>IF(OR(B3784="",E3784=""),"",IF(E3784="No","Missed",IF(F3784="","",IF(F3784&lt;=Settings!$B$7,"On time","Late"))))</f>
        <v/>
      </c>
      <c r="H3784" s="15"/>
      <c r="I3784" s="16"/>
      <c r="J3784" s="16"/>
      <c r="K3784" s="17" t="str">
        <f>IF(J3784="","",ROUND(J3784*Settings!$B$8,2))</f>
        <v/>
      </c>
      <c r="L3784" s="16"/>
      <c r="M3784" s="8" t="str">
        <f t="shared" si="59"/>
        <v/>
      </c>
      <c r="N3784" s="9"/>
    </row>
    <row r="3785" spans="1:14" ht="15.75">
      <c r="A3785" s="11"/>
      <c r="B3785" s="9"/>
      <c r="C3785" s="12" t="str">
        <f>IF(B3785="","",IFERROR(INDEX('Cashier Roster'!$C$5:$C$64,MATCH(B3785,'Cashier Roster'!$B$5:$B$64,0)),"Not on roster"))</f>
        <v/>
      </c>
      <c r="D3785" s="12" t="str">
        <f>IF(B3785="","",IFERROR(INDEX('Cashier Roster'!$D$5:$D$64,MATCH(B3785,'Cashier Roster'!$B$5:$B$64,0)),""))</f>
        <v/>
      </c>
      <c r="E3785" s="13"/>
      <c r="F3785" s="14"/>
      <c r="G3785" s="8" t="str">
        <f>IF(OR(B3785="",E3785=""),"",IF(E3785="No","Missed",IF(F3785="","",IF(F3785&lt;=Settings!$B$7,"On time","Late"))))</f>
        <v/>
      </c>
      <c r="H3785" s="15"/>
      <c r="I3785" s="16"/>
      <c r="J3785" s="16"/>
      <c r="K3785" s="17" t="str">
        <f>IF(J3785="","",ROUND(J3785*Settings!$B$8,2))</f>
        <v/>
      </c>
      <c r="L3785" s="16"/>
      <c r="M3785" s="8" t="str">
        <f t="shared" si="59"/>
        <v/>
      </c>
      <c r="N3785" s="9"/>
    </row>
    <row r="3786" spans="1:14" ht="15.75">
      <c r="A3786" s="11"/>
      <c r="B3786" s="9"/>
      <c r="C3786" s="12" t="str">
        <f>IF(B3786="","",IFERROR(INDEX('Cashier Roster'!$C$5:$C$64,MATCH(B3786,'Cashier Roster'!$B$5:$B$64,0)),"Not on roster"))</f>
        <v/>
      </c>
      <c r="D3786" s="12" t="str">
        <f>IF(B3786="","",IFERROR(INDEX('Cashier Roster'!$D$5:$D$64,MATCH(B3786,'Cashier Roster'!$B$5:$B$64,0)),""))</f>
        <v/>
      </c>
      <c r="E3786" s="13"/>
      <c r="F3786" s="14"/>
      <c r="G3786" s="8" t="str">
        <f>IF(OR(B3786="",E3786=""),"",IF(E3786="No","Missed",IF(F3786="","",IF(F3786&lt;=Settings!$B$7,"On time","Late"))))</f>
        <v/>
      </c>
      <c r="H3786" s="15"/>
      <c r="I3786" s="16"/>
      <c r="J3786" s="16"/>
      <c r="K3786" s="17" t="str">
        <f>IF(J3786="","",ROUND(J3786*Settings!$B$8,2))</f>
        <v/>
      </c>
      <c r="L3786" s="16"/>
      <c r="M3786" s="8" t="str">
        <f t="shared" si="59"/>
        <v/>
      </c>
      <c r="N3786" s="9"/>
    </row>
    <row r="3787" spans="1:14" ht="15.75">
      <c r="A3787" s="11"/>
      <c r="B3787" s="9"/>
      <c r="C3787" s="12" t="str">
        <f>IF(B3787="","",IFERROR(INDEX('Cashier Roster'!$C$5:$C$64,MATCH(B3787,'Cashier Roster'!$B$5:$B$64,0)),"Not on roster"))</f>
        <v/>
      </c>
      <c r="D3787" s="12" t="str">
        <f>IF(B3787="","",IFERROR(INDEX('Cashier Roster'!$D$5:$D$64,MATCH(B3787,'Cashier Roster'!$B$5:$B$64,0)),""))</f>
        <v/>
      </c>
      <c r="E3787" s="13"/>
      <c r="F3787" s="14"/>
      <c r="G3787" s="8" t="str">
        <f>IF(OR(B3787="",E3787=""),"",IF(E3787="No","Missed",IF(F3787="","",IF(F3787&lt;=Settings!$B$7,"On time","Late"))))</f>
        <v/>
      </c>
      <c r="H3787" s="15"/>
      <c r="I3787" s="16"/>
      <c r="J3787" s="16"/>
      <c r="K3787" s="17" t="str">
        <f>IF(J3787="","",ROUND(J3787*Settings!$B$8,2))</f>
        <v/>
      </c>
      <c r="L3787" s="16"/>
      <c r="M3787" s="8" t="str">
        <f t="shared" si="59"/>
        <v/>
      </c>
      <c r="N3787" s="9"/>
    </row>
    <row r="3788" spans="1:14" ht="15.75">
      <c r="A3788" s="11"/>
      <c r="B3788" s="9"/>
      <c r="C3788" s="12" t="str">
        <f>IF(B3788="","",IFERROR(INDEX('Cashier Roster'!$C$5:$C$64,MATCH(B3788,'Cashier Roster'!$B$5:$B$64,0)),"Not on roster"))</f>
        <v/>
      </c>
      <c r="D3788" s="12" t="str">
        <f>IF(B3788="","",IFERROR(INDEX('Cashier Roster'!$D$5:$D$64,MATCH(B3788,'Cashier Roster'!$B$5:$B$64,0)),""))</f>
        <v/>
      </c>
      <c r="E3788" s="13"/>
      <c r="F3788" s="14"/>
      <c r="G3788" s="8" t="str">
        <f>IF(OR(B3788="",E3788=""),"",IF(E3788="No","Missed",IF(F3788="","",IF(F3788&lt;=Settings!$B$7,"On time","Late"))))</f>
        <v/>
      </c>
      <c r="H3788" s="15"/>
      <c r="I3788" s="16"/>
      <c r="J3788" s="16"/>
      <c r="K3788" s="17" t="str">
        <f>IF(J3788="","",ROUND(J3788*Settings!$B$8,2))</f>
        <v/>
      </c>
      <c r="L3788" s="16"/>
      <c r="M3788" s="8" t="str">
        <f t="shared" si="59"/>
        <v/>
      </c>
      <c r="N3788" s="9"/>
    </row>
    <row r="3789" spans="1:14" ht="15.75">
      <c r="A3789" s="11"/>
      <c r="B3789" s="9"/>
      <c r="C3789" s="12" t="str">
        <f>IF(B3789="","",IFERROR(INDEX('Cashier Roster'!$C$5:$C$64,MATCH(B3789,'Cashier Roster'!$B$5:$B$64,0)),"Not on roster"))</f>
        <v/>
      </c>
      <c r="D3789" s="12" t="str">
        <f>IF(B3789="","",IFERROR(INDEX('Cashier Roster'!$D$5:$D$64,MATCH(B3789,'Cashier Roster'!$B$5:$B$64,0)),""))</f>
        <v/>
      </c>
      <c r="E3789" s="13"/>
      <c r="F3789" s="14"/>
      <c r="G3789" s="8" t="str">
        <f>IF(OR(B3789="",E3789=""),"",IF(E3789="No","Missed",IF(F3789="","",IF(F3789&lt;=Settings!$B$7,"On time","Late"))))</f>
        <v/>
      </c>
      <c r="H3789" s="15"/>
      <c r="I3789" s="16"/>
      <c r="J3789" s="16"/>
      <c r="K3789" s="17" t="str">
        <f>IF(J3789="","",ROUND(J3789*Settings!$B$8,2))</f>
        <v/>
      </c>
      <c r="L3789" s="16"/>
      <c r="M3789" s="8" t="str">
        <f t="shared" si="59"/>
        <v/>
      </c>
      <c r="N3789" s="9"/>
    </row>
    <row r="3790" spans="1:14" ht="15.75">
      <c r="A3790" s="11"/>
      <c r="B3790" s="9"/>
      <c r="C3790" s="12" t="str">
        <f>IF(B3790="","",IFERROR(INDEX('Cashier Roster'!$C$5:$C$64,MATCH(B3790,'Cashier Roster'!$B$5:$B$64,0)),"Not on roster"))</f>
        <v/>
      </c>
      <c r="D3790" s="12" t="str">
        <f>IF(B3790="","",IFERROR(INDEX('Cashier Roster'!$D$5:$D$64,MATCH(B3790,'Cashier Roster'!$B$5:$B$64,0)),""))</f>
        <v/>
      </c>
      <c r="E3790" s="13"/>
      <c r="F3790" s="14"/>
      <c r="G3790" s="8" t="str">
        <f>IF(OR(B3790="",E3790=""),"",IF(E3790="No","Missed",IF(F3790="","",IF(F3790&lt;=Settings!$B$7,"On time","Late"))))</f>
        <v/>
      </c>
      <c r="H3790" s="15"/>
      <c r="I3790" s="16"/>
      <c r="J3790" s="16"/>
      <c r="K3790" s="17" t="str">
        <f>IF(J3790="","",ROUND(J3790*Settings!$B$8,2))</f>
        <v/>
      </c>
      <c r="L3790" s="16"/>
      <c r="M3790" s="8" t="str">
        <f t="shared" si="59"/>
        <v/>
      </c>
      <c r="N3790" s="9"/>
    </row>
    <row r="3791" spans="1:14" ht="15.75">
      <c r="A3791" s="11"/>
      <c r="B3791" s="9"/>
      <c r="C3791" s="12" t="str">
        <f>IF(B3791="","",IFERROR(INDEX('Cashier Roster'!$C$5:$C$64,MATCH(B3791,'Cashier Roster'!$B$5:$B$64,0)),"Not on roster"))</f>
        <v/>
      </c>
      <c r="D3791" s="12" t="str">
        <f>IF(B3791="","",IFERROR(INDEX('Cashier Roster'!$D$5:$D$64,MATCH(B3791,'Cashier Roster'!$B$5:$B$64,0)),""))</f>
        <v/>
      </c>
      <c r="E3791" s="13"/>
      <c r="F3791" s="14"/>
      <c r="G3791" s="8" t="str">
        <f>IF(OR(B3791="",E3791=""),"",IF(E3791="No","Missed",IF(F3791="","",IF(F3791&lt;=Settings!$B$7,"On time","Late"))))</f>
        <v/>
      </c>
      <c r="H3791" s="15"/>
      <c r="I3791" s="16"/>
      <c r="J3791" s="16"/>
      <c r="K3791" s="17" t="str">
        <f>IF(J3791="","",ROUND(J3791*Settings!$B$8,2))</f>
        <v/>
      </c>
      <c r="L3791" s="16"/>
      <c r="M3791" s="8" t="str">
        <f t="shared" si="59"/>
        <v/>
      </c>
      <c r="N3791" s="9"/>
    </row>
    <row r="3792" spans="1:14" ht="15.75">
      <c r="A3792" s="11"/>
      <c r="B3792" s="9"/>
      <c r="C3792" s="12" t="str">
        <f>IF(B3792="","",IFERROR(INDEX('Cashier Roster'!$C$5:$C$64,MATCH(B3792,'Cashier Roster'!$B$5:$B$64,0)),"Not on roster"))</f>
        <v/>
      </c>
      <c r="D3792" s="12" t="str">
        <f>IF(B3792="","",IFERROR(INDEX('Cashier Roster'!$D$5:$D$64,MATCH(B3792,'Cashier Roster'!$B$5:$B$64,0)),""))</f>
        <v/>
      </c>
      <c r="E3792" s="13"/>
      <c r="F3792" s="14"/>
      <c r="G3792" s="8" t="str">
        <f>IF(OR(B3792="",E3792=""),"",IF(E3792="No","Missed",IF(F3792="","",IF(F3792&lt;=Settings!$B$7,"On time","Late"))))</f>
        <v/>
      </c>
      <c r="H3792" s="15"/>
      <c r="I3792" s="16"/>
      <c r="J3792" s="16"/>
      <c r="K3792" s="17" t="str">
        <f>IF(J3792="","",ROUND(J3792*Settings!$B$8,2))</f>
        <v/>
      </c>
      <c r="L3792" s="16"/>
      <c r="M3792" s="8" t="str">
        <f t="shared" si="59"/>
        <v/>
      </c>
      <c r="N3792" s="9"/>
    </row>
    <row r="3793" spans="1:14" ht="15.75">
      <c r="A3793" s="11"/>
      <c r="B3793" s="9"/>
      <c r="C3793" s="12" t="str">
        <f>IF(B3793="","",IFERROR(INDEX('Cashier Roster'!$C$5:$C$64,MATCH(B3793,'Cashier Roster'!$B$5:$B$64,0)),"Not on roster"))</f>
        <v/>
      </c>
      <c r="D3793" s="12" t="str">
        <f>IF(B3793="","",IFERROR(INDEX('Cashier Roster'!$D$5:$D$64,MATCH(B3793,'Cashier Roster'!$B$5:$B$64,0)),""))</f>
        <v/>
      </c>
      <c r="E3793" s="13"/>
      <c r="F3793" s="14"/>
      <c r="G3793" s="8" t="str">
        <f>IF(OR(B3793="",E3793=""),"",IF(E3793="No","Missed",IF(F3793="","",IF(F3793&lt;=Settings!$B$7,"On time","Late"))))</f>
        <v/>
      </c>
      <c r="H3793" s="15"/>
      <c r="I3793" s="16"/>
      <c r="J3793" s="16"/>
      <c r="K3793" s="17" t="str">
        <f>IF(J3793="","",ROUND(J3793*Settings!$B$8,2))</f>
        <v/>
      </c>
      <c r="L3793" s="16"/>
      <c r="M3793" s="8" t="str">
        <f t="shared" si="59"/>
        <v/>
      </c>
      <c r="N3793" s="9"/>
    </row>
    <row r="3794" spans="1:14" ht="15.75">
      <c r="A3794" s="11"/>
      <c r="B3794" s="9"/>
      <c r="C3794" s="12" t="str">
        <f>IF(B3794="","",IFERROR(INDEX('Cashier Roster'!$C$5:$C$64,MATCH(B3794,'Cashier Roster'!$B$5:$B$64,0)),"Not on roster"))</f>
        <v/>
      </c>
      <c r="D3794" s="12" t="str">
        <f>IF(B3794="","",IFERROR(INDEX('Cashier Roster'!$D$5:$D$64,MATCH(B3794,'Cashier Roster'!$B$5:$B$64,0)),""))</f>
        <v/>
      </c>
      <c r="E3794" s="13"/>
      <c r="F3794" s="14"/>
      <c r="G3794" s="8" t="str">
        <f>IF(OR(B3794="",E3794=""),"",IF(E3794="No","Missed",IF(F3794="","",IF(F3794&lt;=Settings!$B$7,"On time","Late"))))</f>
        <v/>
      </c>
      <c r="H3794" s="15"/>
      <c r="I3794" s="16"/>
      <c r="J3794" s="16"/>
      <c r="K3794" s="17" t="str">
        <f>IF(J3794="","",ROUND(J3794*Settings!$B$8,2))</f>
        <v/>
      </c>
      <c r="L3794" s="16"/>
      <c r="M3794" s="8" t="str">
        <f t="shared" si="59"/>
        <v/>
      </c>
      <c r="N3794" s="9"/>
    </row>
    <row r="3795" spans="1:14" ht="15.75">
      <c r="A3795" s="11"/>
      <c r="B3795" s="9"/>
      <c r="C3795" s="12" t="str">
        <f>IF(B3795="","",IFERROR(INDEX('Cashier Roster'!$C$5:$C$64,MATCH(B3795,'Cashier Roster'!$B$5:$B$64,0)),"Not on roster"))</f>
        <v/>
      </c>
      <c r="D3795" s="12" t="str">
        <f>IF(B3795="","",IFERROR(INDEX('Cashier Roster'!$D$5:$D$64,MATCH(B3795,'Cashier Roster'!$B$5:$B$64,0)),""))</f>
        <v/>
      </c>
      <c r="E3795" s="13"/>
      <c r="F3795" s="14"/>
      <c r="G3795" s="8" t="str">
        <f>IF(OR(B3795="",E3795=""),"",IF(E3795="No","Missed",IF(F3795="","",IF(F3795&lt;=Settings!$B$7,"On time","Late"))))</f>
        <v/>
      </c>
      <c r="H3795" s="15"/>
      <c r="I3795" s="16"/>
      <c r="J3795" s="16"/>
      <c r="K3795" s="17" t="str">
        <f>IF(J3795="","",ROUND(J3795*Settings!$B$8,2))</f>
        <v/>
      </c>
      <c r="L3795" s="16"/>
      <c r="M3795" s="8" t="str">
        <f t="shared" si="59"/>
        <v/>
      </c>
      <c r="N3795" s="9"/>
    </row>
    <row r="3796" spans="1:14" ht="15.75">
      <c r="A3796" s="11"/>
      <c r="B3796" s="9"/>
      <c r="C3796" s="12" t="str">
        <f>IF(B3796="","",IFERROR(INDEX('Cashier Roster'!$C$5:$C$64,MATCH(B3796,'Cashier Roster'!$B$5:$B$64,0)),"Not on roster"))</f>
        <v/>
      </c>
      <c r="D3796" s="12" t="str">
        <f>IF(B3796="","",IFERROR(INDEX('Cashier Roster'!$D$5:$D$64,MATCH(B3796,'Cashier Roster'!$B$5:$B$64,0)),""))</f>
        <v/>
      </c>
      <c r="E3796" s="13"/>
      <c r="F3796" s="14"/>
      <c r="G3796" s="8" t="str">
        <f>IF(OR(B3796="",E3796=""),"",IF(E3796="No","Missed",IF(F3796="","",IF(F3796&lt;=Settings!$B$7,"On time","Late"))))</f>
        <v/>
      </c>
      <c r="H3796" s="15"/>
      <c r="I3796" s="16"/>
      <c r="J3796" s="16"/>
      <c r="K3796" s="17" t="str">
        <f>IF(J3796="","",ROUND(J3796*Settings!$B$8,2))</f>
        <v/>
      </c>
      <c r="L3796" s="16"/>
      <c r="M3796" s="8" t="str">
        <f t="shared" si="59"/>
        <v/>
      </c>
      <c r="N3796" s="9"/>
    </row>
    <row r="3797" spans="1:14" ht="15.75">
      <c r="A3797" s="11"/>
      <c r="B3797" s="9"/>
      <c r="C3797" s="12" t="str">
        <f>IF(B3797="","",IFERROR(INDEX('Cashier Roster'!$C$5:$C$64,MATCH(B3797,'Cashier Roster'!$B$5:$B$64,0)),"Not on roster"))</f>
        <v/>
      </c>
      <c r="D3797" s="12" t="str">
        <f>IF(B3797="","",IFERROR(INDEX('Cashier Roster'!$D$5:$D$64,MATCH(B3797,'Cashier Roster'!$B$5:$B$64,0)),""))</f>
        <v/>
      </c>
      <c r="E3797" s="13"/>
      <c r="F3797" s="14"/>
      <c r="G3797" s="8" t="str">
        <f>IF(OR(B3797="",E3797=""),"",IF(E3797="No","Missed",IF(F3797="","",IF(F3797&lt;=Settings!$B$7,"On time","Late"))))</f>
        <v/>
      </c>
      <c r="H3797" s="15"/>
      <c r="I3797" s="16"/>
      <c r="J3797" s="16"/>
      <c r="K3797" s="17" t="str">
        <f>IF(J3797="","",ROUND(J3797*Settings!$B$8,2))</f>
        <v/>
      </c>
      <c r="L3797" s="16"/>
      <c r="M3797" s="8" t="str">
        <f t="shared" si="59"/>
        <v/>
      </c>
      <c r="N3797" s="9"/>
    </row>
    <row r="3798" spans="1:14" ht="15.75">
      <c r="A3798" s="11"/>
      <c r="B3798" s="9"/>
      <c r="C3798" s="12" t="str">
        <f>IF(B3798="","",IFERROR(INDEX('Cashier Roster'!$C$5:$C$64,MATCH(B3798,'Cashier Roster'!$B$5:$B$64,0)),"Not on roster"))</f>
        <v/>
      </c>
      <c r="D3798" s="12" t="str">
        <f>IF(B3798="","",IFERROR(INDEX('Cashier Roster'!$D$5:$D$64,MATCH(B3798,'Cashier Roster'!$B$5:$B$64,0)),""))</f>
        <v/>
      </c>
      <c r="E3798" s="13"/>
      <c r="F3798" s="14"/>
      <c r="G3798" s="8" t="str">
        <f>IF(OR(B3798="",E3798=""),"",IF(E3798="No","Missed",IF(F3798="","",IF(F3798&lt;=Settings!$B$7,"On time","Late"))))</f>
        <v/>
      </c>
      <c r="H3798" s="15"/>
      <c r="I3798" s="16"/>
      <c r="J3798" s="16"/>
      <c r="K3798" s="17" t="str">
        <f>IF(J3798="","",ROUND(J3798*Settings!$B$8,2))</f>
        <v/>
      </c>
      <c r="L3798" s="16"/>
      <c r="M3798" s="8" t="str">
        <f t="shared" si="59"/>
        <v/>
      </c>
      <c r="N3798" s="9"/>
    </row>
    <row r="3799" spans="1:14" ht="15.75">
      <c r="A3799" s="11"/>
      <c r="B3799" s="9"/>
      <c r="C3799" s="12" t="str">
        <f>IF(B3799="","",IFERROR(INDEX('Cashier Roster'!$C$5:$C$64,MATCH(B3799,'Cashier Roster'!$B$5:$B$64,0)),"Not on roster"))</f>
        <v/>
      </c>
      <c r="D3799" s="12" t="str">
        <f>IF(B3799="","",IFERROR(INDEX('Cashier Roster'!$D$5:$D$64,MATCH(B3799,'Cashier Roster'!$B$5:$B$64,0)),""))</f>
        <v/>
      </c>
      <c r="E3799" s="13"/>
      <c r="F3799" s="14"/>
      <c r="G3799" s="8" t="str">
        <f>IF(OR(B3799="",E3799=""),"",IF(E3799="No","Missed",IF(F3799="","",IF(F3799&lt;=Settings!$B$7,"On time","Late"))))</f>
        <v/>
      </c>
      <c r="H3799" s="15"/>
      <c r="I3799" s="16"/>
      <c r="J3799" s="16"/>
      <c r="K3799" s="17" t="str">
        <f>IF(J3799="","",ROUND(J3799*Settings!$B$8,2))</f>
        <v/>
      </c>
      <c r="L3799" s="16"/>
      <c r="M3799" s="8" t="str">
        <f t="shared" si="59"/>
        <v/>
      </c>
      <c r="N3799" s="9"/>
    </row>
    <row r="3800" spans="1:14" ht="15.75">
      <c r="A3800" s="11"/>
      <c r="B3800" s="9"/>
      <c r="C3800" s="12" t="str">
        <f>IF(B3800="","",IFERROR(INDEX('Cashier Roster'!$C$5:$C$64,MATCH(B3800,'Cashier Roster'!$B$5:$B$64,0)),"Not on roster"))</f>
        <v/>
      </c>
      <c r="D3800" s="12" t="str">
        <f>IF(B3800="","",IFERROR(INDEX('Cashier Roster'!$D$5:$D$64,MATCH(B3800,'Cashier Roster'!$B$5:$B$64,0)),""))</f>
        <v/>
      </c>
      <c r="E3800" s="13"/>
      <c r="F3800" s="14"/>
      <c r="G3800" s="8" t="str">
        <f>IF(OR(B3800="",E3800=""),"",IF(E3800="No","Missed",IF(F3800="","",IF(F3800&lt;=Settings!$B$7,"On time","Late"))))</f>
        <v/>
      </c>
      <c r="H3800" s="15"/>
      <c r="I3800" s="16"/>
      <c r="J3800" s="16"/>
      <c r="K3800" s="17" t="str">
        <f>IF(J3800="","",ROUND(J3800*Settings!$B$8,2))</f>
        <v/>
      </c>
      <c r="L3800" s="16"/>
      <c r="M3800" s="8" t="str">
        <f t="shared" si="59"/>
        <v/>
      </c>
      <c r="N3800" s="9"/>
    </row>
    <row r="3801" spans="1:14" ht="15.75">
      <c r="A3801" s="11"/>
      <c r="B3801" s="9"/>
      <c r="C3801" s="12" t="str">
        <f>IF(B3801="","",IFERROR(INDEX('Cashier Roster'!$C$5:$C$64,MATCH(B3801,'Cashier Roster'!$B$5:$B$64,0)),"Not on roster"))</f>
        <v/>
      </c>
      <c r="D3801" s="12" t="str">
        <f>IF(B3801="","",IFERROR(INDEX('Cashier Roster'!$D$5:$D$64,MATCH(B3801,'Cashier Roster'!$B$5:$B$64,0)),""))</f>
        <v/>
      </c>
      <c r="E3801" s="13"/>
      <c r="F3801" s="14"/>
      <c r="G3801" s="8" t="str">
        <f>IF(OR(B3801="",E3801=""),"",IF(E3801="No","Missed",IF(F3801="","",IF(F3801&lt;=Settings!$B$7,"On time","Late"))))</f>
        <v/>
      </c>
      <c r="H3801" s="15"/>
      <c r="I3801" s="16"/>
      <c r="J3801" s="16"/>
      <c r="K3801" s="17" t="str">
        <f>IF(J3801="","",ROUND(J3801*Settings!$B$8,2))</f>
        <v/>
      </c>
      <c r="L3801" s="16"/>
      <c r="M3801" s="8" t="str">
        <f t="shared" si="59"/>
        <v/>
      </c>
      <c r="N3801" s="9"/>
    </row>
    <row r="3802" spans="1:14" ht="15.75">
      <c r="A3802" s="11"/>
      <c r="B3802" s="9"/>
      <c r="C3802" s="12" t="str">
        <f>IF(B3802="","",IFERROR(INDEX('Cashier Roster'!$C$5:$C$64,MATCH(B3802,'Cashier Roster'!$B$5:$B$64,0)),"Not on roster"))</f>
        <v/>
      </c>
      <c r="D3802" s="12" t="str">
        <f>IF(B3802="","",IFERROR(INDEX('Cashier Roster'!$D$5:$D$64,MATCH(B3802,'Cashier Roster'!$B$5:$B$64,0)),""))</f>
        <v/>
      </c>
      <c r="E3802" s="13"/>
      <c r="F3802" s="14"/>
      <c r="G3802" s="8" t="str">
        <f>IF(OR(B3802="",E3802=""),"",IF(E3802="No","Missed",IF(F3802="","",IF(F3802&lt;=Settings!$B$7,"On time","Late"))))</f>
        <v/>
      </c>
      <c r="H3802" s="15"/>
      <c r="I3802" s="16"/>
      <c r="J3802" s="16"/>
      <c r="K3802" s="17" t="str">
        <f>IF(J3802="","",ROUND(J3802*Settings!$B$8,2))</f>
        <v/>
      </c>
      <c r="L3802" s="16"/>
      <c r="M3802" s="8" t="str">
        <f t="shared" si="59"/>
        <v/>
      </c>
      <c r="N3802" s="9"/>
    </row>
    <row r="3803" spans="1:14" ht="15.75">
      <c r="A3803" s="11"/>
      <c r="B3803" s="9"/>
      <c r="C3803" s="12" t="str">
        <f>IF(B3803="","",IFERROR(INDEX('Cashier Roster'!$C$5:$C$64,MATCH(B3803,'Cashier Roster'!$B$5:$B$64,0)),"Not on roster"))</f>
        <v/>
      </c>
      <c r="D3803" s="12" t="str">
        <f>IF(B3803="","",IFERROR(INDEX('Cashier Roster'!$D$5:$D$64,MATCH(B3803,'Cashier Roster'!$B$5:$B$64,0)),""))</f>
        <v/>
      </c>
      <c r="E3803" s="13"/>
      <c r="F3803" s="14"/>
      <c r="G3803" s="8" t="str">
        <f>IF(OR(B3803="",E3803=""),"",IF(E3803="No","Missed",IF(F3803="","",IF(F3803&lt;=Settings!$B$7,"On time","Late"))))</f>
        <v/>
      </c>
      <c r="H3803" s="15"/>
      <c r="I3803" s="16"/>
      <c r="J3803" s="16"/>
      <c r="K3803" s="17" t="str">
        <f>IF(J3803="","",ROUND(J3803*Settings!$B$8,2))</f>
        <v/>
      </c>
      <c r="L3803" s="16"/>
      <c r="M3803" s="8" t="str">
        <f t="shared" si="59"/>
        <v/>
      </c>
      <c r="N3803" s="9"/>
    </row>
    <row r="3804" spans="1:14" ht="15.75">
      <c r="A3804" s="11"/>
      <c r="B3804" s="9"/>
      <c r="C3804" s="12" t="str">
        <f>IF(B3804="","",IFERROR(INDEX('Cashier Roster'!$C$5:$C$64,MATCH(B3804,'Cashier Roster'!$B$5:$B$64,0)),"Not on roster"))</f>
        <v/>
      </c>
      <c r="D3804" s="12" t="str">
        <f>IF(B3804="","",IFERROR(INDEX('Cashier Roster'!$D$5:$D$64,MATCH(B3804,'Cashier Roster'!$B$5:$B$64,0)),""))</f>
        <v/>
      </c>
      <c r="E3804" s="13"/>
      <c r="F3804" s="14"/>
      <c r="G3804" s="8" t="str">
        <f>IF(OR(B3804="",E3804=""),"",IF(E3804="No","Missed",IF(F3804="","",IF(F3804&lt;=Settings!$B$7,"On time","Late"))))</f>
        <v/>
      </c>
      <c r="H3804" s="15"/>
      <c r="I3804" s="16"/>
      <c r="J3804" s="16"/>
      <c r="K3804" s="17" t="str">
        <f>IF(J3804="","",ROUND(J3804*Settings!$B$8,2))</f>
        <v/>
      </c>
      <c r="L3804" s="16"/>
      <c r="M3804" s="8" t="str">
        <f t="shared" si="59"/>
        <v/>
      </c>
      <c r="N3804" s="9"/>
    </row>
    <row r="3805" spans="1:14" ht="15.75">
      <c r="A3805" s="11"/>
      <c r="B3805" s="9"/>
      <c r="C3805" s="12" t="str">
        <f>IF(B3805="","",IFERROR(INDEX('Cashier Roster'!$C$5:$C$64,MATCH(B3805,'Cashier Roster'!$B$5:$B$64,0)),"Not on roster"))</f>
        <v/>
      </c>
      <c r="D3805" s="12" t="str">
        <f>IF(B3805="","",IFERROR(INDEX('Cashier Roster'!$D$5:$D$64,MATCH(B3805,'Cashier Roster'!$B$5:$B$64,0)),""))</f>
        <v/>
      </c>
      <c r="E3805" s="13"/>
      <c r="F3805" s="14"/>
      <c r="G3805" s="8" t="str">
        <f>IF(OR(B3805="",E3805=""),"",IF(E3805="No","Missed",IF(F3805="","",IF(F3805&lt;=Settings!$B$7,"On time","Late"))))</f>
        <v/>
      </c>
      <c r="H3805" s="15"/>
      <c r="I3805" s="16"/>
      <c r="J3805" s="16"/>
      <c r="K3805" s="17" t="str">
        <f>IF(J3805="","",ROUND(J3805*Settings!$B$8,2))</f>
        <v/>
      </c>
      <c r="L3805" s="16"/>
      <c r="M3805" s="8" t="str">
        <f t="shared" si="59"/>
        <v/>
      </c>
      <c r="N3805" s="9"/>
    </row>
    <row r="3806" spans="1:14" ht="15.75">
      <c r="A3806" s="11"/>
      <c r="B3806" s="9"/>
      <c r="C3806" s="12" t="str">
        <f>IF(B3806="","",IFERROR(INDEX('Cashier Roster'!$C$5:$C$64,MATCH(B3806,'Cashier Roster'!$B$5:$B$64,0)),"Not on roster"))</f>
        <v/>
      </c>
      <c r="D3806" s="12" t="str">
        <f>IF(B3806="","",IFERROR(INDEX('Cashier Roster'!$D$5:$D$64,MATCH(B3806,'Cashier Roster'!$B$5:$B$64,0)),""))</f>
        <v/>
      </c>
      <c r="E3806" s="13"/>
      <c r="F3806" s="14"/>
      <c r="G3806" s="8" t="str">
        <f>IF(OR(B3806="",E3806=""),"",IF(E3806="No","Missed",IF(F3806="","",IF(F3806&lt;=Settings!$B$7,"On time","Late"))))</f>
        <v/>
      </c>
      <c r="H3806" s="15"/>
      <c r="I3806" s="16"/>
      <c r="J3806" s="16"/>
      <c r="K3806" s="17" t="str">
        <f>IF(J3806="","",ROUND(J3806*Settings!$B$8,2))</f>
        <v/>
      </c>
      <c r="L3806" s="16"/>
      <c r="M3806" s="8" t="str">
        <f t="shared" si="59"/>
        <v/>
      </c>
      <c r="N3806" s="9"/>
    </row>
    <row r="3807" spans="1:14" ht="15.75">
      <c r="A3807" s="11"/>
      <c r="B3807" s="9"/>
      <c r="C3807" s="12" t="str">
        <f>IF(B3807="","",IFERROR(INDEX('Cashier Roster'!$C$5:$C$64,MATCH(B3807,'Cashier Roster'!$B$5:$B$64,0)),"Not on roster"))</f>
        <v/>
      </c>
      <c r="D3807" s="12" t="str">
        <f>IF(B3807="","",IFERROR(INDEX('Cashier Roster'!$D$5:$D$64,MATCH(B3807,'Cashier Roster'!$B$5:$B$64,0)),""))</f>
        <v/>
      </c>
      <c r="E3807" s="13"/>
      <c r="F3807" s="14"/>
      <c r="G3807" s="8" t="str">
        <f>IF(OR(B3807="",E3807=""),"",IF(E3807="No","Missed",IF(F3807="","",IF(F3807&lt;=Settings!$B$7,"On time","Late"))))</f>
        <v/>
      </c>
      <c r="H3807" s="15"/>
      <c r="I3807" s="16"/>
      <c r="J3807" s="16"/>
      <c r="K3807" s="17" t="str">
        <f>IF(J3807="","",ROUND(J3807*Settings!$B$8,2))</f>
        <v/>
      </c>
      <c r="L3807" s="16"/>
      <c r="M3807" s="8" t="str">
        <f t="shared" si="59"/>
        <v/>
      </c>
      <c r="N3807" s="9"/>
    </row>
    <row r="3808" spans="1:14" ht="15.75">
      <c r="A3808" s="11"/>
      <c r="B3808" s="9"/>
      <c r="C3808" s="12" t="str">
        <f>IF(B3808="","",IFERROR(INDEX('Cashier Roster'!$C$5:$C$64,MATCH(B3808,'Cashier Roster'!$B$5:$B$64,0)),"Not on roster"))</f>
        <v/>
      </c>
      <c r="D3808" s="12" t="str">
        <f>IF(B3808="","",IFERROR(INDEX('Cashier Roster'!$D$5:$D$64,MATCH(B3808,'Cashier Roster'!$B$5:$B$64,0)),""))</f>
        <v/>
      </c>
      <c r="E3808" s="13"/>
      <c r="F3808" s="14"/>
      <c r="G3808" s="8" t="str">
        <f>IF(OR(B3808="",E3808=""),"",IF(E3808="No","Missed",IF(F3808="","",IF(F3808&lt;=Settings!$B$7,"On time","Late"))))</f>
        <v/>
      </c>
      <c r="H3808" s="15"/>
      <c r="I3808" s="16"/>
      <c r="J3808" s="16"/>
      <c r="K3808" s="17" t="str">
        <f>IF(J3808="","",ROUND(J3808*Settings!$B$8,2))</f>
        <v/>
      </c>
      <c r="L3808" s="16"/>
      <c r="M3808" s="8" t="str">
        <f t="shared" si="59"/>
        <v/>
      </c>
      <c r="N3808" s="9"/>
    </row>
    <row r="3809" spans="1:14" ht="15.75">
      <c r="A3809" s="11"/>
      <c r="B3809" s="9"/>
      <c r="C3809" s="12" t="str">
        <f>IF(B3809="","",IFERROR(INDEX('Cashier Roster'!$C$5:$C$64,MATCH(B3809,'Cashier Roster'!$B$5:$B$64,0)),"Not on roster"))</f>
        <v/>
      </c>
      <c r="D3809" s="12" t="str">
        <f>IF(B3809="","",IFERROR(INDEX('Cashier Roster'!$D$5:$D$64,MATCH(B3809,'Cashier Roster'!$B$5:$B$64,0)),""))</f>
        <v/>
      </c>
      <c r="E3809" s="13"/>
      <c r="F3809" s="14"/>
      <c r="G3809" s="8" t="str">
        <f>IF(OR(B3809="",E3809=""),"",IF(E3809="No","Missed",IF(F3809="","",IF(F3809&lt;=Settings!$B$7,"On time","Late"))))</f>
        <v/>
      </c>
      <c r="H3809" s="15"/>
      <c r="I3809" s="16"/>
      <c r="J3809" s="16"/>
      <c r="K3809" s="17" t="str">
        <f>IF(J3809="","",ROUND(J3809*Settings!$B$8,2))</f>
        <v/>
      </c>
      <c r="L3809" s="16"/>
      <c r="M3809" s="8" t="str">
        <f t="shared" si="59"/>
        <v/>
      </c>
      <c r="N3809" s="9"/>
    </row>
    <row r="3810" spans="1:14" ht="15.75">
      <c r="A3810" s="11"/>
      <c r="B3810" s="9"/>
      <c r="C3810" s="12" t="str">
        <f>IF(B3810="","",IFERROR(INDEX('Cashier Roster'!$C$5:$C$64,MATCH(B3810,'Cashier Roster'!$B$5:$B$64,0)),"Not on roster"))</f>
        <v/>
      </c>
      <c r="D3810" s="12" t="str">
        <f>IF(B3810="","",IFERROR(INDEX('Cashier Roster'!$D$5:$D$64,MATCH(B3810,'Cashier Roster'!$B$5:$B$64,0)),""))</f>
        <v/>
      </c>
      <c r="E3810" s="13"/>
      <c r="F3810" s="14"/>
      <c r="G3810" s="8" t="str">
        <f>IF(OR(B3810="",E3810=""),"",IF(E3810="No","Missed",IF(F3810="","",IF(F3810&lt;=Settings!$B$7,"On time","Late"))))</f>
        <v/>
      </c>
      <c r="H3810" s="15"/>
      <c r="I3810" s="16"/>
      <c r="J3810" s="16"/>
      <c r="K3810" s="17" t="str">
        <f>IF(J3810="","",ROUND(J3810*Settings!$B$8,2))</f>
        <v/>
      </c>
      <c r="L3810" s="16"/>
      <c r="M3810" s="8" t="str">
        <f t="shared" si="59"/>
        <v/>
      </c>
      <c r="N3810" s="9"/>
    </row>
    <row r="3811" spans="1:14" ht="15.75">
      <c r="A3811" s="11"/>
      <c r="B3811" s="9"/>
      <c r="C3811" s="12" t="str">
        <f>IF(B3811="","",IFERROR(INDEX('Cashier Roster'!$C$5:$C$64,MATCH(B3811,'Cashier Roster'!$B$5:$B$64,0)),"Not on roster"))</f>
        <v/>
      </c>
      <c r="D3811" s="12" t="str">
        <f>IF(B3811="","",IFERROR(INDEX('Cashier Roster'!$D$5:$D$64,MATCH(B3811,'Cashier Roster'!$B$5:$B$64,0)),""))</f>
        <v/>
      </c>
      <c r="E3811" s="13"/>
      <c r="F3811" s="14"/>
      <c r="G3811" s="8" t="str">
        <f>IF(OR(B3811="",E3811=""),"",IF(E3811="No","Missed",IF(F3811="","",IF(F3811&lt;=Settings!$B$7,"On time","Late"))))</f>
        <v/>
      </c>
      <c r="H3811" s="15"/>
      <c r="I3811" s="16"/>
      <c r="J3811" s="16"/>
      <c r="K3811" s="17" t="str">
        <f>IF(J3811="","",ROUND(J3811*Settings!$B$8,2))</f>
        <v/>
      </c>
      <c r="L3811" s="16"/>
      <c r="M3811" s="8" t="str">
        <f t="shared" si="59"/>
        <v/>
      </c>
      <c r="N3811" s="9"/>
    </row>
    <row r="3812" spans="1:14" ht="15.75">
      <c r="A3812" s="11"/>
      <c r="B3812" s="9"/>
      <c r="C3812" s="12" t="str">
        <f>IF(B3812="","",IFERROR(INDEX('Cashier Roster'!$C$5:$C$64,MATCH(B3812,'Cashier Roster'!$B$5:$B$64,0)),"Not on roster"))</f>
        <v/>
      </c>
      <c r="D3812" s="12" t="str">
        <f>IF(B3812="","",IFERROR(INDEX('Cashier Roster'!$D$5:$D$64,MATCH(B3812,'Cashier Roster'!$B$5:$B$64,0)),""))</f>
        <v/>
      </c>
      <c r="E3812" s="13"/>
      <c r="F3812" s="14"/>
      <c r="G3812" s="8" t="str">
        <f>IF(OR(B3812="",E3812=""),"",IF(E3812="No","Missed",IF(F3812="","",IF(F3812&lt;=Settings!$B$7,"On time","Late"))))</f>
        <v/>
      </c>
      <c r="H3812" s="15"/>
      <c r="I3812" s="16"/>
      <c r="J3812" s="16"/>
      <c r="K3812" s="17" t="str">
        <f>IF(J3812="","",ROUND(J3812*Settings!$B$8,2))</f>
        <v/>
      </c>
      <c r="L3812" s="16"/>
      <c r="M3812" s="8" t="str">
        <f t="shared" si="59"/>
        <v/>
      </c>
      <c r="N3812" s="9"/>
    </row>
    <row r="3813" spans="1:14" ht="15.75">
      <c r="A3813" s="11"/>
      <c r="B3813" s="9"/>
      <c r="C3813" s="12" t="str">
        <f>IF(B3813="","",IFERROR(INDEX('Cashier Roster'!$C$5:$C$64,MATCH(B3813,'Cashier Roster'!$B$5:$B$64,0)),"Not on roster"))</f>
        <v/>
      </c>
      <c r="D3813" s="12" t="str">
        <f>IF(B3813="","",IFERROR(INDEX('Cashier Roster'!$D$5:$D$64,MATCH(B3813,'Cashier Roster'!$B$5:$B$64,0)),""))</f>
        <v/>
      </c>
      <c r="E3813" s="13"/>
      <c r="F3813" s="14"/>
      <c r="G3813" s="8" t="str">
        <f>IF(OR(B3813="",E3813=""),"",IF(E3813="No","Missed",IF(F3813="","",IF(F3813&lt;=Settings!$B$7,"On time","Late"))))</f>
        <v/>
      </c>
      <c r="H3813" s="15"/>
      <c r="I3813" s="16"/>
      <c r="J3813" s="16"/>
      <c r="K3813" s="17" t="str">
        <f>IF(J3813="","",ROUND(J3813*Settings!$B$8,2))</f>
        <v/>
      </c>
      <c r="L3813" s="16"/>
      <c r="M3813" s="8" t="str">
        <f t="shared" si="59"/>
        <v/>
      </c>
      <c r="N3813" s="9"/>
    </row>
    <row r="3814" spans="1:14" ht="15.75">
      <c r="A3814" s="11"/>
      <c r="B3814" s="9"/>
      <c r="C3814" s="12" t="str">
        <f>IF(B3814="","",IFERROR(INDEX('Cashier Roster'!$C$5:$C$64,MATCH(B3814,'Cashier Roster'!$B$5:$B$64,0)),"Not on roster"))</f>
        <v/>
      </c>
      <c r="D3814" s="12" t="str">
        <f>IF(B3814="","",IFERROR(INDEX('Cashier Roster'!$D$5:$D$64,MATCH(B3814,'Cashier Roster'!$B$5:$B$64,0)),""))</f>
        <v/>
      </c>
      <c r="E3814" s="13"/>
      <c r="F3814" s="14"/>
      <c r="G3814" s="8" t="str">
        <f>IF(OR(B3814="",E3814=""),"",IF(E3814="No","Missed",IF(F3814="","",IF(F3814&lt;=Settings!$B$7,"On time","Late"))))</f>
        <v/>
      </c>
      <c r="H3814" s="15"/>
      <c r="I3814" s="16"/>
      <c r="J3814" s="16"/>
      <c r="K3814" s="17" t="str">
        <f>IF(J3814="","",ROUND(J3814*Settings!$B$8,2))</f>
        <v/>
      </c>
      <c r="L3814" s="16"/>
      <c r="M3814" s="8" t="str">
        <f t="shared" si="59"/>
        <v/>
      </c>
      <c r="N3814" s="9"/>
    </row>
    <row r="3815" spans="1:14" ht="15.75">
      <c r="A3815" s="11"/>
      <c r="B3815" s="9"/>
      <c r="C3815" s="12" t="str">
        <f>IF(B3815="","",IFERROR(INDEX('Cashier Roster'!$C$5:$C$64,MATCH(B3815,'Cashier Roster'!$B$5:$B$64,0)),"Not on roster"))</f>
        <v/>
      </c>
      <c r="D3815" s="12" t="str">
        <f>IF(B3815="","",IFERROR(INDEX('Cashier Roster'!$D$5:$D$64,MATCH(B3815,'Cashier Roster'!$B$5:$B$64,0)),""))</f>
        <v/>
      </c>
      <c r="E3815" s="13"/>
      <c r="F3815" s="14"/>
      <c r="G3815" s="8" t="str">
        <f>IF(OR(B3815="",E3815=""),"",IF(E3815="No","Missed",IF(F3815="","",IF(F3815&lt;=Settings!$B$7,"On time","Late"))))</f>
        <v/>
      </c>
      <c r="H3815" s="15"/>
      <c r="I3815" s="16"/>
      <c r="J3815" s="16"/>
      <c r="K3815" s="17" t="str">
        <f>IF(J3815="","",ROUND(J3815*Settings!$B$8,2))</f>
        <v/>
      </c>
      <c r="L3815" s="16"/>
      <c r="M3815" s="8" t="str">
        <f t="shared" si="59"/>
        <v/>
      </c>
      <c r="N3815" s="9"/>
    </row>
    <row r="3816" spans="1:14" ht="15.75">
      <c r="A3816" s="11"/>
      <c r="B3816" s="9"/>
      <c r="C3816" s="12" t="str">
        <f>IF(B3816="","",IFERROR(INDEX('Cashier Roster'!$C$5:$C$64,MATCH(B3816,'Cashier Roster'!$B$5:$B$64,0)),"Not on roster"))</f>
        <v/>
      </c>
      <c r="D3816" s="12" t="str">
        <f>IF(B3816="","",IFERROR(INDEX('Cashier Roster'!$D$5:$D$64,MATCH(B3816,'Cashier Roster'!$B$5:$B$64,0)),""))</f>
        <v/>
      </c>
      <c r="E3816" s="13"/>
      <c r="F3816" s="14"/>
      <c r="G3816" s="8" t="str">
        <f>IF(OR(B3816="",E3816=""),"",IF(E3816="No","Missed",IF(F3816="","",IF(F3816&lt;=Settings!$B$7,"On time","Late"))))</f>
        <v/>
      </c>
      <c r="H3816" s="15"/>
      <c r="I3816" s="16"/>
      <c r="J3816" s="16"/>
      <c r="K3816" s="17" t="str">
        <f>IF(J3816="","",ROUND(J3816*Settings!$B$8,2))</f>
        <v/>
      </c>
      <c r="L3816" s="16"/>
      <c r="M3816" s="8" t="str">
        <f t="shared" si="59"/>
        <v/>
      </c>
      <c r="N3816" s="9"/>
    </row>
    <row r="3817" spans="1:14" ht="15.75">
      <c r="A3817" s="11"/>
      <c r="B3817" s="9"/>
      <c r="C3817" s="12" t="str">
        <f>IF(B3817="","",IFERROR(INDEX('Cashier Roster'!$C$5:$C$64,MATCH(B3817,'Cashier Roster'!$B$5:$B$64,0)),"Not on roster"))</f>
        <v/>
      </c>
      <c r="D3817" s="12" t="str">
        <f>IF(B3817="","",IFERROR(INDEX('Cashier Roster'!$D$5:$D$64,MATCH(B3817,'Cashier Roster'!$B$5:$B$64,0)),""))</f>
        <v/>
      </c>
      <c r="E3817" s="13"/>
      <c r="F3817" s="14"/>
      <c r="G3817" s="8" t="str">
        <f>IF(OR(B3817="",E3817=""),"",IF(E3817="No","Missed",IF(F3817="","",IF(F3817&lt;=Settings!$B$7,"On time","Late"))))</f>
        <v/>
      </c>
      <c r="H3817" s="15"/>
      <c r="I3817" s="16"/>
      <c r="J3817" s="16"/>
      <c r="K3817" s="17" t="str">
        <f>IF(J3817="","",ROUND(J3817*Settings!$B$8,2))</f>
        <v/>
      </c>
      <c r="L3817" s="16"/>
      <c r="M3817" s="8" t="str">
        <f t="shared" si="59"/>
        <v/>
      </c>
      <c r="N3817" s="9"/>
    </row>
    <row r="3818" spans="1:14" ht="15.75">
      <c r="A3818" s="11"/>
      <c r="B3818" s="9"/>
      <c r="C3818" s="12" t="str">
        <f>IF(B3818="","",IFERROR(INDEX('Cashier Roster'!$C$5:$C$64,MATCH(B3818,'Cashier Roster'!$B$5:$B$64,0)),"Not on roster"))</f>
        <v/>
      </c>
      <c r="D3818" s="12" t="str">
        <f>IF(B3818="","",IFERROR(INDEX('Cashier Roster'!$D$5:$D$64,MATCH(B3818,'Cashier Roster'!$B$5:$B$64,0)),""))</f>
        <v/>
      </c>
      <c r="E3818" s="13"/>
      <c r="F3818" s="14"/>
      <c r="G3818" s="8" t="str">
        <f>IF(OR(B3818="",E3818=""),"",IF(E3818="No","Missed",IF(F3818="","",IF(F3818&lt;=Settings!$B$7,"On time","Late"))))</f>
        <v/>
      </c>
      <c r="H3818" s="15"/>
      <c r="I3818" s="16"/>
      <c r="J3818" s="16"/>
      <c r="K3818" s="17" t="str">
        <f>IF(J3818="","",ROUND(J3818*Settings!$B$8,2))</f>
        <v/>
      </c>
      <c r="L3818" s="16"/>
      <c r="M3818" s="8" t="str">
        <f t="shared" si="59"/>
        <v/>
      </c>
      <c r="N3818" s="9"/>
    </row>
    <row r="3819" spans="1:14" ht="15.75">
      <c r="A3819" s="11"/>
      <c r="B3819" s="9"/>
      <c r="C3819" s="12" t="str">
        <f>IF(B3819="","",IFERROR(INDEX('Cashier Roster'!$C$5:$C$64,MATCH(B3819,'Cashier Roster'!$B$5:$B$64,0)),"Not on roster"))</f>
        <v/>
      </c>
      <c r="D3819" s="12" t="str">
        <f>IF(B3819="","",IFERROR(INDEX('Cashier Roster'!$D$5:$D$64,MATCH(B3819,'Cashier Roster'!$B$5:$B$64,0)),""))</f>
        <v/>
      </c>
      <c r="E3819" s="13"/>
      <c r="F3819" s="14"/>
      <c r="G3819" s="8" t="str">
        <f>IF(OR(B3819="",E3819=""),"",IF(E3819="No","Missed",IF(F3819="","",IF(F3819&lt;=Settings!$B$7,"On time","Late"))))</f>
        <v/>
      </c>
      <c r="H3819" s="15"/>
      <c r="I3819" s="16"/>
      <c r="J3819" s="16"/>
      <c r="K3819" s="17" t="str">
        <f>IF(J3819="","",ROUND(J3819*Settings!$B$8,2))</f>
        <v/>
      </c>
      <c r="L3819" s="16"/>
      <c r="M3819" s="8" t="str">
        <f t="shared" si="59"/>
        <v/>
      </c>
      <c r="N3819" s="9"/>
    </row>
    <row r="3820" spans="1:14" ht="15.75">
      <c r="A3820" s="11"/>
      <c r="B3820" s="9"/>
      <c r="C3820" s="12" t="str">
        <f>IF(B3820="","",IFERROR(INDEX('Cashier Roster'!$C$5:$C$64,MATCH(B3820,'Cashier Roster'!$B$5:$B$64,0)),"Not on roster"))</f>
        <v/>
      </c>
      <c r="D3820" s="12" t="str">
        <f>IF(B3820="","",IFERROR(INDEX('Cashier Roster'!$D$5:$D$64,MATCH(B3820,'Cashier Roster'!$B$5:$B$64,0)),""))</f>
        <v/>
      </c>
      <c r="E3820" s="13"/>
      <c r="F3820" s="14"/>
      <c r="G3820" s="8" t="str">
        <f>IF(OR(B3820="",E3820=""),"",IF(E3820="No","Missed",IF(F3820="","",IF(F3820&lt;=Settings!$B$7,"On time","Late"))))</f>
        <v/>
      </c>
      <c r="H3820" s="15"/>
      <c r="I3820" s="16"/>
      <c r="J3820" s="16"/>
      <c r="K3820" s="17" t="str">
        <f>IF(J3820="","",ROUND(J3820*Settings!$B$8,2))</f>
        <v/>
      </c>
      <c r="L3820" s="16"/>
      <c r="M3820" s="8" t="str">
        <f t="shared" si="59"/>
        <v/>
      </c>
      <c r="N3820" s="9"/>
    </row>
    <row r="3821" spans="1:14" ht="15.75">
      <c r="A3821" s="11"/>
      <c r="B3821" s="9"/>
      <c r="C3821" s="12" t="str">
        <f>IF(B3821="","",IFERROR(INDEX('Cashier Roster'!$C$5:$C$64,MATCH(B3821,'Cashier Roster'!$B$5:$B$64,0)),"Not on roster"))</f>
        <v/>
      </c>
      <c r="D3821" s="12" t="str">
        <f>IF(B3821="","",IFERROR(INDEX('Cashier Roster'!$D$5:$D$64,MATCH(B3821,'Cashier Roster'!$B$5:$B$64,0)),""))</f>
        <v/>
      </c>
      <c r="E3821" s="13"/>
      <c r="F3821" s="14"/>
      <c r="G3821" s="8" t="str">
        <f>IF(OR(B3821="",E3821=""),"",IF(E3821="No","Missed",IF(F3821="","",IF(F3821&lt;=Settings!$B$7,"On time","Late"))))</f>
        <v/>
      </c>
      <c r="H3821" s="15"/>
      <c r="I3821" s="16"/>
      <c r="J3821" s="16"/>
      <c r="K3821" s="17" t="str">
        <f>IF(J3821="","",ROUND(J3821*Settings!$B$8,2))</f>
        <v/>
      </c>
      <c r="L3821" s="16"/>
      <c r="M3821" s="8" t="str">
        <f t="shared" si="59"/>
        <v/>
      </c>
      <c r="N3821" s="9"/>
    </row>
    <row r="3822" spans="1:14" ht="15.75">
      <c r="A3822" s="11"/>
      <c r="B3822" s="9"/>
      <c r="C3822" s="12" t="str">
        <f>IF(B3822="","",IFERROR(INDEX('Cashier Roster'!$C$5:$C$64,MATCH(B3822,'Cashier Roster'!$B$5:$B$64,0)),"Not on roster"))</f>
        <v/>
      </c>
      <c r="D3822" s="12" t="str">
        <f>IF(B3822="","",IFERROR(INDEX('Cashier Roster'!$D$5:$D$64,MATCH(B3822,'Cashier Roster'!$B$5:$B$64,0)),""))</f>
        <v/>
      </c>
      <c r="E3822" s="13"/>
      <c r="F3822" s="14"/>
      <c r="G3822" s="8" t="str">
        <f>IF(OR(B3822="",E3822=""),"",IF(E3822="No","Missed",IF(F3822="","",IF(F3822&lt;=Settings!$B$7,"On time","Late"))))</f>
        <v/>
      </c>
      <c r="H3822" s="15"/>
      <c r="I3822" s="16"/>
      <c r="J3822" s="16"/>
      <c r="K3822" s="17" t="str">
        <f>IF(J3822="","",ROUND(J3822*Settings!$B$8,2))</f>
        <v/>
      </c>
      <c r="L3822" s="16"/>
      <c r="M3822" s="8" t="str">
        <f t="shared" si="59"/>
        <v/>
      </c>
      <c r="N3822" s="9"/>
    </row>
    <row r="3823" spans="1:14" ht="15.75">
      <c r="A3823" s="11"/>
      <c r="B3823" s="9"/>
      <c r="C3823" s="12" t="str">
        <f>IF(B3823="","",IFERROR(INDEX('Cashier Roster'!$C$5:$C$64,MATCH(B3823,'Cashier Roster'!$B$5:$B$64,0)),"Not on roster"))</f>
        <v/>
      </c>
      <c r="D3823" s="12" t="str">
        <f>IF(B3823="","",IFERROR(INDEX('Cashier Roster'!$D$5:$D$64,MATCH(B3823,'Cashier Roster'!$B$5:$B$64,0)),""))</f>
        <v/>
      </c>
      <c r="E3823" s="13"/>
      <c r="F3823" s="14"/>
      <c r="G3823" s="8" t="str">
        <f>IF(OR(B3823="",E3823=""),"",IF(E3823="No","Missed",IF(F3823="","",IF(F3823&lt;=Settings!$B$7,"On time","Late"))))</f>
        <v/>
      </c>
      <c r="H3823" s="15"/>
      <c r="I3823" s="16"/>
      <c r="J3823" s="16"/>
      <c r="K3823" s="17" t="str">
        <f>IF(J3823="","",ROUND(J3823*Settings!$B$8,2))</f>
        <v/>
      </c>
      <c r="L3823" s="16"/>
      <c r="M3823" s="8" t="str">
        <f t="shared" si="59"/>
        <v/>
      </c>
      <c r="N3823" s="9"/>
    </row>
    <row r="3824" spans="1:14" ht="15.75">
      <c r="A3824" s="11"/>
      <c r="B3824" s="9"/>
      <c r="C3824" s="12" t="str">
        <f>IF(B3824="","",IFERROR(INDEX('Cashier Roster'!$C$5:$C$64,MATCH(B3824,'Cashier Roster'!$B$5:$B$64,0)),"Not on roster"))</f>
        <v/>
      </c>
      <c r="D3824" s="12" t="str">
        <f>IF(B3824="","",IFERROR(INDEX('Cashier Roster'!$D$5:$D$64,MATCH(B3824,'Cashier Roster'!$B$5:$B$64,0)),""))</f>
        <v/>
      </c>
      <c r="E3824" s="13"/>
      <c r="F3824" s="14"/>
      <c r="G3824" s="8" t="str">
        <f>IF(OR(B3824="",E3824=""),"",IF(E3824="No","Missed",IF(F3824="","",IF(F3824&lt;=Settings!$B$7,"On time","Late"))))</f>
        <v/>
      </c>
      <c r="H3824" s="15"/>
      <c r="I3824" s="16"/>
      <c r="J3824" s="16"/>
      <c r="K3824" s="17" t="str">
        <f>IF(J3824="","",ROUND(J3824*Settings!$B$8,2))</f>
        <v/>
      </c>
      <c r="L3824" s="16"/>
      <c r="M3824" s="8" t="str">
        <f t="shared" si="59"/>
        <v/>
      </c>
      <c r="N3824" s="9"/>
    </row>
    <row r="3825" spans="1:14" ht="15.75">
      <c r="A3825" s="11"/>
      <c r="B3825" s="9"/>
      <c r="C3825" s="12" t="str">
        <f>IF(B3825="","",IFERROR(INDEX('Cashier Roster'!$C$5:$C$64,MATCH(B3825,'Cashier Roster'!$B$5:$B$64,0)),"Not on roster"))</f>
        <v/>
      </c>
      <c r="D3825" s="12" t="str">
        <f>IF(B3825="","",IFERROR(INDEX('Cashier Roster'!$D$5:$D$64,MATCH(B3825,'Cashier Roster'!$B$5:$B$64,0)),""))</f>
        <v/>
      </c>
      <c r="E3825" s="13"/>
      <c r="F3825" s="14"/>
      <c r="G3825" s="8" t="str">
        <f>IF(OR(B3825="",E3825=""),"",IF(E3825="No","Missed",IF(F3825="","",IF(F3825&lt;=Settings!$B$7,"On time","Late"))))</f>
        <v/>
      </c>
      <c r="H3825" s="15"/>
      <c r="I3825" s="16"/>
      <c r="J3825" s="16"/>
      <c r="K3825" s="17" t="str">
        <f>IF(J3825="","",ROUND(J3825*Settings!$B$8,2))</f>
        <v/>
      </c>
      <c r="L3825" s="16"/>
      <c r="M3825" s="8" t="str">
        <f t="shared" si="59"/>
        <v/>
      </c>
      <c r="N3825" s="9"/>
    </row>
    <row r="3826" spans="1:14" ht="15.75">
      <c r="A3826" s="11"/>
      <c r="B3826" s="9"/>
      <c r="C3826" s="12" t="str">
        <f>IF(B3826="","",IFERROR(INDEX('Cashier Roster'!$C$5:$C$64,MATCH(B3826,'Cashier Roster'!$B$5:$B$64,0)),"Not on roster"))</f>
        <v/>
      </c>
      <c r="D3826" s="12" t="str">
        <f>IF(B3826="","",IFERROR(INDEX('Cashier Roster'!$D$5:$D$64,MATCH(B3826,'Cashier Roster'!$B$5:$B$64,0)),""))</f>
        <v/>
      </c>
      <c r="E3826" s="13"/>
      <c r="F3826" s="14"/>
      <c r="G3826" s="8" t="str">
        <f>IF(OR(B3826="",E3826=""),"",IF(E3826="No","Missed",IF(F3826="","",IF(F3826&lt;=Settings!$B$7,"On time","Late"))))</f>
        <v/>
      </c>
      <c r="H3826" s="15"/>
      <c r="I3826" s="16"/>
      <c r="J3826" s="16"/>
      <c r="K3826" s="17" t="str">
        <f>IF(J3826="","",ROUND(J3826*Settings!$B$8,2))</f>
        <v/>
      </c>
      <c r="L3826" s="16"/>
      <c r="M3826" s="8" t="str">
        <f t="shared" si="59"/>
        <v/>
      </c>
      <c r="N3826" s="9"/>
    </row>
    <row r="3827" spans="1:14" ht="15.75">
      <c r="A3827" s="11"/>
      <c r="B3827" s="9"/>
      <c r="C3827" s="12" t="str">
        <f>IF(B3827="","",IFERROR(INDEX('Cashier Roster'!$C$5:$C$64,MATCH(B3827,'Cashier Roster'!$B$5:$B$64,0)),"Not on roster"))</f>
        <v/>
      </c>
      <c r="D3827" s="12" t="str">
        <f>IF(B3827="","",IFERROR(INDEX('Cashier Roster'!$D$5:$D$64,MATCH(B3827,'Cashier Roster'!$B$5:$B$64,0)),""))</f>
        <v/>
      </c>
      <c r="E3827" s="13"/>
      <c r="F3827" s="14"/>
      <c r="G3827" s="8" t="str">
        <f>IF(OR(B3827="",E3827=""),"",IF(E3827="No","Missed",IF(F3827="","",IF(F3827&lt;=Settings!$B$7,"On time","Late"))))</f>
        <v/>
      </c>
      <c r="H3827" s="15"/>
      <c r="I3827" s="16"/>
      <c r="J3827" s="16"/>
      <c r="K3827" s="17" t="str">
        <f>IF(J3827="","",ROUND(J3827*Settings!$B$8,2))</f>
        <v/>
      </c>
      <c r="L3827" s="16"/>
      <c r="M3827" s="8" t="str">
        <f t="shared" si="59"/>
        <v/>
      </c>
      <c r="N3827" s="9"/>
    </row>
    <row r="3828" spans="1:14" ht="15.75">
      <c r="A3828" s="11"/>
      <c r="B3828" s="9"/>
      <c r="C3828" s="12" t="str">
        <f>IF(B3828="","",IFERROR(INDEX('Cashier Roster'!$C$5:$C$64,MATCH(B3828,'Cashier Roster'!$B$5:$B$64,0)),"Not on roster"))</f>
        <v/>
      </c>
      <c r="D3828" s="12" t="str">
        <f>IF(B3828="","",IFERROR(INDEX('Cashier Roster'!$D$5:$D$64,MATCH(B3828,'Cashier Roster'!$B$5:$B$64,0)),""))</f>
        <v/>
      </c>
      <c r="E3828" s="13"/>
      <c r="F3828" s="14"/>
      <c r="G3828" s="8" t="str">
        <f>IF(OR(B3828="",E3828=""),"",IF(E3828="No","Missed",IF(F3828="","",IF(F3828&lt;=Settings!$B$7,"On time","Late"))))</f>
        <v/>
      </c>
      <c r="H3828" s="15"/>
      <c r="I3828" s="16"/>
      <c r="J3828" s="16"/>
      <c r="K3828" s="17" t="str">
        <f>IF(J3828="","",ROUND(J3828*Settings!$B$8,2))</f>
        <v/>
      </c>
      <c r="L3828" s="16"/>
      <c r="M3828" s="8" t="str">
        <f t="shared" si="59"/>
        <v/>
      </c>
      <c r="N3828" s="9"/>
    </row>
    <row r="3829" spans="1:14" ht="15.75">
      <c r="A3829" s="11"/>
      <c r="B3829" s="9"/>
      <c r="C3829" s="12" t="str">
        <f>IF(B3829="","",IFERROR(INDEX('Cashier Roster'!$C$5:$C$64,MATCH(B3829,'Cashier Roster'!$B$5:$B$64,0)),"Not on roster"))</f>
        <v/>
      </c>
      <c r="D3829" s="12" t="str">
        <f>IF(B3829="","",IFERROR(INDEX('Cashier Roster'!$D$5:$D$64,MATCH(B3829,'Cashier Roster'!$B$5:$B$64,0)),""))</f>
        <v/>
      </c>
      <c r="E3829" s="13"/>
      <c r="F3829" s="14"/>
      <c r="G3829" s="8" t="str">
        <f>IF(OR(B3829="",E3829=""),"",IF(E3829="No","Missed",IF(F3829="","",IF(F3829&lt;=Settings!$B$7,"On time","Late"))))</f>
        <v/>
      </c>
      <c r="H3829" s="15"/>
      <c r="I3829" s="16"/>
      <c r="J3829" s="16"/>
      <c r="K3829" s="17" t="str">
        <f>IF(J3829="","",ROUND(J3829*Settings!$B$8,2))</f>
        <v/>
      </c>
      <c r="L3829" s="16"/>
      <c r="M3829" s="8" t="str">
        <f t="shared" si="59"/>
        <v/>
      </c>
      <c r="N3829" s="9"/>
    </row>
    <row r="3830" spans="1:14" ht="15.75">
      <c r="A3830" s="11"/>
      <c r="B3830" s="9"/>
      <c r="C3830" s="12" t="str">
        <f>IF(B3830="","",IFERROR(INDEX('Cashier Roster'!$C$5:$C$64,MATCH(B3830,'Cashier Roster'!$B$5:$B$64,0)),"Not on roster"))</f>
        <v/>
      </c>
      <c r="D3830" s="12" t="str">
        <f>IF(B3830="","",IFERROR(INDEX('Cashier Roster'!$D$5:$D$64,MATCH(B3830,'Cashier Roster'!$B$5:$B$64,0)),""))</f>
        <v/>
      </c>
      <c r="E3830" s="13"/>
      <c r="F3830" s="14"/>
      <c r="G3830" s="8" t="str">
        <f>IF(OR(B3830="",E3830=""),"",IF(E3830="No","Missed",IF(F3830="","",IF(F3830&lt;=Settings!$B$7,"On time","Late"))))</f>
        <v/>
      </c>
      <c r="H3830" s="15"/>
      <c r="I3830" s="16"/>
      <c r="J3830" s="16"/>
      <c r="K3830" s="17" t="str">
        <f>IF(J3830="","",ROUND(J3830*Settings!$B$8,2))</f>
        <v/>
      </c>
      <c r="L3830" s="16"/>
      <c r="M3830" s="8" t="str">
        <f t="shared" si="59"/>
        <v/>
      </c>
      <c r="N3830" s="9"/>
    </row>
    <row r="3831" spans="1:14" ht="15.75">
      <c r="A3831" s="11"/>
      <c r="B3831" s="9"/>
      <c r="C3831" s="12" t="str">
        <f>IF(B3831="","",IFERROR(INDEX('Cashier Roster'!$C$5:$C$64,MATCH(B3831,'Cashier Roster'!$B$5:$B$64,0)),"Not on roster"))</f>
        <v/>
      </c>
      <c r="D3831" s="12" t="str">
        <f>IF(B3831="","",IFERROR(INDEX('Cashier Roster'!$D$5:$D$64,MATCH(B3831,'Cashier Roster'!$B$5:$B$64,0)),""))</f>
        <v/>
      </c>
      <c r="E3831" s="13"/>
      <c r="F3831" s="14"/>
      <c r="G3831" s="8" t="str">
        <f>IF(OR(B3831="",E3831=""),"",IF(E3831="No","Missed",IF(F3831="","",IF(F3831&lt;=Settings!$B$7,"On time","Late"))))</f>
        <v/>
      </c>
      <c r="H3831" s="15"/>
      <c r="I3831" s="16"/>
      <c r="J3831" s="16"/>
      <c r="K3831" s="17" t="str">
        <f>IF(J3831="","",ROUND(J3831*Settings!$B$8,2))</f>
        <v/>
      </c>
      <c r="L3831" s="16"/>
      <c r="M3831" s="8" t="str">
        <f t="shared" si="59"/>
        <v/>
      </c>
      <c r="N3831" s="9"/>
    </row>
    <row r="3832" spans="1:14" ht="15.75">
      <c r="A3832" s="11"/>
      <c r="B3832" s="9"/>
      <c r="C3832" s="12" t="str">
        <f>IF(B3832="","",IFERROR(INDEX('Cashier Roster'!$C$5:$C$64,MATCH(B3832,'Cashier Roster'!$B$5:$B$64,0)),"Not on roster"))</f>
        <v/>
      </c>
      <c r="D3832" s="12" t="str">
        <f>IF(B3832="","",IFERROR(INDEX('Cashier Roster'!$D$5:$D$64,MATCH(B3832,'Cashier Roster'!$B$5:$B$64,0)),""))</f>
        <v/>
      </c>
      <c r="E3832" s="13"/>
      <c r="F3832" s="14"/>
      <c r="G3832" s="8" t="str">
        <f>IF(OR(B3832="",E3832=""),"",IF(E3832="No","Missed",IF(F3832="","",IF(F3832&lt;=Settings!$B$7,"On time","Late"))))</f>
        <v/>
      </c>
      <c r="H3832" s="15"/>
      <c r="I3832" s="16"/>
      <c r="J3832" s="16"/>
      <c r="K3832" s="17" t="str">
        <f>IF(J3832="","",ROUND(J3832*Settings!$B$8,2))</f>
        <v/>
      </c>
      <c r="L3832" s="16"/>
      <c r="M3832" s="8" t="str">
        <f t="shared" si="59"/>
        <v/>
      </c>
      <c r="N3832" s="9"/>
    </row>
    <row r="3833" spans="1:14" ht="15.75">
      <c r="A3833" s="11"/>
      <c r="B3833" s="9"/>
      <c r="C3833" s="12" t="str">
        <f>IF(B3833="","",IFERROR(INDEX('Cashier Roster'!$C$5:$C$64,MATCH(B3833,'Cashier Roster'!$B$5:$B$64,0)),"Not on roster"))</f>
        <v/>
      </c>
      <c r="D3833" s="12" t="str">
        <f>IF(B3833="","",IFERROR(INDEX('Cashier Roster'!$D$5:$D$64,MATCH(B3833,'Cashier Roster'!$B$5:$B$64,0)),""))</f>
        <v/>
      </c>
      <c r="E3833" s="13"/>
      <c r="F3833" s="14"/>
      <c r="G3833" s="8" t="str">
        <f>IF(OR(B3833="",E3833=""),"",IF(E3833="No","Missed",IF(F3833="","",IF(F3833&lt;=Settings!$B$7,"On time","Late"))))</f>
        <v/>
      </c>
      <c r="H3833" s="15"/>
      <c r="I3833" s="16"/>
      <c r="J3833" s="16"/>
      <c r="K3833" s="17" t="str">
        <f>IF(J3833="","",ROUND(J3833*Settings!$B$8,2))</f>
        <v/>
      </c>
      <c r="L3833" s="16"/>
      <c r="M3833" s="8" t="str">
        <f t="shared" si="59"/>
        <v/>
      </c>
      <c r="N3833" s="9"/>
    </row>
    <row r="3834" spans="1:14" ht="15.75">
      <c r="A3834" s="11"/>
      <c r="B3834" s="9"/>
      <c r="C3834" s="12" t="str">
        <f>IF(B3834="","",IFERROR(INDEX('Cashier Roster'!$C$5:$C$64,MATCH(B3834,'Cashier Roster'!$B$5:$B$64,0)),"Not on roster"))</f>
        <v/>
      </c>
      <c r="D3834" s="12" t="str">
        <f>IF(B3834="","",IFERROR(INDEX('Cashier Roster'!$D$5:$D$64,MATCH(B3834,'Cashier Roster'!$B$5:$B$64,0)),""))</f>
        <v/>
      </c>
      <c r="E3834" s="13"/>
      <c r="F3834" s="14"/>
      <c r="G3834" s="8" t="str">
        <f>IF(OR(B3834="",E3834=""),"",IF(E3834="No","Missed",IF(F3834="","",IF(F3834&lt;=Settings!$B$7,"On time","Late"))))</f>
        <v/>
      </c>
      <c r="H3834" s="15"/>
      <c r="I3834" s="16"/>
      <c r="J3834" s="16"/>
      <c r="K3834" s="17" t="str">
        <f>IF(J3834="","",ROUND(J3834*Settings!$B$8,2))</f>
        <v/>
      </c>
      <c r="L3834" s="16"/>
      <c r="M3834" s="8" t="str">
        <f t="shared" si="59"/>
        <v/>
      </c>
      <c r="N3834" s="9"/>
    </row>
    <row r="3835" spans="1:14" ht="15.75">
      <c r="A3835" s="11"/>
      <c r="B3835" s="9"/>
      <c r="C3835" s="12" t="str">
        <f>IF(B3835="","",IFERROR(INDEX('Cashier Roster'!$C$5:$C$64,MATCH(B3835,'Cashier Roster'!$B$5:$B$64,0)),"Not on roster"))</f>
        <v/>
      </c>
      <c r="D3835" s="12" t="str">
        <f>IF(B3835="","",IFERROR(INDEX('Cashier Roster'!$D$5:$D$64,MATCH(B3835,'Cashier Roster'!$B$5:$B$64,0)),""))</f>
        <v/>
      </c>
      <c r="E3835" s="13"/>
      <c r="F3835" s="14"/>
      <c r="G3835" s="8" t="str">
        <f>IF(OR(B3835="",E3835=""),"",IF(E3835="No","Missed",IF(F3835="","",IF(F3835&lt;=Settings!$B$7,"On time","Late"))))</f>
        <v/>
      </c>
      <c r="H3835" s="15"/>
      <c r="I3835" s="16"/>
      <c r="J3835" s="16"/>
      <c r="K3835" s="17" t="str">
        <f>IF(J3835="","",ROUND(J3835*Settings!$B$8,2))</f>
        <v/>
      </c>
      <c r="L3835" s="16"/>
      <c r="M3835" s="8" t="str">
        <f t="shared" si="59"/>
        <v/>
      </c>
      <c r="N3835" s="9"/>
    </row>
    <row r="3836" spans="1:14" ht="15.75">
      <c r="A3836" s="11"/>
      <c r="B3836" s="9"/>
      <c r="C3836" s="12" t="str">
        <f>IF(B3836="","",IFERROR(INDEX('Cashier Roster'!$C$5:$C$64,MATCH(B3836,'Cashier Roster'!$B$5:$B$64,0)),"Not on roster"))</f>
        <v/>
      </c>
      <c r="D3836" s="12" t="str">
        <f>IF(B3836="","",IFERROR(INDEX('Cashier Roster'!$D$5:$D$64,MATCH(B3836,'Cashier Roster'!$B$5:$B$64,0)),""))</f>
        <v/>
      </c>
      <c r="E3836" s="13"/>
      <c r="F3836" s="14"/>
      <c r="G3836" s="8" t="str">
        <f>IF(OR(B3836="",E3836=""),"",IF(E3836="No","Missed",IF(F3836="","",IF(F3836&lt;=Settings!$B$7,"On time","Late"))))</f>
        <v/>
      </c>
      <c r="H3836" s="15"/>
      <c r="I3836" s="16"/>
      <c r="J3836" s="16"/>
      <c r="K3836" s="17" t="str">
        <f>IF(J3836="","",ROUND(J3836*Settings!$B$8,2))</f>
        <v/>
      </c>
      <c r="L3836" s="16"/>
      <c r="M3836" s="8" t="str">
        <f t="shared" si="59"/>
        <v/>
      </c>
      <c r="N3836" s="9"/>
    </row>
    <row r="3837" spans="1:14" ht="15.75">
      <c r="A3837" s="11"/>
      <c r="B3837" s="9"/>
      <c r="C3837" s="12" t="str">
        <f>IF(B3837="","",IFERROR(INDEX('Cashier Roster'!$C$5:$C$64,MATCH(B3837,'Cashier Roster'!$B$5:$B$64,0)),"Not on roster"))</f>
        <v/>
      </c>
      <c r="D3837" s="12" t="str">
        <f>IF(B3837="","",IFERROR(INDEX('Cashier Roster'!$D$5:$D$64,MATCH(B3837,'Cashier Roster'!$B$5:$B$64,0)),""))</f>
        <v/>
      </c>
      <c r="E3837" s="13"/>
      <c r="F3837" s="14"/>
      <c r="G3837" s="8" t="str">
        <f>IF(OR(B3837="",E3837=""),"",IF(E3837="No","Missed",IF(F3837="","",IF(F3837&lt;=Settings!$B$7,"On time","Late"))))</f>
        <v/>
      </c>
      <c r="H3837" s="15"/>
      <c r="I3837" s="16"/>
      <c r="J3837" s="16"/>
      <c r="K3837" s="17" t="str">
        <f>IF(J3837="","",ROUND(J3837*Settings!$B$8,2))</f>
        <v/>
      </c>
      <c r="L3837" s="16"/>
      <c r="M3837" s="8" t="str">
        <f t="shared" si="59"/>
        <v/>
      </c>
      <c r="N3837" s="9"/>
    </row>
    <row r="3838" spans="1:14" ht="15.75">
      <c r="A3838" s="11"/>
      <c r="B3838" s="9"/>
      <c r="C3838" s="12" t="str">
        <f>IF(B3838="","",IFERROR(INDEX('Cashier Roster'!$C$5:$C$64,MATCH(B3838,'Cashier Roster'!$B$5:$B$64,0)),"Not on roster"))</f>
        <v/>
      </c>
      <c r="D3838" s="12" t="str">
        <f>IF(B3838="","",IFERROR(INDEX('Cashier Roster'!$D$5:$D$64,MATCH(B3838,'Cashier Roster'!$B$5:$B$64,0)),""))</f>
        <v/>
      </c>
      <c r="E3838" s="13"/>
      <c r="F3838" s="14"/>
      <c r="G3838" s="8" t="str">
        <f>IF(OR(B3838="",E3838=""),"",IF(E3838="No","Missed",IF(F3838="","",IF(F3838&lt;=Settings!$B$7,"On time","Late"))))</f>
        <v/>
      </c>
      <c r="H3838" s="15"/>
      <c r="I3838" s="16"/>
      <c r="J3838" s="16"/>
      <c r="K3838" s="17" t="str">
        <f>IF(J3838="","",ROUND(J3838*Settings!$B$8,2))</f>
        <v/>
      </c>
      <c r="L3838" s="16"/>
      <c r="M3838" s="8" t="str">
        <f t="shared" si="59"/>
        <v/>
      </c>
      <c r="N3838" s="9"/>
    </row>
    <row r="3839" spans="1:14" ht="15.75">
      <c r="A3839" s="11"/>
      <c r="B3839" s="9"/>
      <c r="C3839" s="12" t="str">
        <f>IF(B3839="","",IFERROR(INDEX('Cashier Roster'!$C$5:$C$64,MATCH(B3839,'Cashier Roster'!$B$5:$B$64,0)),"Not on roster"))</f>
        <v/>
      </c>
      <c r="D3839" s="12" t="str">
        <f>IF(B3839="","",IFERROR(INDEX('Cashier Roster'!$D$5:$D$64,MATCH(B3839,'Cashier Roster'!$B$5:$B$64,0)),""))</f>
        <v/>
      </c>
      <c r="E3839" s="13"/>
      <c r="F3839" s="14"/>
      <c r="G3839" s="8" t="str">
        <f>IF(OR(B3839="",E3839=""),"",IF(E3839="No","Missed",IF(F3839="","",IF(F3839&lt;=Settings!$B$7,"On time","Late"))))</f>
        <v/>
      </c>
      <c r="H3839" s="15"/>
      <c r="I3839" s="16"/>
      <c r="J3839" s="16"/>
      <c r="K3839" s="17" t="str">
        <f>IF(J3839="","",ROUND(J3839*Settings!$B$8,2))</f>
        <v/>
      </c>
      <c r="L3839" s="16"/>
      <c r="M3839" s="8" t="str">
        <f t="shared" si="59"/>
        <v/>
      </c>
      <c r="N3839" s="9"/>
    </row>
    <row r="3840" spans="1:14" ht="15.75">
      <c r="A3840" s="11"/>
      <c r="B3840" s="9"/>
      <c r="C3840" s="12" t="str">
        <f>IF(B3840="","",IFERROR(INDEX('Cashier Roster'!$C$5:$C$64,MATCH(B3840,'Cashier Roster'!$B$5:$B$64,0)),"Not on roster"))</f>
        <v/>
      </c>
      <c r="D3840" s="12" t="str">
        <f>IF(B3840="","",IFERROR(INDEX('Cashier Roster'!$D$5:$D$64,MATCH(B3840,'Cashier Roster'!$B$5:$B$64,0)),""))</f>
        <v/>
      </c>
      <c r="E3840" s="13"/>
      <c r="F3840" s="14"/>
      <c r="G3840" s="8" t="str">
        <f>IF(OR(B3840="",E3840=""),"",IF(E3840="No","Missed",IF(F3840="","",IF(F3840&lt;=Settings!$B$7,"On time","Late"))))</f>
        <v/>
      </c>
      <c r="H3840" s="15"/>
      <c r="I3840" s="16"/>
      <c r="J3840" s="16"/>
      <c r="K3840" s="17" t="str">
        <f>IF(J3840="","",ROUND(J3840*Settings!$B$8,2))</f>
        <v/>
      </c>
      <c r="L3840" s="16"/>
      <c r="M3840" s="8" t="str">
        <f t="shared" si="59"/>
        <v/>
      </c>
      <c r="N3840" s="9"/>
    </row>
    <row r="3841" spans="1:14" ht="15.75">
      <c r="A3841" s="11"/>
      <c r="B3841" s="9"/>
      <c r="C3841" s="12" t="str">
        <f>IF(B3841="","",IFERROR(INDEX('Cashier Roster'!$C$5:$C$64,MATCH(B3841,'Cashier Roster'!$B$5:$B$64,0)),"Not on roster"))</f>
        <v/>
      </c>
      <c r="D3841" s="12" t="str">
        <f>IF(B3841="","",IFERROR(INDEX('Cashier Roster'!$D$5:$D$64,MATCH(B3841,'Cashier Roster'!$B$5:$B$64,0)),""))</f>
        <v/>
      </c>
      <c r="E3841" s="13"/>
      <c r="F3841" s="14"/>
      <c r="G3841" s="8" t="str">
        <f>IF(OR(B3841="",E3841=""),"",IF(E3841="No","Missed",IF(F3841="","",IF(F3841&lt;=Settings!$B$7,"On time","Late"))))</f>
        <v/>
      </c>
      <c r="H3841" s="15"/>
      <c r="I3841" s="16"/>
      <c r="J3841" s="16"/>
      <c r="K3841" s="17" t="str">
        <f>IF(J3841="","",ROUND(J3841*Settings!$B$8,2))</f>
        <v/>
      </c>
      <c r="L3841" s="16"/>
      <c r="M3841" s="8" t="str">
        <f t="shared" si="59"/>
        <v/>
      </c>
      <c r="N3841" s="9"/>
    </row>
    <row r="3842" spans="1:14" ht="15.75">
      <c r="A3842" s="11"/>
      <c r="B3842" s="9"/>
      <c r="C3842" s="12" t="str">
        <f>IF(B3842="","",IFERROR(INDEX('Cashier Roster'!$C$5:$C$64,MATCH(B3842,'Cashier Roster'!$B$5:$B$64,0)),"Not on roster"))</f>
        <v/>
      </c>
      <c r="D3842" s="12" t="str">
        <f>IF(B3842="","",IFERROR(INDEX('Cashier Roster'!$D$5:$D$64,MATCH(B3842,'Cashier Roster'!$B$5:$B$64,0)),""))</f>
        <v/>
      </c>
      <c r="E3842" s="13"/>
      <c r="F3842" s="14"/>
      <c r="G3842" s="8" t="str">
        <f>IF(OR(B3842="",E3842=""),"",IF(E3842="No","Missed",IF(F3842="","",IF(F3842&lt;=Settings!$B$7,"On time","Late"))))</f>
        <v/>
      </c>
      <c r="H3842" s="15"/>
      <c r="I3842" s="16"/>
      <c r="J3842" s="16"/>
      <c r="K3842" s="17" t="str">
        <f>IF(J3842="","",ROUND(J3842*Settings!$B$8,2))</f>
        <v/>
      </c>
      <c r="L3842" s="16"/>
      <c r="M3842" s="8" t="str">
        <f t="shared" si="59"/>
        <v/>
      </c>
      <c r="N3842" s="9"/>
    </row>
    <row r="3843" spans="1:14" ht="15.75">
      <c r="A3843" s="11"/>
      <c r="B3843" s="9"/>
      <c r="C3843" s="12" t="str">
        <f>IF(B3843="","",IFERROR(INDEX('Cashier Roster'!$C$5:$C$64,MATCH(B3843,'Cashier Roster'!$B$5:$B$64,0)),"Not on roster"))</f>
        <v/>
      </c>
      <c r="D3843" s="12" t="str">
        <f>IF(B3843="","",IFERROR(INDEX('Cashier Roster'!$D$5:$D$64,MATCH(B3843,'Cashier Roster'!$B$5:$B$64,0)),""))</f>
        <v/>
      </c>
      <c r="E3843" s="13"/>
      <c r="F3843" s="14"/>
      <c r="G3843" s="8" t="str">
        <f>IF(OR(B3843="",E3843=""),"",IF(E3843="No","Missed",IF(F3843="","",IF(F3843&lt;=Settings!$B$7,"On time","Late"))))</f>
        <v/>
      </c>
      <c r="H3843" s="15"/>
      <c r="I3843" s="16"/>
      <c r="J3843" s="16"/>
      <c r="K3843" s="17" t="str">
        <f>IF(J3843="","",ROUND(J3843*Settings!$B$8,2))</f>
        <v/>
      </c>
      <c r="L3843" s="16"/>
      <c r="M3843" s="8" t="str">
        <f t="shared" si="59"/>
        <v/>
      </c>
      <c r="N3843" s="9"/>
    </row>
    <row r="3844" spans="1:14" ht="15.75">
      <c r="A3844" s="11"/>
      <c r="B3844" s="9"/>
      <c r="C3844" s="12" t="str">
        <f>IF(B3844="","",IFERROR(INDEX('Cashier Roster'!$C$5:$C$64,MATCH(B3844,'Cashier Roster'!$B$5:$B$64,0)),"Not on roster"))</f>
        <v/>
      </c>
      <c r="D3844" s="12" t="str">
        <f>IF(B3844="","",IFERROR(INDEX('Cashier Roster'!$D$5:$D$64,MATCH(B3844,'Cashier Roster'!$B$5:$B$64,0)),""))</f>
        <v/>
      </c>
      <c r="E3844" s="13"/>
      <c r="F3844" s="14"/>
      <c r="G3844" s="8" t="str">
        <f>IF(OR(B3844="",E3844=""),"",IF(E3844="No","Missed",IF(F3844="","",IF(F3844&lt;=Settings!$B$7,"On time","Late"))))</f>
        <v/>
      </c>
      <c r="H3844" s="15"/>
      <c r="I3844" s="16"/>
      <c r="J3844" s="16"/>
      <c r="K3844" s="17" t="str">
        <f>IF(J3844="","",ROUND(J3844*Settings!$B$8,2))</f>
        <v/>
      </c>
      <c r="L3844" s="16"/>
      <c r="M3844" s="8" t="str">
        <f t="shared" si="59"/>
        <v/>
      </c>
      <c r="N3844" s="9"/>
    </row>
    <row r="3845" spans="1:14" ht="15.75">
      <c r="A3845" s="11"/>
      <c r="B3845" s="9"/>
      <c r="C3845" s="12" t="str">
        <f>IF(B3845="","",IFERROR(INDEX('Cashier Roster'!$C$5:$C$64,MATCH(B3845,'Cashier Roster'!$B$5:$B$64,0)),"Not on roster"))</f>
        <v/>
      </c>
      <c r="D3845" s="12" t="str">
        <f>IF(B3845="","",IFERROR(INDEX('Cashier Roster'!$D$5:$D$64,MATCH(B3845,'Cashier Roster'!$B$5:$B$64,0)),""))</f>
        <v/>
      </c>
      <c r="E3845" s="13"/>
      <c r="F3845" s="14"/>
      <c r="G3845" s="8" t="str">
        <f>IF(OR(B3845="",E3845=""),"",IF(E3845="No","Missed",IF(F3845="","",IF(F3845&lt;=Settings!$B$7,"On time","Late"))))</f>
        <v/>
      </c>
      <c r="H3845" s="15"/>
      <c r="I3845" s="16"/>
      <c r="J3845" s="16"/>
      <c r="K3845" s="17" t="str">
        <f>IF(J3845="","",ROUND(J3845*Settings!$B$8,2))</f>
        <v/>
      </c>
      <c r="L3845" s="16"/>
      <c r="M3845" s="8" t="str">
        <f t="shared" ref="M3845:M3908" si="60">IF(L3845="","",IF(L3845&lt;=0,"Yes","No"))</f>
        <v/>
      </c>
      <c r="N3845" s="9"/>
    </row>
    <row r="3846" spans="1:14" ht="15.75">
      <c r="A3846" s="11"/>
      <c r="B3846" s="9"/>
      <c r="C3846" s="12" t="str">
        <f>IF(B3846="","",IFERROR(INDEX('Cashier Roster'!$C$5:$C$64,MATCH(B3846,'Cashier Roster'!$B$5:$B$64,0)),"Not on roster"))</f>
        <v/>
      </c>
      <c r="D3846" s="12" t="str">
        <f>IF(B3846="","",IFERROR(INDEX('Cashier Roster'!$D$5:$D$64,MATCH(B3846,'Cashier Roster'!$B$5:$B$64,0)),""))</f>
        <v/>
      </c>
      <c r="E3846" s="13"/>
      <c r="F3846" s="14"/>
      <c r="G3846" s="8" t="str">
        <f>IF(OR(B3846="",E3846=""),"",IF(E3846="No","Missed",IF(F3846="","",IF(F3846&lt;=Settings!$B$7,"On time","Late"))))</f>
        <v/>
      </c>
      <c r="H3846" s="15"/>
      <c r="I3846" s="16"/>
      <c r="J3846" s="16"/>
      <c r="K3846" s="17" t="str">
        <f>IF(J3846="","",ROUND(J3846*Settings!$B$8,2))</f>
        <v/>
      </c>
      <c r="L3846" s="16"/>
      <c r="M3846" s="8" t="str">
        <f t="shared" si="60"/>
        <v/>
      </c>
      <c r="N3846" s="9"/>
    </row>
    <row r="3847" spans="1:14" ht="15.75">
      <c r="A3847" s="11"/>
      <c r="B3847" s="9"/>
      <c r="C3847" s="12" t="str">
        <f>IF(B3847="","",IFERROR(INDEX('Cashier Roster'!$C$5:$C$64,MATCH(B3847,'Cashier Roster'!$B$5:$B$64,0)),"Not on roster"))</f>
        <v/>
      </c>
      <c r="D3847" s="12" t="str">
        <f>IF(B3847="","",IFERROR(INDEX('Cashier Roster'!$D$5:$D$64,MATCH(B3847,'Cashier Roster'!$B$5:$B$64,0)),""))</f>
        <v/>
      </c>
      <c r="E3847" s="13"/>
      <c r="F3847" s="14"/>
      <c r="G3847" s="8" t="str">
        <f>IF(OR(B3847="",E3847=""),"",IF(E3847="No","Missed",IF(F3847="","",IF(F3847&lt;=Settings!$B$7,"On time","Late"))))</f>
        <v/>
      </c>
      <c r="H3847" s="15"/>
      <c r="I3847" s="16"/>
      <c r="J3847" s="16"/>
      <c r="K3847" s="17" t="str">
        <f>IF(J3847="","",ROUND(J3847*Settings!$B$8,2))</f>
        <v/>
      </c>
      <c r="L3847" s="16"/>
      <c r="M3847" s="8" t="str">
        <f t="shared" si="60"/>
        <v/>
      </c>
      <c r="N3847" s="9"/>
    </row>
    <row r="3848" spans="1:14" ht="15.75">
      <c r="A3848" s="11"/>
      <c r="B3848" s="9"/>
      <c r="C3848" s="12" t="str">
        <f>IF(B3848="","",IFERROR(INDEX('Cashier Roster'!$C$5:$C$64,MATCH(B3848,'Cashier Roster'!$B$5:$B$64,0)),"Not on roster"))</f>
        <v/>
      </c>
      <c r="D3848" s="12" t="str">
        <f>IF(B3848="","",IFERROR(INDEX('Cashier Roster'!$D$5:$D$64,MATCH(B3848,'Cashier Roster'!$B$5:$B$64,0)),""))</f>
        <v/>
      </c>
      <c r="E3848" s="13"/>
      <c r="F3848" s="14"/>
      <c r="G3848" s="8" t="str">
        <f>IF(OR(B3848="",E3848=""),"",IF(E3848="No","Missed",IF(F3848="","",IF(F3848&lt;=Settings!$B$7,"On time","Late"))))</f>
        <v/>
      </c>
      <c r="H3848" s="15"/>
      <c r="I3848" s="16"/>
      <c r="J3848" s="16"/>
      <c r="K3848" s="17" t="str">
        <f>IF(J3848="","",ROUND(J3848*Settings!$B$8,2))</f>
        <v/>
      </c>
      <c r="L3848" s="16"/>
      <c r="M3848" s="8" t="str">
        <f t="shared" si="60"/>
        <v/>
      </c>
      <c r="N3848" s="9"/>
    </row>
    <row r="3849" spans="1:14" ht="15.75">
      <c r="A3849" s="11"/>
      <c r="B3849" s="9"/>
      <c r="C3849" s="12" t="str">
        <f>IF(B3849="","",IFERROR(INDEX('Cashier Roster'!$C$5:$C$64,MATCH(B3849,'Cashier Roster'!$B$5:$B$64,0)),"Not on roster"))</f>
        <v/>
      </c>
      <c r="D3849" s="12" t="str">
        <f>IF(B3849="","",IFERROR(INDEX('Cashier Roster'!$D$5:$D$64,MATCH(B3849,'Cashier Roster'!$B$5:$B$64,0)),""))</f>
        <v/>
      </c>
      <c r="E3849" s="13"/>
      <c r="F3849" s="14"/>
      <c r="G3849" s="8" t="str">
        <f>IF(OR(B3849="",E3849=""),"",IF(E3849="No","Missed",IF(F3849="","",IF(F3849&lt;=Settings!$B$7,"On time","Late"))))</f>
        <v/>
      </c>
      <c r="H3849" s="15"/>
      <c r="I3849" s="16"/>
      <c r="J3849" s="16"/>
      <c r="K3849" s="17" t="str">
        <f>IF(J3849="","",ROUND(J3849*Settings!$B$8,2))</f>
        <v/>
      </c>
      <c r="L3849" s="16"/>
      <c r="M3849" s="8" t="str">
        <f t="shared" si="60"/>
        <v/>
      </c>
      <c r="N3849" s="9"/>
    </row>
    <row r="3850" spans="1:14" ht="15.75">
      <c r="A3850" s="11"/>
      <c r="B3850" s="9"/>
      <c r="C3850" s="12" t="str">
        <f>IF(B3850="","",IFERROR(INDEX('Cashier Roster'!$C$5:$C$64,MATCH(B3850,'Cashier Roster'!$B$5:$B$64,0)),"Not on roster"))</f>
        <v/>
      </c>
      <c r="D3850" s="12" t="str">
        <f>IF(B3850="","",IFERROR(INDEX('Cashier Roster'!$D$5:$D$64,MATCH(B3850,'Cashier Roster'!$B$5:$B$64,0)),""))</f>
        <v/>
      </c>
      <c r="E3850" s="13"/>
      <c r="F3850" s="14"/>
      <c r="G3850" s="8" t="str">
        <f>IF(OR(B3850="",E3850=""),"",IF(E3850="No","Missed",IF(F3850="","",IF(F3850&lt;=Settings!$B$7,"On time","Late"))))</f>
        <v/>
      </c>
      <c r="H3850" s="15"/>
      <c r="I3850" s="16"/>
      <c r="J3850" s="16"/>
      <c r="K3850" s="17" t="str">
        <f>IF(J3850="","",ROUND(J3850*Settings!$B$8,2))</f>
        <v/>
      </c>
      <c r="L3850" s="16"/>
      <c r="M3850" s="8" t="str">
        <f t="shared" si="60"/>
        <v/>
      </c>
      <c r="N3850" s="9"/>
    </row>
    <row r="3851" spans="1:14" ht="15.75">
      <c r="A3851" s="11"/>
      <c r="B3851" s="9"/>
      <c r="C3851" s="12" t="str">
        <f>IF(B3851="","",IFERROR(INDEX('Cashier Roster'!$C$5:$C$64,MATCH(B3851,'Cashier Roster'!$B$5:$B$64,0)),"Not on roster"))</f>
        <v/>
      </c>
      <c r="D3851" s="12" t="str">
        <f>IF(B3851="","",IFERROR(INDEX('Cashier Roster'!$D$5:$D$64,MATCH(B3851,'Cashier Roster'!$B$5:$B$64,0)),""))</f>
        <v/>
      </c>
      <c r="E3851" s="13"/>
      <c r="F3851" s="14"/>
      <c r="G3851" s="8" t="str">
        <f>IF(OR(B3851="",E3851=""),"",IF(E3851="No","Missed",IF(F3851="","",IF(F3851&lt;=Settings!$B$7,"On time","Late"))))</f>
        <v/>
      </c>
      <c r="H3851" s="15"/>
      <c r="I3851" s="16"/>
      <c r="J3851" s="16"/>
      <c r="K3851" s="17" t="str">
        <f>IF(J3851="","",ROUND(J3851*Settings!$B$8,2))</f>
        <v/>
      </c>
      <c r="L3851" s="16"/>
      <c r="M3851" s="8" t="str">
        <f t="shared" si="60"/>
        <v/>
      </c>
      <c r="N3851" s="9"/>
    </row>
    <row r="3852" spans="1:14" ht="15.75">
      <c r="A3852" s="11"/>
      <c r="B3852" s="9"/>
      <c r="C3852" s="12" t="str">
        <f>IF(B3852="","",IFERROR(INDEX('Cashier Roster'!$C$5:$C$64,MATCH(B3852,'Cashier Roster'!$B$5:$B$64,0)),"Not on roster"))</f>
        <v/>
      </c>
      <c r="D3852" s="12" t="str">
        <f>IF(B3852="","",IFERROR(INDEX('Cashier Roster'!$D$5:$D$64,MATCH(B3852,'Cashier Roster'!$B$5:$B$64,0)),""))</f>
        <v/>
      </c>
      <c r="E3852" s="13"/>
      <c r="F3852" s="14"/>
      <c r="G3852" s="8" t="str">
        <f>IF(OR(B3852="",E3852=""),"",IF(E3852="No","Missed",IF(F3852="","",IF(F3852&lt;=Settings!$B$7,"On time","Late"))))</f>
        <v/>
      </c>
      <c r="H3852" s="15"/>
      <c r="I3852" s="16"/>
      <c r="J3852" s="16"/>
      <c r="K3852" s="17" t="str">
        <f>IF(J3852="","",ROUND(J3852*Settings!$B$8,2))</f>
        <v/>
      </c>
      <c r="L3852" s="16"/>
      <c r="M3852" s="8" t="str">
        <f t="shared" si="60"/>
        <v/>
      </c>
      <c r="N3852" s="9"/>
    </row>
    <row r="3853" spans="1:14" ht="15.75">
      <c r="A3853" s="11"/>
      <c r="B3853" s="9"/>
      <c r="C3853" s="12" t="str">
        <f>IF(B3853="","",IFERROR(INDEX('Cashier Roster'!$C$5:$C$64,MATCH(B3853,'Cashier Roster'!$B$5:$B$64,0)),"Not on roster"))</f>
        <v/>
      </c>
      <c r="D3853" s="12" t="str">
        <f>IF(B3853="","",IFERROR(INDEX('Cashier Roster'!$D$5:$D$64,MATCH(B3853,'Cashier Roster'!$B$5:$B$64,0)),""))</f>
        <v/>
      </c>
      <c r="E3853" s="13"/>
      <c r="F3853" s="14"/>
      <c r="G3853" s="8" t="str">
        <f>IF(OR(B3853="",E3853=""),"",IF(E3853="No","Missed",IF(F3853="","",IF(F3853&lt;=Settings!$B$7,"On time","Late"))))</f>
        <v/>
      </c>
      <c r="H3853" s="15"/>
      <c r="I3853" s="16"/>
      <c r="J3853" s="16"/>
      <c r="K3853" s="17" t="str">
        <f>IF(J3853="","",ROUND(J3853*Settings!$B$8,2))</f>
        <v/>
      </c>
      <c r="L3853" s="16"/>
      <c r="M3853" s="8" t="str">
        <f t="shared" si="60"/>
        <v/>
      </c>
      <c r="N3853" s="9"/>
    </row>
    <row r="3854" spans="1:14" ht="15.75">
      <c r="A3854" s="11"/>
      <c r="B3854" s="9"/>
      <c r="C3854" s="12" t="str">
        <f>IF(B3854="","",IFERROR(INDEX('Cashier Roster'!$C$5:$C$64,MATCH(B3854,'Cashier Roster'!$B$5:$B$64,0)),"Not on roster"))</f>
        <v/>
      </c>
      <c r="D3854" s="12" t="str">
        <f>IF(B3854="","",IFERROR(INDEX('Cashier Roster'!$D$5:$D$64,MATCH(B3854,'Cashier Roster'!$B$5:$B$64,0)),""))</f>
        <v/>
      </c>
      <c r="E3854" s="13"/>
      <c r="F3854" s="14"/>
      <c r="G3854" s="8" t="str">
        <f>IF(OR(B3854="",E3854=""),"",IF(E3854="No","Missed",IF(F3854="","",IF(F3854&lt;=Settings!$B$7,"On time","Late"))))</f>
        <v/>
      </c>
      <c r="H3854" s="15"/>
      <c r="I3854" s="16"/>
      <c r="J3854" s="16"/>
      <c r="K3854" s="17" t="str">
        <f>IF(J3854="","",ROUND(J3854*Settings!$B$8,2))</f>
        <v/>
      </c>
      <c r="L3854" s="16"/>
      <c r="M3854" s="8" t="str">
        <f t="shared" si="60"/>
        <v/>
      </c>
      <c r="N3854" s="9"/>
    </row>
    <row r="3855" spans="1:14" ht="15.75">
      <c r="A3855" s="11"/>
      <c r="B3855" s="9"/>
      <c r="C3855" s="12" t="str">
        <f>IF(B3855="","",IFERROR(INDEX('Cashier Roster'!$C$5:$C$64,MATCH(B3855,'Cashier Roster'!$B$5:$B$64,0)),"Not on roster"))</f>
        <v/>
      </c>
      <c r="D3855" s="12" t="str">
        <f>IF(B3855="","",IFERROR(INDEX('Cashier Roster'!$D$5:$D$64,MATCH(B3855,'Cashier Roster'!$B$5:$B$64,0)),""))</f>
        <v/>
      </c>
      <c r="E3855" s="13"/>
      <c r="F3855" s="14"/>
      <c r="G3855" s="8" t="str">
        <f>IF(OR(B3855="",E3855=""),"",IF(E3855="No","Missed",IF(F3855="","",IF(F3855&lt;=Settings!$B$7,"On time","Late"))))</f>
        <v/>
      </c>
      <c r="H3855" s="15"/>
      <c r="I3855" s="16"/>
      <c r="J3855" s="16"/>
      <c r="K3855" s="17" t="str">
        <f>IF(J3855="","",ROUND(J3855*Settings!$B$8,2))</f>
        <v/>
      </c>
      <c r="L3855" s="16"/>
      <c r="M3855" s="8" t="str">
        <f t="shared" si="60"/>
        <v/>
      </c>
      <c r="N3855" s="9"/>
    </row>
    <row r="3856" spans="1:14" ht="15.75">
      <c r="A3856" s="11"/>
      <c r="B3856" s="9"/>
      <c r="C3856" s="12" t="str">
        <f>IF(B3856="","",IFERROR(INDEX('Cashier Roster'!$C$5:$C$64,MATCH(B3856,'Cashier Roster'!$B$5:$B$64,0)),"Not on roster"))</f>
        <v/>
      </c>
      <c r="D3856" s="12" t="str">
        <f>IF(B3856="","",IFERROR(INDEX('Cashier Roster'!$D$5:$D$64,MATCH(B3856,'Cashier Roster'!$B$5:$B$64,0)),""))</f>
        <v/>
      </c>
      <c r="E3856" s="13"/>
      <c r="F3856" s="14"/>
      <c r="G3856" s="8" t="str">
        <f>IF(OR(B3856="",E3856=""),"",IF(E3856="No","Missed",IF(F3856="","",IF(F3856&lt;=Settings!$B$7,"On time","Late"))))</f>
        <v/>
      </c>
      <c r="H3856" s="15"/>
      <c r="I3856" s="16"/>
      <c r="J3856" s="16"/>
      <c r="K3856" s="17" t="str">
        <f>IF(J3856="","",ROUND(J3856*Settings!$B$8,2))</f>
        <v/>
      </c>
      <c r="L3856" s="16"/>
      <c r="M3856" s="8" t="str">
        <f t="shared" si="60"/>
        <v/>
      </c>
      <c r="N3856" s="9"/>
    </row>
    <row r="3857" spans="1:14" ht="15.75">
      <c r="A3857" s="11"/>
      <c r="B3857" s="9"/>
      <c r="C3857" s="12" t="str">
        <f>IF(B3857="","",IFERROR(INDEX('Cashier Roster'!$C$5:$C$64,MATCH(B3857,'Cashier Roster'!$B$5:$B$64,0)),"Not on roster"))</f>
        <v/>
      </c>
      <c r="D3857" s="12" t="str">
        <f>IF(B3857="","",IFERROR(INDEX('Cashier Roster'!$D$5:$D$64,MATCH(B3857,'Cashier Roster'!$B$5:$B$64,0)),""))</f>
        <v/>
      </c>
      <c r="E3857" s="13"/>
      <c r="F3857" s="14"/>
      <c r="G3857" s="8" t="str">
        <f>IF(OR(B3857="",E3857=""),"",IF(E3857="No","Missed",IF(F3857="","",IF(F3857&lt;=Settings!$B$7,"On time","Late"))))</f>
        <v/>
      </c>
      <c r="H3857" s="15"/>
      <c r="I3857" s="16"/>
      <c r="J3857" s="16"/>
      <c r="K3857" s="17" t="str">
        <f>IF(J3857="","",ROUND(J3857*Settings!$B$8,2))</f>
        <v/>
      </c>
      <c r="L3857" s="16"/>
      <c r="M3857" s="8" t="str">
        <f t="shared" si="60"/>
        <v/>
      </c>
      <c r="N3857" s="9"/>
    </row>
    <row r="3858" spans="1:14" ht="15.75">
      <c r="A3858" s="11"/>
      <c r="B3858" s="9"/>
      <c r="C3858" s="12" t="str">
        <f>IF(B3858="","",IFERROR(INDEX('Cashier Roster'!$C$5:$C$64,MATCH(B3858,'Cashier Roster'!$B$5:$B$64,0)),"Not on roster"))</f>
        <v/>
      </c>
      <c r="D3858" s="12" t="str">
        <f>IF(B3858="","",IFERROR(INDEX('Cashier Roster'!$D$5:$D$64,MATCH(B3858,'Cashier Roster'!$B$5:$B$64,0)),""))</f>
        <v/>
      </c>
      <c r="E3858" s="13"/>
      <c r="F3858" s="14"/>
      <c r="G3858" s="8" t="str">
        <f>IF(OR(B3858="",E3858=""),"",IF(E3858="No","Missed",IF(F3858="","",IF(F3858&lt;=Settings!$B$7,"On time","Late"))))</f>
        <v/>
      </c>
      <c r="H3858" s="15"/>
      <c r="I3858" s="16"/>
      <c r="J3858" s="16"/>
      <c r="K3858" s="17" t="str">
        <f>IF(J3858="","",ROUND(J3858*Settings!$B$8,2))</f>
        <v/>
      </c>
      <c r="L3858" s="16"/>
      <c r="M3858" s="8" t="str">
        <f t="shared" si="60"/>
        <v/>
      </c>
      <c r="N3858" s="9"/>
    </row>
    <row r="3859" spans="1:14" ht="15.75">
      <c r="A3859" s="11"/>
      <c r="B3859" s="9"/>
      <c r="C3859" s="12" t="str">
        <f>IF(B3859="","",IFERROR(INDEX('Cashier Roster'!$C$5:$C$64,MATCH(B3859,'Cashier Roster'!$B$5:$B$64,0)),"Not on roster"))</f>
        <v/>
      </c>
      <c r="D3859" s="12" t="str">
        <f>IF(B3859="","",IFERROR(INDEX('Cashier Roster'!$D$5:$D$64,MATCH(B3859,'Cashier Roster'!$B$5:$B$64,0)),""))</f>
        <v/>
      </c>
      <c r="E3859" s="13"/>
      <c r="F3859" s="14"/>
      <c r="G3859" s="8" t="str">
        <f>IF(OR(B3859="",E3859=""),"",IF(E3859="No","Missed",IF(F3859="","",IF(F3859&lt;=Settings!$B$7,"On time","Late"))))</f>
        <v/>
      </c>
      <c r="H3859" s="15"/>
      <c r="I3859" s="16"/>
      <c r="J3859" s="16"/>
      <c r="K3859" s="17" t="str">
        <f>IF(J3859="","",ROUND(J3859*Settings!$B$8,2))</f>
        <v/>
      </c>
      <c r="L3859" s="16"/>
      <c r="M3859" s="8" t="str">
        <f t="shared" si="60"/>
        <v/>
      </c>
      <c r="N3859" s="9"/>
    </row>
    <row r="3860" spans="1:14" ht="15.75">
      <c r="A3860" s="11"/>
      <c r="B3860" s="9"/>
      <c r="C3860" s="12" t="str">
        <f>IF(B3860="","",IFERROR(INDEX('Cashier Roster'!$C$5:$C$64,MATCH(B3860,'Cashier Roster'!$B$5:$B$64,0)),"Not on roster"))</f>
        <v/>
      </c>
      <c r="D3860" s="12" t="str">
        <f>IF(B3860="","",IFERROR(INDEX('Cashier Roster'!$D$5:$D$64,MATCH(B3860,'Cashier Roster'!$B$5:$B$64,0)),""))</f>
        <v/>
      </c>
      <c r="E3860" s="13"/>
      <c r="F3860" s="14"/>
      <c r="G3860" s="8" t="str">
        <f>IF(OR(B3860="",E3860=""),"",IF(E3860="No","Missed",IF(F3860="","",IF(F3860&lt;=Settings!$B$7,"On time","Late"))))</f>
        <v/>
      </c>
      <c r="H3860" s="15"/>
      <c r="I3860" s="16"/>
      <c r="J3860" s="16"/>
      <c r="K3860" s="17" t="str">
        <f>IF(J3860="","",ROUND(J3860*Settings!$B$8,2))</f>
        <v/>
      </c>
      <c r="L3860" s="16"/>
      <c r="M3860" s="8" t="str">
        <f t="shared" si="60"/>
        <v/>
      </c>
      <c r="N3860" s="9"/>
    </row>
    <row r="3861" spans="1:14" ht="15.75">
      <c r="A3861" s="11"/>
      <c r="B3861" s="9"/>
      <c r="C3861" s="12" t="str">
        <f>IF(B3861="","",IFERROR(INDEX('Cashier Roster'!$C$5:$C$64,MATCH(B3861,'Cashier Roster'!$B$5:$B$64,0)),"Not on roster"))</f>
        <v/>
      </c>
      <c r="D3861" s="12" t="str">
        <f>IF(B3861="","",IFERROR(INDEX('Cashier Roster'!$D$5:$D$64,MATCH(B3861,'Cashier Roster'!$B$5:$B$64,0)),""))</f>
        <v/>
      </c>
      <c r="E3861" s="13"/>
      <c r="F3861" s="14"/>
      <c r="G3861" s="8" t="str">
        <f>IF(OR(B3861="",E3861=""),"",IF(E3861="No","Missed",IF(F3861="","",IF(F3861&lt;=Settings!$B$7,"On time","Late"))))</f>
        <v/>
      </c>
      <c r="H3861" s="15"/>
      <c r="I3861" s="16"/>
      <c r="J3861" s="16"/>
      <c r="K3861" s="17" t="str">
        <f>IF(J3861="","",ROUND(J3861*Settings!$B$8,2))</f>
        <v/>
      </c>
      <c r="L3861" s="16"/>
      <c r="M3861" s="8" t="str">
        <f t="shared" si="60"/>
        <v/>
      </c>
      <c r="N3861" s="9"/>
    </row>
    <row r="3862" spans="1:14" ht="15.75">
      <c r="A3862" s="11"/>
      <c r="B3862" s="9"/>
      <c r="C3862" s="12" t="str">
        <f>IF(B3862="","",IFERROR(INDEX('Cashier Roster'!$C$5:$C$64,MATCH(B3862,'Cashier Roster'!$B$5:$B$64,0)),"Not on roster"))</f>
        <v/>
      </c>
      <c r="D3862" s="12" t="str">
        <f>IF(B3862="","",IFERROR(INDEX('Cashier Roster'!$D$5:$D$64,MATCH(B3862,'Cashier Roster'!$B$5:$B$64,0)),""))</f>
        <v/>
      </c>
      <c r="E3862" s="13"/>
      <c r="F3862" s="14"/>
      <c r="G3862" s="8" t="str">
        <f>IF(OR(B3862="",E3862=""),"",IF(E3862="No","Missed",IF(F3862="","",IF(F3862&lt;=Settings!$B$7,"On time","Late"))))</f>
        <v/>
      </c>
      <c r="H3862" s="15"/>
      <c r="I3862" s="16"/>
      <c r="J3862" s="16"/>
      <c r="K3862" s="17" t="str">
        <f>IF(J3862="","",ROUND(J3862*Settings!$B$8,2))</f>
        <v/>
      </c>
      <c r="L3862" s="16"/>
      <c r="M3862" s="8" t="str">
        <f t="shared" si="60"/>
        <v/>
      </c>
      <c r="N3862" s="9"/>
    </row>
    <row r="3863" spans="1:14" ht="15.75">
      <c r="A3863" s="11"/>
      <c r="B3863" s="9"/>
      <c r="C3863" s="12" t="str">
        <f>IF(B3863="","",IFERROR(INDEX('Cashier Roster'!$C$5:$C$64,MATCH(B3863,'Cashier Roster'!$B$5:$B$64,0)),"Not on roster"))</f>
        <v/>
      </c>
      <c r="D3863" s="12" t="str">
        <f>IF(B3863="","",IFERROR(INDEX('Cashier Roster'!$D$5:$D$64,MATCH(B3863,'Cashier Roster'!$B$5:$B$64,0)),""))</f>
        <v/>
      </c>
      <c r="E3863" s="13"/>
      <c r="F3863" s="14"/>
      <c r="G3863" s="8" t="str">
        <f>IF(OR(B3863="",E3863=""),"",IF(E3863="No","Missed",IF(F3863="","",IF(F3863&lt;=Settings!$B$7,"On time","Late"))))</f>
        <v/>
      </c>
      <c r="H3863" s="15"/>
      <c r="I3863" s="16"/>
      <c r="J3863" s="16"/>
      <c r="K3863" s="17" t="str">
        <f>IF(J3863="","",ROUND(J3863*Settings!$B$8,2))</f>
        <v/>
      </c>
      <c r="L3863" s="16"/>
      <c r="M3863" s="8" t="str">
        <f t="shared" si="60"/>
        <v/>
      </c>
      <c r="N3863" s="9"/>
    </row>
    <row r="3864" spans="1:14" ht="15.75">
      <c r="A3864" s="11"/>
      <c r="B3864" s="9"/>
      <c r="C3864" s="12" t="str">
        <f>IF(B3864="","",IFERROR(INDEX('Cashier Roster'!$C$5:$C$64,MATCH(B3864,'Cashier Roster'!$B$5:$B$64,0)),"Not on roster"))</f>
        <v/>
      </c>
      <c r="D3864" s="12" t="str">
        <f>IF(B3864="","",IFERROR(INDEX('Cashier Roster'!$D$5:$D$64,MATCH(B3864,'Cashier Roster'!$B$5:$B$64,0)),""))</f>
        <v/>
      </c>
      <c r="E3864" s="13"/>
      <c r="F3864" s="14"/>
      <c r="G3864" s="8" t="str">
        <f>IF(OR(B3864="",E3864=""),"",IF(E3864="No","Missed",IF(F3864="","",IF(F3864&lt;=Settings!$B$7,"On time","Late"))))</f>
        <v/>
      </c>
      <c r="H3864" s="15"/>
      <c r="I3864" s="16"/>
      <c r="J3864" s="16"/>
      <c r="K3864" s="17" t="str">
        <f>IF(J3864="","",ROUND(J3864*Settings!$B$8,2))</f>
        <v/>
      </c>
      <c r="L3864" s="16"/>
      <c r="M3864" s="8" t="str">
        <f t="shared" si="60"/>
        <v/>
      </c>
      <c r="N3864" s="9"/>
    </row>
    <row r="3865" spans="1:14" ht="15.75">
      <c r="A3865" s="11"/>
      <c r="B3865" s="9"/>
      <c r="C3865" s="12" t="str">
        <f>IF(B3865="","",IFERROR(INDEX('Cashier Roster'!$C$5:$C$64,MATCH(B3865,'Cashier Roster'!$B$5:$B$64,0)),"Not on roster"))</f>
        <v/>
      </c>
      <c r="D3865" s="12" t="str">
        <f>IF(B3865="","",IFERROR(INDEX('Cashier Roster'!$D$5:$D$64,MATCH(B3865,'Cashier Roster'!$B$5:$B$64,0)),""))</f>
        <v/>
      </c>
      <c r="E3865" s="13"/>
      <c r="F3865" s="14"/>
      <c r="G3865" s="8" t="str">
        <f>IF(OR(B3865="",E3865=""),"",IF(E3865="No","Missed",IF(F3865="","",IF(F3865&lt;=Settings!$B$7,"On time","Late"))))</f>
        <v/>
      </c>
      <c r="H3865" s="15"/>
      <c r="I3865" s="16"/>
      <c r="J3865" s="16"/>
      <c r="K3865" s="17" t="str">
        <f>IF(J3865="","",ROUND(J3865*Settings!$B$8,2))</f>
        <v/>
      </c>
      <c r="L3865" s="16"/>
      <c r="M3865" s="8" t="str">
        <f t="shared" si="60"/>
        <v/>
      </c>
      <c r="N3865" s="9"/>
    </row>
    <row r="3866" spans="1:14" ht="15.75">
      <c r="A3866" s="11"/>
      <c r="B3866" s="9"/>
      <c r="C3866" s="12" t="str">
        <f>IF(B3866="","",IFERROR(INDEX('Cashier Roster'!$C$5:$C$64,MATCH(B3866,'Cashier Roster'!$B$5:$B$64,0)),"Not on roster"))</f>
        <v/>
      </c>
      <c r="D3866" s="12" t="str">
        <f>IF(B3866="","",IFERROR(INDEX('Cashier Roster'!$D$5:$D$64,MATCH(B3866,'Cashier Roster'!$B$5:$B$64,0)),""))</f>
        <v/>
      </c>
      <c r="E3866" s="13"/>
      <c r="F3866" s="14"/>
      <c r="G3866" s="8" t="str">
        <f>IF(OR(B3866="",E3866=""),"",IF(E3866="No","Missed",IF(F3866="","",IF(F3866&lt;=Settings!$B$7,"On time","Late"))))</f>
        <v/>
      </c>
      <c r="H3866" s="15"/>
      <c r="I3866" s="16"/>
      <c r="J3866" s="16"/>
      <c r="K3866" s="17" t="str">
        <f>IF(J3866="","",ROUND(J3866*Settings!$B$8,2))</f>
        <v/>
      </c>
      <c r="L3866" s="16"/>
      <c r="M3866" s="8" t="str">
        <f t="shared" si="60"/>
        <v/>
      </c>
      <c r="N3866" s="9"/>
    </row>
    <row r="3867" spans="1:14" ht="15.75">
      <c r="A3867" s="11"/>
      <c r="B3867" s="9"/>
      <c r="C3867" s="12" t="str">
        <f>IF(B3867="","",IFERROR(INDEX('Cashier Roster'!$C$5:$C$64,MATCH(B3867,'Cashier Roster'!$B$5:$B$64,0)),"Not on roster"))</f>
        <v/>
      </c>
      <c r="D3867" s="12" t="str">
        <f>IF(B3867="","",IFERROR(INDEX('Cashier Roster'!$D$5:$D$64,MATCH(B3867,'Cashier Roster'!$B$5:$B$64,0)),""))</f>
        <v/>
      </c>
      <c r="E3867" s="13"/>
      <c r="F3867" s="14"/>
      <c r="G3867" s="8" t="str">
        <f>IF(OR(B3867="",E3867=""),"",IF(E3867="No","Missed",IF(F3867="","",IF(F3867&lt;=Settings!$B$7,"On time","Late"))))</f>
        <v/>
      </c>
      <c r="H3867" s="15"/>
      <c r="I3867" s="16"/>
      <c r="J3867" s="16"/>
      <c r="K3867" s="17" t="str">
        <f>IF(J3867="","",ROUND(J3867*Settings!$B$8,2))</f>
        <v/>
      </c>
      <c r="L3867" s="16"/>
      <c r="M3867" s="8" t="str">
        <f t="shared" si="60"/>
        <v/>
      </c>
      <c r="N3867" s="9"/>
    </row>
    <row r="3868" spans="1:14" ht="15.75">
      <c r="A3868" s="11"/>
      <c r="B3868" s="9"/>
      <c r="C3868" s="12" t="str">
        <f>IF(B3868="","",IFERROR(INDEX('Cashier Roster'!$C$5:$C$64,MATCH(B3868,'Cashier Roster'!$B$5:$B$64,0)),"Not on roster"))</f>
        <v/>
      </c>
      <c r="D3868" s="12" t="str">
        <f>IF(B3868="","",IFERROR(INDEX('Cashier Roster'!$D$5:$D$64,MATCH(B3868,'Cashier Roster'!$B$5:$B$64,0)),""))</f>
        <v/>
      </c>
      <c r="E3868" s="13"/>
      <c r="F3868" s="14"/>
      <c r="G3868" s="8" t="str">
        <f>IF(OR(B3868="",E3868=""),"",IF(E3868="No","Missed",IF(F3868="","",IF(F3868&lt;=Settings!$B$7,"On time","Late"))))</f>
        <v/>
      </c>
      <c r="H3868" s="15"/>
      <c r="I3868" s="16"/>
      <c r="J3868" s="16"/>
      <c r="K3868" s="17" t="str">
        <f>IF(J3868="","",ROUND(J3868*Settings!$B$8,2))</f>
        <v/>
      </c>
      <c r="L3868" s="16"/>
      <c r="M3868" s="8" t="str">
        <f t="shared" si="60"/>
        <v/>
      </c>
      <c r="N3868" s="9"/>
    </row>
    <row r="3869" spans="1:14" ht="15.75">
      <c r="A3869" s="11"/>
      <c r="B3869" s="9"/>
      <c r="C3869" s="12" t="str">
        <f>IF(B3869="","",IFERROR(INDEX('Cashier Roster'!$C$5:$C$64,MATCH(B3869,'Cashier Roster'!$B$5:$B$64,0)),"Not on roster"))</f>
        <v/>
      </c>
      <c r="D3869" s="12" t="str">
        <f>IF(B3869="","",IFERROR(INDEX('Cashier Roster'!$D$5:$D$64,MATCH(B3869,'Cashier Roster'!$B$5:$B$64,0)),""))</f>
        <v/>
      </c>
      <c r="E3869" s="13"/>
      <c r="F3869" s="14"/>
      <c r="G3869" s="8" t="str">
        <f>IF(OR(B3869="",E3869=""),"",IF(E3869="No","Missed",IF(F3869="","",IF(F3869&lt;=Settings!$B$7,"On time","Late"))))</f>
        <v/>
      </c>
      <c r="H3869" s="15"/>
      <c r="I3869" s="16"/>
      <c r="J3869" s="16"/>
      <c r="K3869" s="17" t="str">
        <f>IF(J3869="","",ROUND(J3869*Settings!$B$8,2))</f>
        <v/>
      </c>
      <c r="L3869" s="16"/>
      <c r="M3869" s="8" t="str">
        <f t="shared" si="60"/>
        <v/>
      </c>
      <c r="N3869" s="9"/>
    </row>
    <row r="3870" spans="1:14" ht="15.75">
      <c r="A3870" s="11"/>
      <c r="B3870" s="9"/>
      <c r="C3870" s="12" t="str">
        <f>IF(B3870="","",IFERROR(INDEX('Cashier Roster'!$C$5:$C$64,MATCH(B3870,'Cashier Roster'!$B$5:$B$64,0)),"Not on roster"))</f>
        <v/>
      </c>
      <c r="D3870" s="12" t="str">
        <f>IF(B3870="","",IFERROR(INDEX('Cashier Roster'!$D$5:$D$64,MATCH(B3870,'Cashier Roster'!$B$5:$B$64,0)),""))</f>
        <v/>
      </c>
      <c r="E3870" s="13"/>
      <c r="F3870" s="14"/>
      <c r="G3870" s="8" t="str">
        <f>IF(OR(B3870="",E3870=""),"",IF(E3870="No","Missed",IF(F3870="","",IF(F3870&lt;=Settings!$B$7,"On time","Late"))))</f>
        <v/>
      </c>
      <c r="H3870" s="15"/>
      <c r="I3870" s="16"/>
      <c r="J3870" s="16"/>
      <c r="K3870" s="17" t="str">
        <f>IF(J3870="","",ROUND(J3870*Settings!$B$8,2))</f>
        <v/>
      </c>
      <c r="L3870" s="16"/>
      <c r="M3870" s="8" t="str">
        <f t="shared" si="60"/>
        <v/>
      </c>
      <c r="N3870" s="9"/>
    </row>
    <row r="3871" spans="1:14" ht="15.75">
      <c r="A3871" s="11"/>
      <c r="B3871" s="9"/>
      <c r="C3871" s="12" t="str">
        <f>IF(B3871="","",IFERROR(INDEX('Cashier Roster'!$C$5:$C$64,MATCH(B3871,'Cashier Roster'!$B$5:$B$64,0)),"Not on roster"))</f>
        <v/>
      </c>
      <c r="D3871" s="12" t="str">
        <f>IF(B3871="","",IFERROR(INDEX('Cashier Roster'!$D$5:$D$64,MATCH(B3871,'Cashier Roster'!$B$5:$B$64,0)),""))</f>
        <v/>
      </c>
      <c r="E3871" s="13"/>
      <c r="F3871" s="14"/>
      <c r="G3871" s="8" t="str">
        <f>IF(OR(B3871="",E3871=""),"",IF(E3871="No","Missed",IF(F3871="","",IF(F3871&lt;=Settings!$B$7,"On time","Late"))))</f>
        <v/>
      </c>
      <c r="H3871" s="15"/>
      <c r="I3871" s="16"/>
      <c r="J3871" s="16"/>
      <c r="K3871" s="17" t="str">
        <f>IF(J3871="","",ROUND(J3871*Settings!$B$8,2))</f>
        <v/>
      </c>
      <c r="L3871" s="16"/>
      <c r="M3871" s="8" t="str">
        <f t="shared" si="60"/>
        <v/>
      </c>
      <c r="N3871" s="9"/>
    </row>
    <row r="3872" spans="1:14" ht="15.75">
      <c r="A3872" s="11"/>
      <c r="B3872" s="9"/>
      <c r="C3872" s="12" t="str">
        <f>IF(B3872="","",IFERROR(INDEX('Cashier Roster'!$C$5:$C$64,MATCH(B3872,'Cashier Roster'!$B$5:$B$64,0)),"Not on roster"))</f>
        <v/>
      </c>
      <c r="D3872" s="12" t="str">
        <f>IF(B3872="","",IFERROR(INDEX('Cashier Roster'!$D$5:$D$64,MATCH(B3872,'Cashier Roster'!$B$5:$B$64,0)),""))</f>
        <v/>
      </c>
      <c r="E3872" s="13"/>
      <c r="F3872" s="14"/>
      <c r="G3872" s="8" t="str">
        <f>IF(OR(B3872="",E3872=""),"",IF(E3872="No","Missed",IF(F3872="","",IF(F3872&lt;=Settings!$B$7,"On time","Late"))))</f>
        <v/>
      </c>
      <c r="H3872" s="15"/>
      <c r="I3872" s="16"/>
      <c r="J3872" s="16"/>
      <c r="K3872" s="17" t="str">
        <f>IF(J3872="","",ROUND(J3872*Settings!$B$8,2))</f>
        <v/>
      </c>
      <c r="L3872" s="16"/>
      <c r="M3872" s="8" t="str">
        <f t="shared" si="60"/>
        <v/>
      </c>
      <c r="N3872" s="9"/>
    </row>
    <row r="3873" spans="1:14" ht="15.75">
      <c r="A3873" s="11"/>
      <c r="B3873" s="9"/>
      <c r="C3873" s="12" t="str">
        <f>IF(B3873="","",IFERROR(INDEX('Cashier Roster'!$C$5:$C$64,MATCH(B3873,'Cashier Roster'!$B$5:$B$64,0)),"Not on roster"))</f>
        <v/>
      </c>
      <c r="D3873" s="12" t="str">
        <f>IF(B3873="","",IFERROR(INDEX('Cashier Roster'!$D$5:$D$64,MATCH(B3873,'Cashier Roster'!$B$5:$B$64,0)),""))</f>
        <v/>
      </c>
      <c r="E3873" s="13"/>
      <c r="F3873" s="14"/>
      <c r="G3873" s="8" t="str">
        <f>IF(OR(B3873="",E3873=""),"",IF(E3873="No","Missed",IF(F3873="","",IF(F3873&lt;=Settings!$B$7,"On time","Late"))))</f>
        <v/>
      </c>
      <c r="H3873" s="15"/>
      <c r="I3873" s="16"/>
      <c r="J3873" s="16"/>
      <c r="K3873" s="17" t="str">
        <f>IF(J3873="","",ROUND(J3873*Settings!$B$8,2))</f>
        <v/>
      </c>
      <c r="L3873" s="16"/>
      <c r="M3873" s="8" t="str">
        <f t="shared" si="60"/>
        <v/>
      </c>
      <c r="N3873" s="9"/>
    </row>
    <row r="3874" spans="1:14" ht="15.75">
      <c r="A3874" s="11"/>
      <c r="B3874" s="9"/>
      <c r="C3874" s="12" t="str">
        <f>IF(B3874="","",IFERROR(INDEX('Cashier Roster'!$C$5:$C$64,MATCH(B3874,'Cashier Roster'!$B$5:$B$64,0)),"Not on roster"))</f>
        <v/>
      </c>
      <c r="D3874" s="12" t="str">
        <f>IF(B3874="","",IFERROR(INDEX('Cashier Roster'!$D$5:$D$64,MATCH(B3874,'Cashier Roster'!$B$5:$B$64,0)),""))</f>
        <v/>
      </c>
      <c r="E3874" s="13"/>
      <c r="F3874" s="14"/>
      <c r="G3874" s="8" t="str">
        <f>IF(OR(B3874="",E3874=""),"",IF(E3874="No","Missed",IF(F3874="","",IF(F3874&lt;=Settings!$B$7,"On time","Late"))))</f>
        <v/>
      </c>
      <c r="H3874" s="15"/>
      <c r="I3874" s="16"/>
      <c r="J3874" s="16"/>
      <c r="K3874" s="17" t="str">
        <f>IF(J3874="","",ROUND(J3874*Settings!$B$8,2))</f>
        <v/>
      </c>
      <c r="L3874" s="16"/>
      <c r="M3874" s="8" t="str">
        <f t="shared" si="60"/>
        <v/>
      </c>
      <c r="N3874" s="9"/>
    </row>
    <row r="3875" spans="1:14" ht="15.75">
      <c r="A3875" s="11"/>
      <c r="B3875" s="9"/>
      <c r="C3875" s="12" t="str">
        <f>IF(B3875="","",IFERROR(INDEX('Cashier Roster'!$C$5:$C$64,MATCH(B3875,'Cashier Roster'!$B$5:$B$64,0)),"Not on roster"))</f>
        <v/>
      </c>
      <c r="D3875" s="12" t="str">
        <f>IF(B3875="","",IFERROR(INDEX('Cashier Roster'!$D$5:$D$64,MATCH(B3875,'Cashier Roster'!$B$5:$B$64,0)),""))</f>
        <v/>
      </c>
      <c r="E3875" s="13"/>
      <c r="F3875" s="14"/>
      <c r="G3875" s="8" t="str">
        <f>IF(OR(B3875="",E3875=""),"",IF(E3875="No","Missed",IF(F3875="","",IF(F3875&lt;=Settings!$B$7,"On time","Late"))))</f>
        <v/>
      </c>
      <c r="H3875" s="15"/>
      <c r="I3875" s="16"/>
      <c r="J3875" s="16"/>
      <c r="K3875" s="17" t="str">
        <f>IF(J3875="","",ROUND(J3875*Settings!$B$8,2))</f>
        <v/>
      </c>
      <c r="L3875" s="16"/>
      <c r="M3875" s="8" t="str">
        <f t="shared" si="60"/>
        <v/>
      </c>
      <c r="N3875" s="9"/>
    </row>
    <row r="3876" spans="1:14" ht="15.75">
      <c r="A3876" s="11"/>
      <c r="B3876" s="9"/>
      <c r="C3876" s="12" t="str">
        <f>IF(B3876="","",IFERROR(INDEX('Cashier Roster'!$C$5:$C$64,MATCH(B3876,'Cashier Roster'!$B$5:$B$64,0)),"Not on roster"))</f>
        <v/>
      </c>
      <c r="D3876" s="12" t="str">
        <f>IF(B3876="","",IFERROR(INDEX('Cashier Roster'!$D$5:$D$64,MATCH(B3876,'Cashier Roster'!$B$5:$B$64,0)),""))</f>
        <v/>
      </c>
      <c r="E3876" s="13"/>
      <c r="F3876" s="14"/>
      <c r="G3876" s="8" t="str">
        <f>IF(OR(B3876="",E3876=""),"",IF(E3876="No","Missed",IF(F3876="","",IF(F3876&lt;=Settings!$B$7,"On time","Late"))))</f>
        <v/>
      </c>
      <c r="H3876" s="15"/>
      <c r="I3876" s="16"/>
      <c r="J3876" s="16"/>
      <c r="K3876" s="17" t="str">
        <f>IF(J3876="","",ROUND(J3876*Settings!$B$8,2))</f>
        <v/>
      </c>
      <c r="L3876" s="16"/>
      <c r="M3876" s="8" t="str">
        <f t="shared" si="60"/>
        <v/>
      </c>
      <c r="N3876" s="9"/>
    </row>
    <row r="3877" spans="1:14" ht="15.75">
      <c r="A3877" s="11"/>
      <c r="B3877" s="9"/>
      <c r="C3877" s="12" t="str">
        <f>IF(B3877="","",IFERROR(INDEX('Cashier Roster'!$C$5:$C$64,MATCH(B3877,'Cashier Roster'!$B$5:$B$64,0)),"Not on roster"))</f>
        <v/>
      </c>
      <c r="D3877" s="12" t="str">
        <f>IF(B3877="","",IFERROR(INDEX('Cashier Roster'!$D$5:$D$64,MATCH(B3877,'Cashier Roster'!$B$5:$B$64,0)),""))</f>
        <v/>
      </c>
      <c r="E3877" s="13"/>
      <c r="F3877" s="14"/>
      <c r="G3877" s="8" t="str">
        <f>IF(OR(B3877="",E3877=""),"",IF(E3877="No","Missed",IF(F3877="","",IF(F3877&lt;=Settings!$B$7,"On time","Late"))))</f>
        <v/>
      </c>
      <c r="H3877" s="15"/>
      <c r="I3877" s="16"/>
      <c r="J3877" s="16"/>
      <c r="K3877" s="17" t="str">
        <f>IF(J3877="","",ROUND(J3877*Settings!$B$8,2))</f>
        <v/>
      </c>
      <c r="L3877" s="16"/>
      <c r="M3877" s="8" t="str">
        <f t="shared" si="60"/>
        <v/>
      </c>
      <c r="N3877" s="9"/>
    </row>
    <row r="3878" spans="1:14" ht="15.75">
      <c r="A3878" s="11"/>
      <c r="B3878" s="9"/>
      <c r="C3878" s="12" t="str">
        <f>IF(B3878="","",IFERROR(INDEX('Cashier Roster'!$C$5:$C$64,MATCH(B3878,'Cashier Roster'!$B$5:$B$64,0)),"Not on roster"))</f>
        <v/>
      </c>
      <c r="D3878" s="12" t="str">
        <f>IF(B3878="","",IFERROR(INDEX('Cashier Roster'!$D$5:$D$64,MATCH(B3878,'Cashier Roster'!$B$5:$B$64,0)),""))</f>
        <v/>
      </c>
      <c r="E3878" s="13"/>
      <c r="F3878" s="14"/>
      <c r="G3878" s="8" t="str">
        <f>IF(OR(B3878="",E3878=""),"",IF(E3878="No","Missed",IF(F3878="","",IF(F3878&lt;=Settings!$B$7,"On time","Late"))))</f>
        <v/>
      </c>
      <c r="H3878" s="15"/>
      <c r="I3878" s="16"/>
      <c r="J3878" s="16"/>
      <c r="K3878" s="17" t="str">
        <f>IF(J3878="","",ROUND(J3878*Settings!$B$8,2))</f>
        <v/>
      </c>
      <c r="L3878" s="16"/>
      <c r="M3878" s="8" t="str">
        <f t="shared" si="60"/>
        <v/>
      </c>
      <c r="N3878" s="9"/>
    </row>
    <row r="3879" spans="1:14" ht="15.75">
      <c r="A3879" s="11"/>
      <c r="B3879" s="9"/>
      <c r="C3879" s="12" t="str">
        <f>IF(B3879="","",IFERROR(INDEX('Cashier Roster'!$C$5:$C$64,MATCH(B3879,'Cashier Roster'!$B$5:$B$64,0)),"Not on roster"))</f>
        <v/>
      </c>
      <c r="D3879" s="12" t="str">
        <f>IF(B3879="","",IFERROR(INDEX('Cashier Roster'!$D$5:$D$64,MATCH(B3879,'Cashier Roster'!$B$5:$B$64,0)),""))</f>
        <v/>
      </c>
      <c r="E3879" s="13"/>
      <c r="F3879" s="14"/>
      <c r="G3879" s="8" t="str">
        <f>IF(OR(B3879="",E3879=""),"",IF(E3879="No","Missed",IF(F3879="","",IF(F3879&lt;=Settings!$B$7,"On time","Late"))))</f>
        <v/>
      </c>
      <c r="H3879" s="15"/>
      <c r="I3879" s="16"/>
      <c r="J3879" s="16"/>
      <c r="K3879" s="17" t="str">
        <f>IF(J3879="","",ROUND(J3879*Settings!$B$8,2))</f>
        <v/>
      </c>
      <c r="L3879" s="16"/>
      <c r="M3879" s="8" t="str">
        <f t="shared" si="60"/>
        <v/>
      </c>
      <c r="N3879" s="9"/>
    </row>
    <row r="3880" spans="1:14" ht="15.75">
      <c r="A3880" s="11"/>
      <c r="B3880" s="9"/>
      <c r="C3880" s="12" t="str">
        <f>IF(B3880="","",IFERROR(INDEX('Cashier Roster'!$C$5:$C$64,MATCH(B3880,'Cashier Roster'!$B$5:$B$64,0)),"Not on roster"))</f>
        <v/>
      </c>
      <c r="D3880" s="12" t="str">
        <f>IF(B3880="","",IFERROR(INDEX('Cashier Roster'!$D$5:$D$64,MATCH(B3880,'Cashier Roster'!$B$5:$B$64,0)),""))</f>
        <v/>
      </c>
      <c r="E3880" s="13"/>
      <c r="F3880" s="14"/>
      <c r="G3880" s="8" t="str">
        <f>IF(OR(B3880="",E3880=""),"",IF(E3880="No","Missed",IF(F3880="","",IF(F3880&lt;=Settings!$B$7,"On time","Late"))))</f>
        <v/>
      </c>
      <c r="H3880" s="15"/>
      <c r="I3880" s="16"/>
      <c r="J3880" s="16"/>
      <c r="K3880" s="17" t="str">
        <f>IF(J3880="","",ROUND(J3880*Settings!$B$8,2))</f>
        <v/>
      </c>
      <c r="L3880" s="16"/>
      <c r="M3880" s="8" t="str">
        <f t="shared" si="60"/>
        <v/>
      </c>
      <c r="N3880" s="9"/>
    </row>
    <row r="3881" spans="1:14" ht="15.75">
      <c r="A3881" s="11"/>
      <c r="B3881" s="9"/>
      <c r="C3881" s="12" t="str">
        <f>IF(B3881="","",IFERROR(INDEX('Cashier Roster'!$C$5:$C$64,MATCH(B3881,'Cashier Roster'!$B$5:$B$64,0)),"Not on roster"))</f>
        <v/>
      </c>
      <c r="D3881" s="12" t="str">
        <f>IF(B3881="","",IFERROR(INDEX('Cashier Roster'!$D$5:$D$64,MATCH(B3881,'Cashier Roster'!$B$5:$B$64,0)),""))</f>
        <v/>
      </c>
      <c r="E3881" s="13"/>
      <c r="F3881" s="14"/>
      <c r="G3881" s="8" t="str">
        <f>IF(OR(B3881="",E3881=""),"",IF(E3881="No","Missed",IF(F3881="","",IF(F3881&lt;=Settings!$B$7,"On time","Late"))))</f>
        <v/>
      </c>
      <c r="H3881" s="15"/>
      <c r="I3881" s="16"/>
      <c r="J3881" s="16"/>
      <c r="K3881" s="17" t="str">
        <f>IF(J3881="","",ROUND(J3881*Settings!$B$8,2))</f>
        <v/>
      </c>
      <c r="L3881" s="16"/>
      <c r="M3881" s="8" t="str">
        <f t="shared" si="60"/>
        <v/>
      </c>
      <c r="N3881" s="9"/>
    </row>
    <row r="3882" spans="1:14" ht="15.75">
      <c r="A3882" s="11"/>
      <c r="B3882" s="9"/>
      <c r="C3882" s="12" t="str">
        <f>IF(B3882="","",IFERROR(INDEX('Cashier Roster'!$C$5:$C$64,MATCH(B3882,'Cashier Roster'!$B$5:$B$64,0)),"Not on roster"))</f>
        <v/>
      </c>
      <c r="D3882" s="12" t="str">
        <f>IF(B3882="","",IFERROR(INDEX('Cashier Roster'!$D$5:$D$64,MATCH(B3882,'Cashier Roster'!$B$5:$B$64,0)),""))</f>
        <v/>
      </c>
      <c r="E3882" s="13"/>
      <c r="F3882" s="14"/>
      <c r="G3882" s="8" t="str">
        <f>IF(OR(B3882="",E3882=""),"",IF(E3882="No","Missed",IF(F3882="","",IF(F3882&lt;=Settings!$B$7,"On time","Late"))))</f>
        <v/>
      </c>
      <c r="H3882" s="15"/>
      <c r="I3882" s="16"/>
      <c r="J3882" s="16"/>
      <c r="K3882" s="17" t="str">
        <f>IF(J3882="","",ROUND(J3882*Settings!$B$8,2))</f>
        <v/>
      </c>
      <c r="L3882" s="16"/>
      <c r="M3882" s="8" t="str">
        <f t="shared" si="60"/>
        <v/>
      </c>
      <c r="N3882" s="9"/>
    </row>
    <row r="3883" spans="1:14" ht="15.75">
      <c r="A3883" s="11"/>
      <c r="B3883" s="9"/>
      <c r="C3883" s="12" t="str">
        <f>IF(B3883="","",IFERROR(INDEX('Cashier Roster'!$C$5:$C$64,MATCH(B3883,'Cashier Roster'!$B$5:$B$64,0)),"Not on roster"))</f>
        <v/>
      </c>
      <c r="D3883" s="12" t="str">
        <f>IF(B3883="","",IFERROR(INDEX('Cashier Roster'!$D$5:$D$64,MATCH(B3883,'Cashier Roster'!$B$5:$B$64,0)),""))</f>
        <v/>
      </c>
      <c r="E3883" s="13"/>
      <c r="F3883" s="14"/>
      <c r="G3883" s="8" t="str">
        <f>IF(OR(B3883="",E3883=""),"",IF(E3883="No","Missed",IF(F3883="","",IF(F3883&lt;=Settings!$B$7,"On time","Late"))))</f>
        <v/>
      </c>
      <c r="H3883" s="15"/>
      <c r="I3883" s="16"/>
      <c r="J3883" s="16"/>
      <c r="K3883" s="17" t="str">
        <f>IF(J3883="","",ROUND(J3883*Settings!$B$8,2))</f>
        <v/>
      </c>
      <c r="L3883" s="16"/>
      <c r="M3883" s="8" t="str">
        <f t="shared" si="60"/>
        <v/>
      </c>
      <c r="N3883" s="9"/>
    </row>
    <row r="3884" spans="1:14" ht="15.75">
      <c r="A3884" s="11"/>
      <c r="B3884" s="9"/>
      <c r="C3884" s="12" t="str">
        <f>IF(B3884="","",IFERROR(INDEX('Cashier Roster'!$C$5:$C$64,MATCH(B3884,'Cashier Roster'!$B$5:$B$64,0)),"Not on roster"))</f>
        <v/>
      </c>
      <c r="D3884" s="12" t="str">
        <f>IF(B3884="","",IFERROR(INDEX('Cashier Roster'!$D$5:$D$64,MATCH(B3884,'Cashier Roster'!$B$5:$B$64,0)),""))</f>
        <v/>
      </c>
      <c r="E3884" s="13"/>
      <c r="F3884" s="14"/>
      <c r="G3884" s="8" t="str">
        <f>IF(OR(B3884="",E3884=""),"",IF(E3884="No","Missed",IF(F3884="","",IF(F3884&lt;=Settings!$B$7,"On time","Late"))))</f>
        <v/>
      </c>
      <c r="H3884" s="15"/>
      <c r="I3884" s="16"/>
      <c r="J3884" s="16"/>
      <c r="K3884" s="17" t="str">
        <f>IF(J3884="","",ROUND(J3884*Settings!$B$8,2))</f>
        <v/>
      </c>
      <c r="L3884" s="16"/>
      <c r="M3884" s="8" t="str">
        <f t="shared" si="60"/>
        <v/>
      </c>
      <c r="N3884" s="9"/>
    </row>
    <row r="3885" spans="1:14" ht="15.75">
      <c r="A3885" s="11"/>
      <c r="B3885" s="9"/>
      <c r="C3885" s="12" t="str">
        <f>IF(B3885="","",IFERROR(INDEX('Cashier Roster'!$C$5:$C$64,MATCH(B3885,'Cashier Roster'!$B$5:$B$64,0)),"Not on roster"))</f>
        <v/>
      </c>
      <c r="D3885" s="12" t="str">
        <f>IF(B3885="","",IFERROR(INDEX('Cashier Roster'!$D$5:$D$64,MATCH(B3885,'Cashier Roster'!$B$5:$B$64,0)),""))</f>
        <v/>
      </c>
      <c r="E3885" s="13"/>
      <c r="F3885" s="14"/>
      <c r="G3885" s="8" t="str">
        <f>IF(OR(B3885="",E3885=""),"",IF(E3885="No","Missed",IF(F3885="","",IF(F3885&lt;=Settings!$B$7,"On time","Late"))))</f>
        <v/>
      </c>
      <c r="H3885" s="15"/>
      <c r="I3885" s="16"/>
      <c r="J3885" s="16"/>
      <c r="K3885" s="17" t="str">
        <f>IF(J3885="","",ROUND(J3885*Settings!$B$8,2))</f>
        <v/>
      </c>
      <c r="L3885" s="16"/>
      <c r="M3885" s="8" t="str">
        <f t="shared" si="60"/>
        <v/>
      </c>
      <c r="N3885" s="9"/>
    </row>
    <row r="3886" spans="1:14" ht="15.75">
      <c r="A3886" s="11"/>
      <c r="B3886" s="9"/>
      <c r="C3886" s="12" t="str">
        <f>IF(B3886="","",IFERROR(INDEX('Cashier Roster'!$C$5:$C$64,MATCH(B3886,'Cashier Roster'!$B$5:$B$64,0)),"Not on roster"))</f>
        <v/>
      </c>
      <c r="D3886" s="12" t="str">
        <f>IF(B3886="","",IFERROR(INDEX('Cashier Roster'!$D$5:$D$64,MATCH(B3886,'Cashier Roster'!$B$5:$B$64,0)),""))</f>
        <v/>
      </c>
      <c r="E3886" s="13"/>
      <c r="F3886" s="14"/>
      <c r="G3886" s="8" t="str">
        <f>IF(OR(B3886="",E3886=""),"",IF(E3886="No","Missed",IF(F3886="","",IF(F3886&lt;=Settings!$B$7,"On time","Late"))))</f>
        <v/>
      </c>
      <c r="H3886" s="15"/>
      <c r="I3886" s="16"/>
      <c r="J3886" s="16"/>
      <c r="K3886" s="17" t="str">
        <f>IF(J3886="","",ROUND(J3886*Settings!$B$8,2))</f>
        <v/>
      </c>
      <c r="L3886" s="16"/>
      <c r="M3886" s="8" t="str">
        <f t="shared" si="60"/>
        <v/>
      </c>
      <c r="N3886" s="9"/>
    </row>
    <row r="3887" spans="1:14" ht="15.75">
      <c r="A3887" s="11"/>
      <c r="B3887" s="9"/>
      <c r="C3887" s="12" t="str">
        <f>IF(B3887="","",IFERROR(INDEX('Cashier Roster'!$C$5:$C$64,MATCH(B3887,'Cashier Roster'!$B$5:$B$64,0)),"Not on roster"))</f>
        <v/>
      </c>
      <c r="D3887" s="12" t="str">
        <f>IF(B3887="","",IFERROR(INDEX('Cashier Roster'!$D$5:$D$64,MATCH(B3887,'Cashier Roster'!$B$5:$B$64,0)),""))</f>
        <v/>
      </c>
      <c r="E3887" s="13"/>
      <c r="F3887" s="14"/>
      <c r="G3887" s="8" t="str">
        <f>IF(OR(B3887="",E3887=""),"",IF(E3887="No","Missed",IF(F3887="","",IF(F3887&lt;=Settings!$B$7,"On time","Late"))))</f>
        <v/>
      </c>
      <c r="H3887" s="15"/>
      <c r="I3887" s="16"/>
      <c r="J3887" s="16"/>
      <c r="K3887" s="17" t="str">
        <f>IF(J3887="","",ROUND(J3887*Settings!$B$8,2))</f>
        <v/>
      </c>
      <c r="L3887" s="16"/>
      <c r="M3887" s="8" t="str">
        <f t="shared" si="60"/>
        <v/>
      </c>
      <c r="N3887" s="9"/>
    </row>
    <row r="3888" spans="1:14" ht="15.75">
      <c r="A3888" s="11"/>
      <c r="B3888" s="9"/>
      <c r="C3888" s="12" t="str">
        <f>IF(B3888="","",IFERROR(INDEX('Cashier Roster'!$C$5:$C$64,MATCH(B3888,'Cashier Roster'!$B$5:$B$64,0)),"Not on roster"))</f>
        <v/>
      </c>
      <c r="D3888" s="12" t="str">
        <f>IF(B3888="","",IFERROR(INDEX('Cashier Roster'!$D$5:$D$64,MATCH(B3888,'Cashier Roster'!$B$5:$B$64,0)),""))</f>
        <v/>
      </c>
      <c r="E3888" s="13"/>
      <c r="F3888" s="14"/>
      <c r="G3888" s="8" t="str">
        <f>IF(OR(B3888="",E3888=""),"",IF(E3888="No","Missed",IF(F3888="","",IF(F3888&lt;=Settings!$B$7,"On time","Late"))))</f>
        <v/>
      </c>
      <c r="H3888" s="15"/>
      <c r="I3888" s="16"/>
      <c r="J3888" s="16"/>
      <c r="K3888" s="17" t="str">
        <f>IF(J3888="","",ROUND(J3888*Settings!$B$8,2))</f>
        <v/>
      </c>
      <c r="L3888" s="16"/>
      <c r="M3888" s="8" t="str">
        <f t="shared" si="60"/>
        <v/>
      </c>
      <c r="N3888" s="9"/>
    </row>
    <row r="3889" spans="1:14" ht="15.75">
      <c r="A3889" s="11"/>
      <c r="B3889" s="9"/>
      <c r="C3889" s="12" t="str">
        <f>IF(B3889="","",IFERROR(INDEX('Cashier Roster'!$C$5:$C$64,MATCH(B3889,'Cashier Roster'!$B$5:$B$64,0)),"Not on roster"))</f>
        <v/>
      </c>
      <c r="D3889" s="12" t="str">
        <f>IF(B3889="","",IFERROR(INDEX('Cashier Roster'!$D$5:$D$64,MATCH(B3889,'Cashier Roster'!$B$5:$B$64,0)),""))</f>
        <v/>
      </c>
      <c r="E3889" s="13"/>
      <c r="F3889" s="14"/>
      <c r="G3889" s="8" t="str">
        <f>IF(OR(B3889="",E3889=""),"",IF(E3889="No","Missed",IF(F3889="","",IF(F3889&lt;=Settings!$B$7,"On time","Late"))))</f>
        <v/>
      </c>
      <c r="H3889" s="15"/>
      <c r="I3889" s="16"/>
      <c r="J3889" s="16"/>
      <c r="K3889" s="17" t="str">
        <f>IF(J3889="","",ROUND(J3889*Settings!$B$8,2))</f>
        <v/>
      </c>
      <c r="L3889" s="16"/>
      <c r="M3889" s="8" t="str">
        <f t="shared" si="60"/>
        <v/>
      </c>
      <c r="N3889" s="9"/>
    </row>
    <row r="3890" spans="1:14" ht="15.75">
      <c r="A3890" s="11"/>
      <c r="B3890" s="9"/>
      <c r="C3890" s="12" t="str">
        <f>IF(B3890="","",IFERROR(INDEX('Cashier Roster'!$C$5:$C$64,MATCH(B3890,'Cashier Roster'!$B$5:$B$64,0)),"Not on roster"))</f>
        <v/>
      </c>
      <c r="D3890" s="12" t="str">
        <f>IF(B3890="","",IFERROR(INDEX('Cashier Roster'!$D$5:$D$64,MATCH(B3890,'Cashier Roster'!$B$5:$B$64,0)),""))</f>
        <v/>
      </c>
      <c r="E3890" s="13"/>
      <c r="F3890" s="14"/>
      <c r="G3890" s="8" t="str">
        <f>IF(OR(B3890="",E3890=""),"",IF(E3890="No","Missed",IF(F3890="","",IF(F3890&lt;=Settings!$B$7,"On time","Late"))))</f>
        <v/>
      </c>
      <c r="H3890" s="15"/>
      <c r="I3890" s="16"/>
      <c r="J3890" s="16"/>
      <c r="K3890" s="17" t="str">
        <f>IF(J3890="","",ROUND(J3890*Settings!$B$8,2))</f>
        <v/>
      </c>
      <c r="L3890" s="16"/>
      <c r="M3890" s="8" t="str">
        <f t="shared" si="60"/>
        <v/>
      </c>
      <c r="N3890" s="9"/>
    </row>
    <row r="3891" spans="1:14" ht="15.75">
      <c r="A3891" s="11"/>
      <c r="B3891" s="9"/>
      <c r="C3891" s="12" t="str">
        <f>IF(B3891="","",IFERROR(INDEX('Cashier Roster'!$C$5:$C$64,MATCH(B3891,'Cashier Roster'!$B$5:$B$64,0)),"Not on roster"))</f>
        <v/>
      </c>
      <c r="D3891" s="12" t="str">
        <f>IF(B3891="","",IFERROR(INDEX('Cashier Roster'!$D$5:$D$64,MATCH(B3891,'Cashier Roster'!$B$5:$B$64,0)),""))</f>
        <v/>
      </c>
      <c r="E3891" s="13"/>
      <c r="F3891" s="14"/>
      <c r="G3891" s="8" t="str">
        <f>IF(OR(B3891="",E3891=""),"",IF(E3891="No","Missed",IF(F3891="","",IF(F3891&lt;=Settings!$B$7,"On time","Late"))))</f>
        <v/>
      </c>
      <c r="H3891" s="15"/>
      <c r="I3891" s="16"/>
      <c r="J3891" s="16"/>
      <c r="K3891" s="17" t="str">
        <f>IF(J3891="","",ROUND(J3891*Settings!$B$8,2))</f>
        <v/>
      </c>
      <c r="L3891" s="16"/>
      <c r="M3891" s="8" t="str">
        <f t="shared" si="60"/>
        <v/>
      </c>
      <c r="N3891" s="9"/>
    </row>
    <row r="3892" spans="1:14" ht="15.75">
      <c r="A3892" s="11"/>
      <c r="B3892" s="9"/>
      <c r="C3892" s="12" t="str">
        <f>IF(B3892="","",IFERROR(INDEX('Cashier Roster'!$C$5:$C$64,MATCH(B3892,'Cashier Roster'!$B$5:$B$64,0)),"Not on roster"))</f>
        <v/>
      </c>
      <c r="D3892" s="12" t="str">
        <f>IF(B3892="","",IFERROR(INDEX('Cashier Roster'!$D$5:$D$64,MATCH(B3892,'Cashier Roster'!$B$5:$B$64,0)),""))</f>
        <v/>
      </c>
      <c r="E3892" s="13"/>
      <c r="F3892" s="14"/>
      <c r="G3892" s="8" t="str">
        <f>IF(OR(B3892="",E3892=""),"",IF(E3892="No","Missed",IF(F3892="","",IF(F3892&lt;=Settings!$B$7,"On time","Late"))))</f>
        <v/>
      </c>
      <c r="H3892" s="15"/>
      <c r="I3892" s="16"/>
      <c r="J3892" s="16"/>
      <c r="K3892" s="17" t="str">
        <f>IF(J3892="","",ROUND(J3892*Settings!$B$8,2))</f>
        <v/>
      </c>
      <c r="L3892" s="16"/>
      <c r="M3892" s="8" t="str">
        <f t="shared" si="60"/>
        <v/>
      </c>
      <c r="N3892" s="9"/>
    </row>
    <row r="3893" spans="1:14" ht="15.75">
      <c r="A3893" s="11"/>
      <c r="B3893" s="9"/>
      <c r="C3893" s="12" t="str">
        <f>IF(B3893="","",IFERROR(INDEX('Cashier Roster'!$C$5:$C$64,MATCH(B3893,'Cashier Roster'!$B$5:$B$64,0)),"Not on roster"))</f>
        <v/>
      </c>
      <c r="D3893" s="12" t="str">
        <f>IF(B3893="","",IFERROR(INDEX('Cashier Roster'!$D$5:$D$64,MATCH(B3893,'Cashier Roster'!$B$5:$B$64,0)),""))</f>
        <v/>
      </c>
      <c r="E3893" s="13"/>
      <c r="F3893" s="14"/>
      <c r="G3893" s="8" t="str">
        <f>IF(OR(B3893="",E3893=""),"",IF(E3893="No","Missed",IF(F3893="","",IF(F3893&lt;=Settings!$B$7,"On time","Late"))))</f>
        <v/>
      </c>
      <c r="H3893" s="15"/>
      <c r="I3893" s="16"/>
      <c r="J3893" s="16"/>
      <c r="K3893" s="17" t="str">
        <f>IF(J3893="","",ROUND(J3893*Settings!$B$8,2))</f>
        <v/>
      </c>
      <c r="L3893" s="16"/>
      <c r="M3893" s="8" t="str">
        <f t="shared" si="60"/>
        <v/>
      </c>
      <c r="N3893" s="9"/>
    </row>
    <row r="3894" spans="1:14" ht="15.75">
      <c r="A3894" s="11"/>
      <c r="B3894" s="9"/>
      <c r="C3894" s="12" t="str">
        <f>IF(B3894="","",IFERROR(INDEX('Cashier Roster'!$C$5:$C$64,MATCH(B3894,'Cashier Roster'!$B$5:$B$64,0)),"Not on roster"))</f>
        <v/>
      </c>
      <c r="D3894" s="12" t="str">
        <f>IF(B3894="","",IFERROR(INDEX('Cashier Roster'!$D$5:$D$64,MATCH(B3894,'Cashier Roster'!$B$5:$B$64,0)),""))</f>
        <v/>
      </c>
      <c r="E3894" s="13"/>
      <c r="F3894" s="14"/>
      <c r="G3894" s="8" t="str">
        <f>IF(OR(B3894="",E3894=""),"",IF(E3894="No","Missed",IF(F3894="","",IF(F3894&lt;=Settings!$B$7,"On time","Late"))))</f>
        <v/>
      </c>
      <c r="H3894" s="15"/>
      <c r="I3894" s="16"/>
      <c r="J3894" s="16"/>
      <c r="K3894" s="17" t="str">
        <f>IF(J3894="","",ROUND(J3894*Settings!$B$8,2))</f>
        <v/>
      </c>
      <c r="L3894" s="16"/>
      <c r="M3894" s="8" t="str">
        <f t="shared" si="60"/>
        <v/>
      </c>
      <c r="N3894" s="9"/>
    </row>
    <row r="3895" spans="1:14" ht="15.75">
      <c r="A3895" s="11"/>
      <c r="B3895" s="9"/>
      <c r="C3895" s="12" t="str">
        <f>IF(B3895="","",IFERROR(INDEX('Cashier Roster'!$C$5:$C$64,MATCH(B3895,'Cashier Roster'!$B$5:$B$64,0)),"Not on roster"))</f>
        <v/>
      </c>
      <c r="D3895" s="12" t="str">
        <f>IF(B3895="","",IFERROR(INDEX('Cashier Roster'!$D$5:$D$64,MATCH(B3895,'Cashier Roster'!$B$5:$B$64,0)),""))</f>
        <v/>
      </c>
      <c r="E3895" s="13"/>
      <c r="F3895" s="14"/>
      <c r="G3895" s="8" t="str">
        <f>IF(OR(B3895="",E3895=""),"",IF(E3895="No","Missed",IF(F3895="","",IF(F3895&lt;=Settings!$B$7,"On time","Late"))))</f>
        <v/>
      </c>
      <c r="H3895" s="15"/>
      <c r="I3895" s="16"/>
      <c r="J3895" s="16"/>
      <c r="K3895" s="17" t="str">
        <f>IF(J3895="","",ROUND(J3895*Settings!$B$8,2))</f>
        <v/>
      </c>
      <c r="L3895" s="16"/>
      <c r="M3895" s="8" t="str">
        <f t="shared" si="60"/>
        <v/>
      </c>
      <c r="N3895" s="9"/>
    </row>
    <row r="3896" spans="1:14" ht="15.75">
      <c r="A3896" s="11"/>
      <c r="B3896" s="9"/>
      <c r="C3896" s="12" t="str">
        <f>IF(B3896="","",IFERROR(INDEX('Cashier Roster'!$C$5:$C$64,MATCH(B3896,'Cashier Roster'!$B$5:$B$64,0)),"Not on roster"))</f>
        <v/>
      </c>
      <c r="D3896" s="12" t="str">
        <f>IF(B3896="","",IFERROR(INDEX('Cashier Roster'!$D$5:$D$64,MATCH(B3896,'Cashier Roster'!$B$5:$B$64,0)),""))</f>
        <v/>
      </c>
      <c r="E3896" s="13"/>
      <c r="F3896" s="14"/>
      <c r="G3896" s="8" t="str">
        <f>IF(OR(B3896="",E3896=""),"",IF(E3896="No","Missed",IF(F3896="","",IF(F3896&lt;=Settings!$B$7,"On time","Late"))))</f>
        <v/>
      </c>
      <c r="H3896" s="15"/>
      <c r="I3896" s="16"/>
      <c r="J3896" s="16"/>
      <c r="K3896" s="17" t="str">
        <f>IF(J3896="","",ROUND(J3896*Settings!$B$8,2))</f>
        <v/>
      </c>
      <c r="L3896" s="16"/>
      <c r="M3896" s="8" t="str">
        <f t="shared" si="60"/>
        <v/>
      </c>
      <c r="N3896" s="9"/>
    </row>
    <row r="3897" spans="1:14" ht="15.75">
      <c r="A3897" s="11"/>
      <c r="B3897" s="9"/>
      <c r="C3897" s="12" t="str">
        <f>IF(B3897="","",IFERROR(INDEX('Cashier Roster'!$C$5:$C$64,MATCH(B3897,'Cashier Roster'!$B$5:$B$64,0)),"Not on roster"))</f>
        <v/>
      </c>
      <c r="D3897" s="12" t="str">
        <f>IF(B3897="","",IFERROR(INDEX('Cashier Roster'!$D$5:$D$64,MATCH(B3897,'Cashier Roster'!$B$5:$B$64,0)),""))</f>
        <v/>
      </c>
      <c r="E3897" s="13"/>
      <c r="F3897" s="14"/>
      <c r="G3897" s="8" t="str">
        <f>IF(OR(B3897="",E3897=""),"",IF(E3897="No","Missed",IF(F3897="","",IF(F3897&lt;=Settings!$B$7,"On time","Late"))))</f>
        <v/>
      </c>
      <c r="H3897" s="15"/>
      <c r="I3897" s="16"/>
      <c r="J3897" s="16"/>
      <c r="K3897" s="17" t="str">
        <f>IF(J3897="","",ROUND(J3897*Settings!$B$8,2))</f>
        <v/>
      </c>
      <c r="L3897" s="16"/>
      <c r="M3897" s="8" t="str">
        <f t="shared" si="60"/>
        <v/>
      </c>
      <c r="N3897" s="9"/>
    </row>
    <row r="3898" spans="1:14" ht="15.75">
      <c r="A3898" s="11"/>
      <c r="B3898" s="9"/>
      <c r="C3898" s="12" t="str">
        <f>IF(B3898="","",IFERROR(INDEX('Cashier Roster'!$C$5:$C$64,MATCH(B3898,'Cashier Roster'!$B$5:$B$64,0)),"Not on roster"))</f>
        <v/>
      </c>
      <c r="D3898" s="12" t="str">
        <f>IF(B3898="","",IFERROR(INDEX('Cashier Roster'!$D$5:$D$64,MATCH(B3898,'Cashier Roster'!$B$5:$B$64,0)),""))</f>
        <v/>
      </c>
      <c r="E3898" s="13"/>
      <c r="F3898" s="14"/>
      <c r="G3898" s="8" t="str">
        <f>IF(OR(B3898="",E3898=""),"",IF(E3898="No","Missed",IF(F3898="","",IF(F3898&lt;=Settings!$B$7,"On time","Late"))))</f>
        <v/>
      </c>
      <c r="H3898" s="15"/>
      <c r="I3898" s="16"/>
      <c r="J3898" s="16"/>
      <c r="K3898" s="17" t="str">
        <f>IF(J3898="","",ROUND(J3898*Settings!$B$8,2))</f>
        <v/>
      </c>
      <c r="L3898" s="16"/>
      <c r="M3898" s="8" t="str">
        <f t="shared" si="60"/>
        <v/>
      </c>
      <c r="N3898" s="9"/>
    </row>
    <row r="3899" spans="1:14" ht="15.75">
      <c r="A3899" s="11"/>
      <c r="B3899" s="9"/>
      <c r="C3899" s="12" t="str">
        <f>IF(B3899="","",IFERROR(INDEX('Cashier Roster'!$C$5:$C$64,MATCH(B3899,'Cashier Roster'!$B$5:$B$64,0)),"Not on roster"))</f>
        <v/>
      </c>
      <c r="D3899" s="12" t="str">
        <f>IF(B3899="","",IFERROR(INDEX('Cashier Roster'!$D$5:$D$64,MATCH(B3899,'Cashier Roster'!$B$5:$B$64,0)),""))</f>
        <v/>
      </c>
      <c r="E3899" s="13"/>
      <c r="F3899" s="14"/>
      <c r="G3899" s="8" t="str">
        <f>IF(OR(B3899="",E3899=""),"",IF(E3899="No","Missed",IF(F3899="","",IF(F3899&lt;=Settings!$B$7,"On time","Late"))))</f>
        <v/>
      </c>
      <c r="H3899" s="15"/>
      <c r="I3899" s="16"/>
      <c r="J3899" s="16"/>
      <c r="K3899" s="17" t="str">
        <f>IF(J3899="","",ROUND(J3899*Settings!$B$8,2))</f>
        <v/>
      </c>
      <c r="L3899" s="16"/>
      <c r="M3899" s="8" t="str">
        <f t="shared" si="60"/>
        <v/>
      </c>
      <c r="N3899" s="9"/>
    </row>
    <row r="3900" spans="1:14" ht="15.75">
      <c r="A3900" s="11"/>
      <c r="B3900" s="9"/>
      <c r="C3900" s="12" t="str">
        <f>IF(B3900="","",IFERROR(INDEX('Cashier Roster'!$C$5:$C$64,MATCH(B3900,'Cashier Roster'!$B$5:$B$64,0)),"Not on roster"))</f>
        <v/>
      </c>
      <c r="D3900" s="12" t="str">
        <f>IF(B3900="","",IFERROR(INDEX('Cashier Roster'!$D$5:$D$64,MATCH(B3900,'Cashier Roster'!$B$5:$B$64,0)),""))</f>
        <v/>
      </c>
      <c r="E3900" s="13"/>
      <c r="F3900" s="14"/>
      <c r="G3900" s="8" t="str">
        <f>IF(OR(B3900="",E3900=""),"",IF(E3900="No","Missed",IF(F3900="","",IF(F3900&lt;=Settings!$B$7,"On time","Late"))))</f>
        <v/>
      </c>
      <c r="H3900" s="15"/>
      <c r="I3900" s="16"/>
      <c r="J3900" s="16"/>
      <c r="K3900" s="17" t="str">
        <f>IF(J3900="","",ROUND(J3900*Settings!$B$8,2))</f>
        <v/>
      </c>
      <c r="L3900" s="16"/>
      <c r="M3900" s="8" t="str">
        <f t="shared" si="60"/>
        <v/>
      </c>
      <c r="N3900" s="9"/>
    </row>
    <row r="3901" spans="1:14" ht="15.75">
      <c r="A3901" s="11"/>
      <c r="B3901" s="9"/>
      <c r="C3901" s="12" t="str">
        <f>IF(B3901="","",IFERROR(INDEX('Cashier Roster'!$C$5:$C$64,MATCH(B3901,'Cashier Roster'!$B$5:$B$64,0)),"Not on roster"))</f>
        <v/>
      </c>
      <c r="D3901" s="12" t="str">
        <f>IF(B3901="","",IFERROR(INDEX('Cashier Roster'!$D$5:$D$64,MATCH(B3901,'Cashier Roster'!$B$5:$B$64,0)),""))</f>
        <v/>
      </c>
      <c r="E3901" s="13"/>
      <c r="F3901" s="14"/>
      <c r="G3901" s="8" t="str">
        <f>IF(OR(B3901="",E3901=""),"",IF(E3901="No","Missed",IF(F3901="","",IF(F3901&lt;=Settings!$B$7,"On time","Late"))))</f>
        <v/>
      </c>
      <c r="H3901" s="15"/>
      <c r="I3901" s="16"/>
      <c r="J3901" s="16"/>
      <c r="K3901" s="17" t="str">
        <f>IF(J3901="","",ROUND(J3901*Settings!$B$8,2))</f>
        <v/>
      </c>
      <c r="L3901" s="16"/>
      <c r="M3901" s="8" t="str">
        <f t="shared" si="60"/>
        <v/>
      </c>
      <c r="N3901" s="9"/>
    </row>
    <row r="3902" spans="1:14" ht="15.75">
      <c r="A3902" s="11"/>
      <c r="B3902" s="9"/>
      <c r="C3902" s="12" t="str">
        <f>IF(B3902="","",IFERROR(INDEX('Cashier Roster'!$C$5:$C$64,MATCH(B3902,'Cashier Roster'!$B$5:$B$64,0)),"Not on roster"))</f>
        <v/>
      </c>
      <c r="D3902" s="12" t="str">
        <f>IF(B3902="","",IFERROR(INDEX('Cashier Roster'!$D$5:$D$64,MATCH(B3902,'Cashier Roster'!$B$5:$B$64,0)),""))</f>
        <v/>
      </c>
      <c r="E3902" s="13"/>
      <c r="F3902" s="14"/>
      <c r="G3902" s="8" t="str">
        <f>IF(OR(B3902="",E3902=""),"",IF(E3902="No","Missed",IF(F3902="","",IF(F3902&lt;=Settings!$B$7,"On time","Late"))))</f>
        <v/>
      </c>
      <c r="H3902" s="15"/>
      <c r="I3902" s="16"/>
      <c r="J3902" s="16"/>
      <c r="K3902" s="17" t="str">
        <f>IF(J3902="","",ROUND(J3902*Settings!$B$8,2))</f>
        <v/>
      </c>
      <c r="L3902" s="16"/>
      <c r="M3902" s="8" t="str">
        <f t="shared" si="60"/>
        <v/>
      </c>
      <c r="N3902" s="9"/>
    </row>
    <row r="3903" spans="1:14" ht="15.75">
      <c r="A3903" s="11"/>
      <c r="B3903" s="9"/>
      <c r="C3903" s="12" t="str">
        <f>IF(B3903="","",IFERROR(INDEX('Cashier Roster'!$C$5:$C$64,MATCH(B3903,'Cashier Roster'!$B$5:$B$64,0)),"Not on roster"))</f>
        <v/>
      </c>
      <c r="D3903" s="12" t="str">
        <f>IF(B3903="","",IFERROR(INDEX('Cashier Roster'!$D$5:$D$64,MATCH(B3903,'Cashier Roster'!$B$5:$B$64,0)),""))</f>
        <v/>
      </c>
      <c r="E3903" s="13"/>
      <c r="F3903" s="14"/>
      <c r="G3903" s="8" t="str">
        <f>IF(OR(B3903="",E3903=""),"",IF(E3903="No","Missed",IF(F3903="","",IF(F3903&lt;=Settings!$B$7,"On time","Late"))))</f>
        <v/>
      </c>
      <c r="H3903" s="15"/>
      <c r="I3903" s="16"/>
      <c r="J3903" s="16"/>
      <c r="K3903" s="17" t="str">
        <f>IF(J3903="","",ROUND(J3903*Settings!$B$8,2))</f>
        <v/>
      </c>
      <c r="L3903" s="16"/>
      <c r="M3903" s="8" t="str">
        <f t="shared" si="60"/>
        <v/>
      </c>
      <c r="N3903" s="9"/>
    </row>
    <row r="3904" spans="1:14" ht="15.75">
      <c r="A3904" s="11"/>
      <c r="B3904" s="9"/>
      <c r="C3904" s="12" t="str">
        <f>IF(B3904="","",IFERROR(INDEX('Cashier Roster'!$C$5:$C$64,MATCH(B3904,'Cashier Roster'!$B$5:$B$64,0)),"Not on roster"))</f>
        <v/>
      </c>
      <c r="D3904" s="12" t="str">
        <f>IF(B3904="","",IFERROR(INDEX('Cashier Roster'!$D$5:$D$64,MATCH(B3904,'Cashier Roster'!$B$5:$B$64,0)),""))</f>
        <v/>
      </c>
      <c r="E3904" s="13"/>
      <c r="F3904" s="14"/>
      <c r="G3904" s="8" t="str">
        <f>IF(OR(B3904="",E3904=""),"",IF(E3904="No","Missed",IF(F3904="","",IF(F3904&lt;=Settings!$B$7,"On time","Late"))))</f>
        <v/>
      </c>
      <c r="H3904" s="15"/>
      <c r="I3904" s="16"/>
      <c r="J3904" s="16"/>
      <c r="K3904" s="17" t="str">
        <f>IF(J3904="","",ROUND(J3904*Settings!$B$8,2))</f>
        <v/>
      </c>
      <c r="L3904" s="16"/>
      <c r="M3904" s="8" t="str">
        <f t="shared" si="60"/>
        <v/>
      </c>
      <c r="N3904" s="9"/>
    </row>
    <row r="3905" spans="1:14" ht="15.75">
      <c r="A3905" s="11"/>
      <c r="B3905" s="9"/>
      <c r="C3905" s="12" t="str">
        <f>IF(B3905="","",IFERROR(INDEX('Cashier Roster'!$C$5:$C$64,MATCH(B3905,'Cashier Roster'!$B$5:$B$64,0)),"Not on roster"))</f>
        <v/>
      </c>
      <c r="D3905" s="12" t="str">
        <f>IF(B3905="","",IFERROR(INDEX('Cashier Roster'!$D$5:$D$64,MATCH(B3905,'Cashier Roster'!$B$5:$B$64,0)),""))</f>
        <v/>
      </c>
      <c r="E3905" s="13"/>
      <c r="F3905" s="14"/>
      <c r="G3905" s="8" t="str">
        <f>IF(OR(B3905="",E3905=""),"",IF(E3905="No","Missed",IF(F3905="","",IF(F3905&lt;=Settings!$B$7,"On time","Late"))))</f>
        <v/>
      </c>
      <c r="H3905" s="15"/>
      <c r="I3905" s="16"/>
      <c r="J3905" s="16"/>
      <c r="K3905" s="17" t="str">
        <f>IF(J3905="","",ROUND(J3905*Settings!$B$8,2))</f>
        <v/>
      </c>
      <c r="L3905" s="16"/>
      <c r="M3905" s="8" t="str">
        <f t="shared" si="60"/>
        <v/>
      </c>
      <c r="N3905" s="9"/>
    </row>
    <row r="3906" spans="1:14" ht="15.75">
      <c r="A3906" s="11"/>
      <c r="B3906" s="9"/>
      <c r="C3906" s="12" t="str">
        <f>IF(B3906="","",IFERROR(INDEX('Cashier Roster'!$C$5:$C$64,MATCH(B3906,'Cashier Roster'!$B$5:$B$64,0)),"Not on roster"))</f>
        <v/>
      </c>
      <c r="D3906" s="12" t="str">
        <f>IF(B3906="","",IFERROR(INDEX('Cashier Roster'!$D$5:$D$64,MATCH(B3906,'Cashier Roster'!$B$5:$B$64,0)),""))</f>
        <v/>
      </c>
      <c r="E3906" s="13"/>
      <c r="F3906" s="14"/>
      <c r="G3906" s="8" t="str">
        <f>IF(OR(B3906="",E3906=""),"",IF(E3906="No","Missed",IF(F3906="","",IF(F3906&lt;=Settings!$B$7,"On time","Late"))))</f>
        <v/>
      </c>
      <c r="H3906" s="15"/>
      <c r="I3906" s="16"/>
      <c r="J3906" s="16"/>
      <c r="K3906" s="17" t="str">
        <f>IF(J3906="","",ROUND(J3906*Settings!$B$8,2))</f>
        <v/>
      </c>
      <c r="L3906" s="16"/>
      <c r="M3906" s="8" t="str">
        <f t="shared" si="60"/>
        <v/>
      </c>
      <c r="N3906" s="9"/>
    </row>
    <row r="3907" spans="1:14" ht="15.75">
      <c r="A3907" s="11"/>
      <c r="B3907" s="9"/>
      <c r="C3907" s="12" t="str">
        <f>IF(B3907="","",IFERROR(INDEX('Cashier Roster'!$C$5:$C$64,MATCH(B3907,'Cashier Roster'!$B$5:$B$64,0)),"Not on roster"))</f>
        <v/>
      </c>
      <c r="D3907" s="12" t="str">
        <f>IF(B3907="","",IFERROR(INDEX('Cashier Roster'!$D$5:$D$64,MATCH(B3907,'Cashier Roster'!$B$5:$B$64,0)),""))</f>
        <v/>
      </c>
      <c r="E3907" s="13"/>
      <c r="F3907" s="14"/>
      <c r="G3907" s="8" t="str">
        <f>IF(OR(B3907="",E3907=""),"",IF(E3907="No","Missed",IF(F3907="","",IF(F3907&lt;=Settings!$B$7,"On time","Late"))))</f>
        <v/>
      </c>
      <c r="H3907" s="15"/>
      <c r="I3907" s="16"/>
      <c r="J3907" s="16"/>
      <c r="K3907" s="17" t="str">
        <f>IF(J3907="","",ROUND(J3907*Settings!$B$8,2))</f>
        <v/>
      </c>
      <c r="L3907" s="16"/>
      <c r="M3907" s="8" t="str">
        <f t="shared" si="60"/>
        <v/>
      </c>
      <c r="N3907" s="9"/>
    </row>
    <row r="3908" spans="1:14" ht="15.75">
      <c r="A3908" s="11"/>
      <c r="B3908" s="9"/>
      <c r="C3908" s="12" t="str">
        <f>IF(B3908="","",IFERROR(INDEX('Cashier Roster'!$C$5:$C$64,MATCH(B3908,'Cashier Roster'!$B$5:$B$64,0)),"Not on roster"))</f>
        <v/>
      </c>
      <c r="D3908" s="12" t="str">
        <f>IF(B3908="","",IFERROR(INDEX('Cashier Roster'!$D$5:$D$64,MATCH(B3908,'Cashier Roster'!$B$5:$B$64,0)),""))</f>
        <v/>
      </c>
      <c r="E3908" s="13"/>
      <c r="F3908" s="14"/>
      <c r="G3908" s="8" t="str">
        <f>IF(OR(B3908="",E3908=""),"",IF(E3908="No","Missed",IF(F3908="","",IF(F3908&lt;=Settings!$B$7,"On time","Late"))))</f>
        <v/>
      </c>
      <c r="H3908" s="15"/>
      <c r="I3908" s="16"/>
      <c r="J3908" s="16"/>
      <c r="K3908" s="17" t="str">
        <f>IF(J3908="","",ROUND(J3908*Settings!$B$8,2))</f>
        <v/>
      </c>
      <c r="L3908" s="16"/>
      <c r="M3908" s="8" t="str">
        <f t="shared" si="60"/>
        <v/>
      </c>
      <c r="N3908" s="9"/>
    </row>
    <row r="3909" spans="1:14" ht="15.75">
      <c r="A3909" s="11"/>
      <c r="B3909" s="9"/>
      <c r="C3909" s="12" t="str">
        <f>IF(B3909="","",IFERROR(INDEX('Cashier Roster'!$C$5:$C$64,MATCH(B3909,'Cashier Roster'!$B$5:$B$64,0)),"Not on roster"))</f>
        <v/>
      </c>
      <c r="D3909" s="12" t="str">
        <f>IF(B3909="","",IFERROR(INDEX('Cashier Roster'!$D$5:$D$64,MATCH(B3909,'Cashier Roster'!$B$5:$B$64,0)),""))</f>
        <v/>
      </c>
      <c r="E3909" s="13"/>
      <c r="F3909" s="14"/>
      <c r="G3909" s="8" t="str">
        <f>IF(OR(B3909="",E3909=""),"",IF(E3909="No","Missed",IF(F3909="","",IF(F3909&lt;=Settings!$B$7,"On time","Late"))))</f>
        <v/>
      </c>
      <c r="H3909" s="15"/>
      <c r="I3909" s="16"/>
      <c r="J3909" s="16"/>
      <c r="K3909" s="17" t="str">
        <f>IF(J3909="","",ROUND(J3909*Settings!$B$8,2))</f>
        <v/>
      </c>
      <c r="L3909" s="16"/>
      <c r="M3909" s="8" t="str">
        <f t="shared" ref="M3909:M3972" si="61">IF(L3909="","",IF(L3909&lt;=0,"Yes","No"))</f>
        <v/>
      </c>
      <c r="N3909" s="9"/>
    </row>
    <row r="3910" spans="1:14" ht="15.75">
      <c r="A3910" s="11"/>
      <c r="B3910" s="9"/>
      <c r="C3910" s="12" t="str">
        <f>IF(B3910="","",IFERROR(INDEX('Cashier Roster'!$C$5:$C$64,MATCH(B3910,'Cashier Roster'!$B$5:$B$64,0)),"Not on roster"))</f>
        <v/>
      </c>
      <c r="D3910" s="12" t="str">
        <f>IF(B3910="","",IFERROR(INDEX('Cashier Roster'!$D$5:$D$64,MATCH(B3910,'Cashier Roster'!$B$5:$B$64,0)),""))</f>
        <v/>
      </c>
      <c r="E3910" s="13"/>
      <c r="F3910" s="14"/>
      <c r="G3910" s="8" t="str">
        <f>IF(OR(B3910="",E3910=""),"",IF(E3910="No","Missed",IF(F3910="","",IF(F3910&lt;=Settings!$B$7,"On time","Late"))))</f>
        <v/>
      </c>
      <c r="H3910" s="15"/>
      <c r="I3910" s="16"/>
      <c r="J3910" s="16"/>
      <c r="K3910" s="17" t="str">
        <f>IF(J3910="","",ROUND(J3910*Settings!$B$8,2))</f>
        <v/>
      </c>
      <c r="L3910" s="16"/>
      <c r="M3910" s="8" t="str">
        <f t="shared" si="61"/>
        <v/>
      </c>
      <c r="N3910" s="9"/>
    </row>
    <row r="3911" spans="1:14" ht="15.75">
      <c r="A3911" s="11"/>
      <c r="B3911" s="9"/>
      <c r="C3911" s="12" t="str">
        <f>IF(B3911="","",IFERROR(INDEX('Cashier Roster'!$C$5:$C$64,MATCH(B3911,'Cashier Roster'!$B$5:$B$64,0)),"Not on roster"))</f>
        <v/>
      </c>
      <c r="D3911" s="12" t="str">
        <f>IF(B3911="","",IFERROR(INDEX('Cashier Roster'!$D$5:$D$64,MATCH(B3911,'Cashier Roster'!$B$5:$B$64,0)),""))</f>
        <v/>
      </c>
      <c r="E3911" s="13"/>
      <c r="F3911" s="14"/>
      <c r="G3911" s="8" t="str">
        <f>IF(OR(B3911="",E3911=""),"",IF(E3911="No","Missed",IF(F3911="","",IF(F3911&lt;=Settings!$B$7,"On time","Late"))))</f>
        <v/>
      </c>
      <c r="H3911" s="15"/>
      <c r="I3911" s="16"/>
      <c r="J3911" s="16"/>
      <c r="K3911" s="17" t="str">
        <f>IF(J3911="","",ROUND(J3911*Settings!$B$8,2))</f>
        <v/>
      </c>
      <c r="L3911" s="16"/>
      <c r="M3911" s="8" t="str">
        <f t="shared" si="61"/>
        <v/>
      </c>
      <c r="N3911" s="9"/>
    </row>
    <row r="3912" spans="1:14" ht="15.75">
      <c r="A3912" s="11"/>
      <c r="B3912" s="9"/>
      <c r="C3912" s="12" t="str">
        <f>IF(B3912="","",IFERROR(INDEX('Cashier Roster'!$C$5:$C$64,MATCH(B3912,'Cashier Roster'!$B$5:$B$64,0)),"Not on roster"))</f>
        <v/>
      </c>
      <c r="D3912" s="12" t="str">
        <f>IF(B3912="","",IFERROR(INDEX('Cashier Roster'!$D$5:$D$64,MATCH(B3912,'Cashier Roster'!$B$5:$B$64,0)),""))</f>
        <v/>
      </c>
      <c r="E3912" s="13"/>
      <c r="F3912" s="14"/>
      <c r="G3912" s="8" t="str">
        <f>IF(OR(B3912="",E3912=""),"",IF(E3912="No","Missed",IF(F3912="","",IF(F3912&lt;=Settings!$B$7,"On time","Late"))))</f>
        <v/>
      </c>
      <c r="H3912" s="15"/>
      <c r="I3912" s="16"/>
      <c r="J3912" s="16"/>
      <c r="K3912" s="17" t="str">
        <f>IF(J3912="","",ROUND(J3912*Settings!$B$8,2))</f>
        <v/>
      </c>
      <c r="L3912" s="16"/>
      <c r="M3912" s="8" t="str">
        <f t="shared" si="61"/>
        <v/>
      </c>
      <c r="N3912" s="9"/>
    </row>
    <row r="3913" spans="1:14" ht="15.75">
      <c r="A3913" s="11"/>
      <c r="B3913" s="9"/>
      <c r="C3913" s="12" t="str">
        <f>IF(B3913="","",IFERROR(INDEX('Cashier Roster'!$C$5:$C$64,MATCH(B3913,'Cashier Roster'!$B$5:$B$64,0)),"Not on roster"))</f>
        <v/>
      </c>
      <c r="D3913" s="12" t="str">
        <f>IF(B3913="","",IFERROR(INDEX('Cashier Roster'!$D$5:$D$64,MATCH(B3913,'Cashier Roster'!$B$5:$B$64,0)),""))</f>
        <v/>
      </c>
      <c r="E3913" s="13"/>
      <c r="F3913" s="14"/>
      <c r="G3913" s="8" t="str">
        <f>IF(OR(B3913="",E3913=""),"",IF(E3913="No","Missed",IF(F3913="","",IF(F3913&lt;=Settings!$B$7,"On time","Late"))))</f>
        <v/>
      </c>
      <c r="H3913" s="15"/>
      <c r="I3913" s="16"/>
      <c r="J3913" s="16"/>
      <c r="K3913" s="17" t="str">
        <f>IF(J3913="","",ROUND(J3913*Settings!$B$8,2))</f>
        <v/>
      </c>
      <c r="L3913" s="16"/>
      <c r="M3913" s="8" t="str">
        <f t="shared" si="61"/>
        <v/>
      </c>
      <c r="N3913" s="9"/>
    </row>
    <row r="3914" spans="1:14" ht="15.75">
      <c r="A3914" s="11"/>
      <c r="B3914" s="9"/>
      <c r="C3914" s="12" t="str">
        <f>IF(B3914="","",IFERROR(INDEX('Cashier Roster'!$C$5:$C$64,MATCH(B3914,'Cashier Roster'!$B$5:$B$64,0)),"Not on roster"))</f>
        <v/>
      </c>
      <c r="D3914" s="12" t="str">
        <f>IF(B3914="","",IFERROR(INDEX('Cashier Roster'!$D$5:$D$64,MATCH(B3914,'Cashier Roster'!$B$5:$B$64,0)),""))</f>
        <v/>
      </c>
      <c r="E3914" s="13"/>
      <c r="F3914" s="14"/>
      <c r="G3914" s="8" t="str">
        <f>IF(OR(B3914="",E3914=""),"",IF(E3914="No","Missed",IF(F3914="","",IF(F3914&lt;=Settings!$B$7,"On time","Late"))))</f>
        <v/>
      </c>
      <c r="H3914" s="15"/>
      <c r="I3914" s="16"/>
      <c r="J3914" s="16"/>
      <c r="K3914" s="17" t="str">
        <f>IF(J3914="","",ROUND(J3914*Settings!$B$8,2))</f>
        <v/>
      </c>
      <c r="L3914" s="16"/>
      <c r="M3914" s="8" t="str">
        <f t="shared" si="61"/>
        <v/>
      </c>
      <c r="N3914" s="9"/>
    </row>
    <row r="3915" spans="1:14" ht="15.75">
      <c r="A3915" s="11"/>
      <c r="B3915" s="9"/>
      <c r="C3915" s="12" t="str">
        <f>IF(B3915="","",IFERROR(INDEX('Cashier Roster'!$C$5:$C$64,MATCH(B3915,'Cashier Roster'!$B$5:$B$64,0)),"Not on roster"))</f>
        <v/>
      </c>
      <c r="D3915" s="12" t="str">
        <f>IF(B3915="","",IFERROR(INDEX('Cashier Roster'!$D$5:$D$64,MATCH(B3915,'Cashier Roster'!$B$5:$B$64,0)),""))</f>
        <v/>
      </c>
      <c r="E3915" s="13"/>
      <c r="F3915" s="14"/>
      <c r="G3915" s="8" t="str">
        <f>IF(OR(B3915="",E3915=""),"",IF(E3915="No","Missed",IF(F3915="","",IF(F3915&lt;=Settings!$B$7,"On time","Late"))))</f>
        <v/>
      </c>
      <c r="H3915" s="15"/>
      <c r="I3915" s="16"/>
      <c r="J3915" s="16"/>
      <c r="K3915" s="17" t="str">
        <f>IF(J3915="","",ROUND(J3915*Settings!$B$8,2))</f>
        <v/>
      </c>
      <c r="L3915" s="16"/>
      <c r="M3915" s="8" t="str">
        <f t="shared" si="61"/>
        <v/>
      </c>
      <c r="N3915" s="9"/>
    </row>
    <row r="3916" spans="1:14" ht="15.75">
      <c r="A3916" s="11"/>
      <c r="B3916" s="9"/>
      <c r="C3916" s="12" t="str">
        <f>IF(B3916="","",IFERROR(INDEX('Cashier Roster'!$C$5:$C$64,MATCH(B3916,'Cashier Roster'!$B$5:$B$64,0)),"Not on roster"))</f>
        <v/>
      </c>
      <c r="D3916" s="12" t="str">
        <f>IF(B3916="","",IFERROR(INDEX('Cashier Roster'!$D$5:$D$64,MATCH(B3916,'Cashier Roster'!$B$5:$B$64,0)),""))</f>
        <v/>
      </c>
      <c r="E3916" s="13"/>
      <c r="F3916" s="14"/>
      <c r="G3916" s="8" t="str">
        <f>IF(OR(B3916="",E3916=""),"",IF(E3916="No","Missed",IF(F3916="","",IF(F3916&lt;=Settings!$B$7,"On time","Late"))))</f>
        <v/>
      </c>
      <c r="H3916" s="15"/>
      <c r="I3916" s="16"/>
      <c r="J3916" s="16"/>
      <c r="K3916" s="17" t="str">
        <f>IF(J3916="","",ROUND(J3916*Settings!$B$8,2))</f>
        <v/>
      </c>
      <c r="L3916" s="16"/>
      <c r="M3916" s="8" t="str">
        <f t="shared" si="61"/>
        <v/>
      </c>
      <c r="N3916" s="9"/>
    </row>
    <row r="3917" spans="1:14" ht="15.75">
      <c r="A3917" s="11"/>
      <c r="B3917" s="9"/>
      <c r="C3917" s="12" t="str">
        <f>IF(B3917="","",IFERROR(INDEX('Cashier Roster'!$C$5:$C$64,MATCH(B3917,'Cashier Roster'!$B$5:$B$64,0)),"Not on roster"))</f>
        <v/>
      </c>
      <c r="D3917" s="12" t="str">
        <f>IF(B3917="","",IFERROR(INDEX('Cashier Roster'!$D$5:$D$64,MATCH(B3917,'Cashier Roster'!$B$5:$B$64,0)),""))</f>
        <v/>
      </c>
      <c r="E3917" s="13"/>
      <c r="F3917" s="14"/>
      <c r="G3917" s="8" t="str">
        <f>IF(OR(B3917="",E3917=""),"",IF(E3917="No","Missed",IF(F3917="","",IF(F3917&lt;=Settings!$B$7,"On time","Late"))))</f>
        <v/>
      </c>
      <c r="H3917" s="15"/>
      <c r="I3917" s="16"/>
      <c r="J3917" s="16"/>
      <c r="K3917" s="17" t="str">
        <f>IF(J3917="","",ROUND(J3917*Settings!$B$8,2))</f>
        <v/>
      </c>
      <c r="L3917" s="16"/>
      <c r="M3917" s="8" t="str">
        <f t="shared" si="61"/>
        <v/>
      </c>
      <c r="N3917" s="9"/>
    </row>
    <row r="3918" spans="1:14" ht="15.75">
      <c r="A3918" s="11"/>
      <c r="B3918" s="9"/>
      <c r="C3918" s="12" t="str">
        <f>IF(B3918="","",IFERROR(INDEX('Cashier Roster'!$C$5:$C$64,MATCH(B3918,'Cashier Roster'!$B$5:$B$64,0)),"Not on roster"))</f>
        <v/>
      </c>
      <c r="D3918" s="12" t="str">
        <f>IF(B3918="","",IFERROR(INDEX('Cashier Roster'!$D$5:$D$64,MATCH(B3918,'Cashier Roster'!$B$5:$B$64,0)),""))</f>
        <v/>
      </c>
      <c r="E3918" s="13"/>
      <c r="F3918" s="14"/>
      <c r="G3918" s="8" t="str">
        <f>IF(OR(B3918="",E3918=""),"",IF(E3918="No","Missed",IF(F3918="","",IF(F3918&lt;=Settings!$B$7,"On time","Late"))))</f>
        <v/>
      </c>
      <c r="H3918" s="15"/>
      <c r="I3918" s="16"/>
      <c r="J3918" s="16"/>
      <c r="K3918" s="17" t="str">
        <f>IF(J3918="","",ROUND(J3918*Settings!$B$8,2))</f>
        <v/>
      </c>
      <c r="L3918" s="16"/>
      <c r="M3918" s="8" t="str">
        <f t="shared" si="61"/>
        <v/>
      </c>
      <c r="N3918" s="9"/>
    </row>
    <row r="3919" spans="1:14" ht="15.75">
      <c r="A3919" s="11"/>
      <c r="B3919" s="9"/>
      <c r="C3919" s="12" t="str">
        <f>IF(B3919="","",IFERROR(INDEX('Cashier Roster'!$C$5:$C$64,MATCH(B3919,'Cashier Roster'!$B$5:$B$64,0)),"Not on roster"))</f>
        <v/>
      </c>
      <c r="D3919" s="12" t="str">
        <f>IF(B3919="","",IFERROR(INDEX('Cashier Roster'!$D$5:$D$64,MATCH(B3919,'Cashier Roster'!$B$5:$B$64,0)),""))</f>
        <v/>
      </c>
      <c r="E3919" s="13"/>
      <c r="F3919" s="14"/>
      <c r="G3919" s="8" t="str">
        <f>IF(OR(B3919="",E3919=""),"",IF(E3919="No","Missed",IF(F3919="","",IF(F3919&lt;=Settings!$B$7,"On time","Late"))))</f>
        <v/>
      </c>
      <c r="H3919" s="15"/>
      <c r="I3919" s="16"/>
      <c r="J3919" s="16"/>
      <c r="K3919" s="17" t="str">
        <f>IF(J3919="","",ROUND(J3919*Settings!$B$8,2))</f>
        <v/>
      </c>
      <c r="L3919" s="16"/>
      <c r="M3919" s="8" t="str">
        <f t="shared" si="61"/>
        <v/>
      </c>
      <c r="N3919" s="9"/>
    </row>
    <row r="3920" spans="1:14" ht="15.75">
      <c r="A3920" s="11"/>
      <c r="B3920" s="9"/>
      <c r="C3920" s="12" t="str">
        <f>IF(B3920="","",IFERROR(INDEX('Cashier Roster'!$C$5:$C$64,MATCH(B3920,'Cashier Roster'!$B$5:$B$64,0)),"Not on roster"))</f>
        <v/>
      </c>
      <c r="D3920" s="12" t="str">
        <f>IF(B3920="","",IFERROR(INDEX('Cashier Roster'!$D$5:$D$64,MATCH(B3920,'Cashier Roster'!$B$5:$B$64,0)),""))</f>
        <v/>
      </c>
      <c r="E3920" s="13"/>
      <c r="F3920" s="14"/>
      <c r="G3920" s="8" t="str">
        <f>IF(OR(B3920="",E3920=""),"",IF(E3920="No","Missed",IF(F3920="","",IF(F3920&lt;=Settings!$B$7,"On time","Late"))))</f>
        <v/>
      </c>
      <c r="H3920" s="15"/>
      <c r="I3920" s="16"/>
      <c r="J3920" s="16"/>
      <c r="K3920" s="17" t="str">
        <f>IF(J3920="","",ROUND(J3920*Settings!$B$8,2))</f>
        <v/>
      </c>
      <c r="L3920" s="16"/>
      <c r="M3920" s="8" t="str">
        <f t="shared" si="61"/>
        <v/>
      </c>
      <c r="N3920" s="9"/>
    </row>
    <row r="3921" spans="1:14" ht="15.75">
      <c r="A3921" s="11"/>
      <c r="B3921" s="9"/>
      <c r="C3921" s="12" t="str">
        <f>IF(B3921="","",IFERROR(INDEX('Cashier Roster'!$C$5:$C$64,MATCH(B3921,'Cashier Roster'!$B$5:$B$64,0)),"Not on roster"))</f>
        <v/>
      </c>
      <c r="D3921" s="12" t="str">
        <f>IF(B3921="","",IFERROR(INDEX('Cashier Roster'!$D$5:$D$64,MATCH(B3921,'Cashier Roster'!$B$5:$B$64,0)),""))</f>
        <v/>
      </c>
      <c r="E3921" s="13"/>
      <c r="F3921" s="14"/>
      <c r="G3921" s="8" t="str">
        <f>IF(OR(B3921="",E3921=""),"",IF(E3921="No","Missed",IF(F3921="","",IF(F3921&lt;=Settings!$B$7,"On time","Late"))))</f>
        <v/>
      </c>
      <c r="H3921" s="15"/>
      <c r="I3921" s="16"/>
      <c r="J3921" s="16"/>
      <c r="K3921" s="17" t="str">
        <f>IF(J3921="","",ROUND(J3921*Settings!$B$8,2))</f>
        <v/>
      </c>
      <c r="L3921" s="16"/>
      <c r="M3921" s="8" t="str">
        <f t="shared" si="61"/>
        <v/>
      </c>
      <c r="N3921" s="9"/>
    </row>
    <row r="3922" spans="1:14" ht="15.75">
      <c r="A3922" s="11"/>
      <c r="B3922" s="9"/>
      <c r="C3922" s="12" t="str">
        <f>IF(B3922="","",IFERROR(INDEX('Cashier Roster'!$C$5:$C$64,MATCH(B3922,'Cashier Roster'!$B$5:$B$64,0)),"Not on roster"))</f>
        <v/>
      </c>
      <c r="D3922" s="12" t="str">
        <f>IF(B3922="","",IFERROR(INDEX('Cashier Roster'!$D$5:$D$64,MATCH(B3922,'Cashier Roster'!$B$5:$B$64,0)),""))</f>
        <v/>
      </c>
      <c r="E3922" s="13"/>
      <c r="F3922" s="14"/>
      <c r="G3922" s="8" t="str">
        <f>IF(OR(B3922="",E3922=""),"",IF(E3922="No","Missed",IF(F3922="","",IF(F3922&lt;=Settings!$B$7,"On time","Late"))))</f>
        <v/>
      </c>
      <c r="H3922" s="15"/>
      <c r="I3922" s="16"/>
      <c r="J3922" s="16"/>
      <c r="K3922" s="17" t="str">
        <f>IF(J3922="","",ROUND(J3922*Settings!$B$8,2))</f>
        <v/>
      </c>
      <c r="L3922" s="16"/>
      <c r="M3922" s="8" t="str">
        <f t="shared" si="61"/>
        <v/>
      </c>
      <c r="N3922" s="9"/>
    </row>
    <row r="3923" spans="1:14" ht="15.75">
      <c r="A3923" s="11"/>
      <c r="B3923" s="9"/>
      <c r="C3923" s="12" t="str">
        <f>IF(B3923="","",IFERROR(INDEX('Cashier Roster'!$C$5:$C$64,MATCH(B3923,'Cashier Roster'!$B$5:$B$64,0)),"Not on roster"))</f>
        <v/>
      </c>
      <c r="D3923" s="12" t="str">
        <f>IF(B3923="","",IFERROR(INDEX('Cashier Roster'!$D$5:$D$64,MATCH(B3923,'Cashier Roster'!$B$5:$B$64,0)),""))</f>
        <v/>
      </c>
      <c r="E3923" s="13"/>
      <c r="F3923" s="14"/>
      <c r="G3923" s="8" t="str">
        <f>IF(OR(B3923="",E3923=""),"",IF(E3923="No","Missed",IF(F3923="","",IF(F3923&lt;=Settings!$B$7,"On time","Late"))))</f>
        <v/>
      </c>
      <c r="H3923" s="15"/>
      <c r="I3923" s="16"/>
      <c r="J3923" s="16"/>
      <c r="K3923" s="17" t="str">
        <f>IF(J3923="","",ROUND(J3923*Settings!$B$8,2))</f>
        <v/>
      </c>
      <c r="L3923" s="16"/>
      <c r="M3923" s="8" t="str">
        <f t="shared" si="61"/>
        <v/>
      </c>
      <c r="N3923" s="9"/>
    </row>
    <row r="3924" spans="1:14" ht="15.75">
      <c r="A3924" s="11"/>
      <c r="B3924" s="9"/>
      <c r="C3924" s="12" t="str">
        <f>IF(B3924="","",IFERROR(INDEX('Cashier Roster'!$C$5:$C$64,MATCH(B3924,'Cashier Roster'!$B$5:$B$64,0)),"Not on roster"))</f>
        <v/>
      </c>
      <c r="D3924" s="12" t="str">
        <f>IF(B3924="","",IFERROR(INDEX('Cashier Roster'!$D$5:$D$64,MATCH(B3924,'Cashier Roster'!$B$5:$B$64,0)),""))</f>
        <v/>
      </c>
      <c r="E3924" s="13"/>
      <c r="F3924" s="14"/>
      <c r="G3924" s="8" t="str">
        <f>IF(OR(B3924="",E3924=""),"",IF(E3924="No","Missed",IF(F3924="","",IF(F3924&lt;=Settings!$B$7,"On time","Late"))))</f>
        <v/>
      </c>
      <c r="H3924" s="15"/>
      <c r="I3924" s="16"/>
      <c r="J3924" s="16"/>
      <c r="K3924" s="17" t="str">
        <f>IF(J3924="","",ROUND(J3924*Settings!$B$8,2))</f>
        <v/>
      </c>
      <c r="L3924" s="16"/>
      <c r="M3924" s="8" t="str">
        <f t="shared" si="61"/>
        <v/>
      </c>
      <c r="N3924" s="9"/>
    </row>
    <row r="3925" spans="1:14" ht="15.75">
      <c r="A3925" s="11"/>
      <c r="B3925" s="9"/>
      <c r="C3925" s="12" t="str">
        <f>IF(B3925="","",IFERROR(INDEX('Cashier Roster'!$C$5:$C$64,MATCH(B3925,'Cashier Roster'!$B$5:$B$64,0)),"Not on roster"))</f>
        <v/>
      </c>
      <c r="D3925" s="12" t="str">
        <f>IF(B3925="","",IFERROR(INDEX('Cashier Roster'!$D$5:$D$64,MATCH(B3925,'Cashier Roster'!$B$5:$B$64,0)),""))</f>
        <v/>
      </c>
      <c r="E3925" s="13"/>
      <c r="F3925" s="14"/>
      <c r="G3925" s="8" t="str">
        <f>IF(OR(B3925="",E3925=""),"",IF(E3925="No","Missed",IF(F3925="","",IF(F3925&lt;=Settings!$B$7,"On time","Late"))))</f>
        <v/>
      </c>
      <c r="H3925" s="15"/>
      <c r="I3925" s="16"/>
      <c r="J3925" s="16"/>
      <c r="K3925" s="17" t="str">
        <f>IF(J3925="","",ROUND(J3925*Settings!$B$8,2))</f>
        <v/>
      </c>
      <c r="L3925" s="16"/>
      <c r="M3925" s="8" t="str">
        <f t="shared" si="61"/>
        <v/>
      </c>
      <c r="N3925" s="9"/>
    </row>
    <row r="3926" spans="1:14" ht="15.75">
      <c r="A3926" s="11"/>
      <c r="B3926" s="9"/>
      <c r="C3926" s="12" t="str">
        <f>IF(B3926="","",IFERROR(INDEX('Cashier Roster'!$C$5:$C$64,MATCH(B3926,'Cashier Roster'!$B$5:$B$64,0)),"Not on roster"))</f>
        <v/>
      </c>
      <c r="D3926" s="12" t="str">
        <f>IF(B3926="","",IFERROR(INDEX('Cashier Roster'!$D$5:$D$64,MATCH(B3926,'Cashier Roster'!$B$5:$B$64,0)),""))</f>
        <v/>
      </c>
      <c r="E3926" s="13"/>
      <c r="F3926" s="14"/>
      <c r="G3926" s="8" t="str">
        <f>IF(OR(B3926="",E3926=""),"",IF(E3926="No","Missed",IF(F3926="","",IF(F3926&lt;=Settings!$B$7,"On time","Late"))))</f>
        <v/>
      </c>
      <c r="H3926" s="15"/>
      <c r="I3926" s="16"/>
      <c r="J3926" s="16"/>
      <c r="K3926" s="17" t="str">
        <f>IF(J3926="","",ROUND(J3926*Settings!$B$8,2))</f>
        <v/>
      </c>
      <c r="L3926" s="16"/>
      <c r="M3926" s="8" t="str">
        <f t="shared" si="61"/>
        <v/>
      </c>
      <c r="N3926" s="9"/>
    </row>
    <row r="3927" spans="1:14" ht="15.75">
      <c r="A3927" s="11"/>
      <c r="B3927" s="9"/>
      <c r="C3927" s="12" t="str">
        <f>IF(B3927="","",IFERROR(INDEX('Cashier Roster'!$C$5:$C$64,MATCH(B3927,'Cashier Roster'!$B$5:$B$64,0)),"Not on roster"))</f>
        <v/>
      </c>
      <c r="D3927" s="12" t="str">
        <f>IF(B3927="","",IFERROR(INDEX('Cashier Roster'!$D$5:$D$64,MATCH(B3927,'Cashier Roster'!$B$5:$B$64,0)),""))</f>
        <v/>
      </c>
      <c r="E3927" s="13"/>
      <c r="F3927" s="14"/>
      <c r="G3927" s="8" t="str">
        <f>IF(OR(B3927="",E3927=""),"",IF(E3927="No","Missed",IF(F3927="","",IF(F3927&lt;=Settings!$B$7,"On time","Late"))))</f>
        <v/>
      </c>
      <c r="H3927" s="15"/>
      <c r="I3927" s="16"/>
      <c r="J3927" s="16"/>
      <c r="K3927" s="17" t="str">
        <f>IF(J3927="","",ROUND(J3927*Settings!$B$8,2))</f>
        <v/>
      </c>
      <c r="L3927" s="16"/>
      <c r="M3927" s="8" t="str">
        <f t="shared" si="61"/>
        <v/>
      </c>
      <c r="N3927" s="9"/>
    </row>
    <row r="3928" spans="1:14" ht="15.75">
      <c r="A3928" s="11"/>
      <c r="B3928" s="9"/>
      <c r="C3928" s="12" t="str">
        <f>IF(B3928="","",IFERROR(INDEX('Cashier Roster'!$C$5:$C$64,MATCH(B3928,'Cashier Roster'!$B$5:$B$64,0)),"Not on roster"))</f>
        <v/>
      </c>
      <c r="D3928" s="12" t="str">
        <f>IF(B3928="","",IFERROR(INDEX('Cashier Roster'!$D$5:$D$64,MATCH(B3928,'Cashier Roster'!$B$5:$B$64,0)),""))</f>
        <v/>
      </c>
      <c r="E3928" s="13"/>
      <c r="F3928" s="14"/>
      <c r="G3928" s="8" t="str">
        <f>IF(OR(B3928="",E3928=""),"",IF(E3928="No","Missed",IF(F3928="","",IF(F3928&lt;=Settings!$B$7,"On time","Late"))))</f>
        <v/>
      </c>
      <c r="H3928" s="15"/>
      <c r="I3928" s="16"/>
      <c r="J3928" s="16"/>
      <c r="K3928" s="17" t="str">
        <f>IF(J3928="","",ROUND(J3928*Settings!$B$8,2))</f>
        <v/>
      </c>
      <c r="L3928" s="16"/>
      <c r="M3928" s="8" t="str">
        <f t="shared" si="61"/>
        <v/>
      </c>
      <c r="N3928" s="9"/>
    </row>
    <row r="3929" spans="1:14" ht="15.75">
      <c r="A3929" s="11"/>
      <c r="B3929" s="9"/>
      <c r="C3929" s="12" t="str">
        <f>IF(B3929="","",IFERROR(INDEX('Cashier Roster'!$C$5:$C$64,MATCH(B3929,'Cashier Roster'!$B$5:$B$64,0)),"Not on roster"))</f>
        <v/>
      </c>
      <c r="D3929" s="12" t="str">
        <f>IF(B3929="","",IFERROR(INDEX('Cashier Roster'!$D$5:$D$64,MATCH(B3929,'Cashier Roster'!$B$5:$B$64,0)),""))</f>
        <v/>
      </c>
      <c r="E3929" s="13"/>
      <c r="F3929" s="14"/>
      <c r="G3929" s="8" t="str">
        <f>IF(OR(B3929="",E3929=""),"",IF(E3929="No","Missed",IF(F3929="","",IF(F3929&lt;=Settings!$B$7,"On time","Late"))))</f>
        <v/>
      </c>
      <c r="H3929" s="15"/>
      <c r="I3929" s="16"/>
      <c r="J3929" s="16"/>
      <c r="K3929" s="17" t="str">
        <f>IF(J3929="","",ROUND(J3929*Settings!$B$8,2))</f>
        <v/>
      </c>
      <c r="L3929" s="16"/>
      <c r="M3929" s="8" t="str">
        <f t="shared" si="61"/>
        <v/>
      </c>
      <c r="N3929" s="9"/>
    </row>
    <row r="3930" spans="1:14" ht="15.75">
      <c r="A3930" s="11"/>
      <c r="B3930" s="9"/>
      <c r="C3930" s="12" t="str">
        <f>IF(B3930="","",IFERROR(INDEX('Cashier Roster'!$C$5:$C$64,MATCH(B3930,'Cashier Roster'!$B$5:$B$64,0)),"Not on roster"))</f>
        <v/>
      </c>
      <c r="D3930" s="12" t="str">
        <f>IF(B3930="","",IFERROR(INDEX('Cashier Roster'!$D$5:$D$64,MATCH(B3930,'Cashier Roster'!$B$5:$B$64,0)),""))</f>
        <v/>
      </c>
      <c r="E3930" s="13"/>
      <c r="F3930" s="14"/>
      <c r="G3930" s="8" t="str">
        <f>IF(OR(B3930="",E3930=""),"",IF(E3930="No","Missed",IF(F3930="","",IF(F3930&lt;=Settings!$B$7,"On time","Late"))))</f>
        <v/>
      </c>
      <c r="H3930" s="15"/>
      <c r="I3930" s="16"/>
      <c r="J3930" s="16"/>
      <c r="K3930" s="17" t="str">
        <f>IF(J3930="","",ROUND(J3930*Settings!$B$8,2))</f>
        <v/>
      </c>
      <c r="L3930" s="16"/>
      <c r="M3930" s="8" t="str">
        <f t="shared" si="61"/>
        <v/>
      </c>
      <c r="N3930" s="9"/>
    </row>
    <row r="3931" spans="1:14" ht="15.75">
      <c r="A3931" s="11"/>
      <c r="B3931" s="9"/>
      <c r="C3931" s="12" t="str">
        <f>IF(B3931="","",IFERROR(INDEX('Cashier Roster'!$C$5:$C$64,MATCH(B3931,'Cashier Roster'!$B$5:$B$64,0)),"Not on roster"))</f>
        <v/>
      </c>
      <c r="D3931" s="12" t="str">
        <f>IF(B3931="","",IFERROR(INDEX('Cashier Roster'!$D$5:$D$64,MATCH(B3931,'Cashier Roster'!$B$5:$B$64,0)),""))</f>
        <v/>
      </c>
      <c r="E3931" s="13"/>
      <c r="F3931" s="14"/>
      <c r="G3931" s="8" t="str">
        <f>IF(OR(B3931="",E3931=""),"",IF(E3931="No","Missed",IF(F3931="","",IF(F3931&lt;=Settings!$B$7,"On time","Late"))))</f>
        <v/>
      </c>
      <c r="H3931" s="15"/>
      <c r="I3931" s="16"/>
      <c r="J3931" s="16"/>
      <c r="K3931" s="17" t="str">
        <f>IF(J3931="","",ROUND(J3931*Settings!$B$8,2))</f>
        <v/>
      </c>
      <c r="L3931" s="16"/>
      <c r="M3931" s="8" t="str">
        <f t="shared" si="61"/>
        <v/>
      </c>
      <c r="N3931" s="9"/>
    </row>
    <row r="3932" spans="1:14" ht="15.75">
      <c r="A3932" s="11"/>
      <c r="B3932" s="9"/>
      <c r="C3932" s="12" t="str">
        <f>IF(B3932="","",IFERROR(INDEX('Cashier Roster'!$C$5:$C$64,MATCH(B3932,'Cashier Roster'!$B$5:$B$64,0)),"Not on roster"))</f>
        <v/>
      </c>
      <c r="D3932" s="12" t="str">
        <f>IF(B3932="","",IFERROR(INDEX('Cashier Roster'!$D$5:$D$64,MATCH(B3932,'Cashier Roster'!$B$5:$B$64,0)),""))</f>
        <v/>
      </c>
      <c r="E3932" s="13"/>
      <c r="F3932" s="14"/>
      <c r="G3932" s="8" t="str">
        <f>IF(OR(B3932="",E3932=""),"",IF(E3932="No","Missed",IF(F3932="","",IF(F3932&lt;=Settings!$B$7,"On time","Late"))))</f>
        <v/>
      </c>
      <c r="H3932" s="15"/>
      <c r="I3932" s="16"/>
      <c r="J3932" s="16"/>
      <c r="K3932" s="17" t="str">
        <f>IF(J3932="","",ROUND(J3932*Settings!$B$8,2))</f>
        <v/>
      </c>
      <c r="L3932" s="16"/>
      <c r="M3932" s="8" t="str">
        <f t="shared" si="61"/>
        <v/>
      </c>
      <c r="N3932" s="9"/>
    </row>
    <row r="3933" spans="1:14" ht="15.75">
      <c r="A3933" s="11"/>
      <c r="B3933" s="9"/>
      <c r="C3933" s="12" t="str">
        <f>IF(B3933="","",IFERROR(INDEX('Cashier Roster'!$C$5:$C$64,MATCH(B3933,'Cashier Roster'!$B$5:$B$64,0)),"Not on roster"))</f>
        <v/>
      </c>
      <c r="D3933" s="12" t="str">
        <f>IF(B3933="","",IFERROR(INDEX('Cashier Roster'!$D$5:$D$64,MATCH(B3933,'Cashier Roster'!$B$5:$B$64,0)),""))</f>
        <v/>
      </c>
      <c r="E3933" s="13"/>
      <c r="F3933" s="14"/>
      <c r="G3933" s="8" t="str">
        <f>IF(OR(B3933="",E3933=""),"",IF(E3933="No","Missed",IF(F3933="","",IF(F3933&lt;=Settings!$B$7,"On time","Late"))))</f>
        <v/>
      </c>
      <c r="H3933" s="15"/>
      <c r="I3933" s="16"/>
      <c r="J3933" s="16"/>
      <c r="K3933" s="17" t="str">
        <f>IF(J3933="","",ROUND(J3933*Settings!$B$8,2))</f>
        <v/>
      </c>
      <c r="L3933" s="16"/>
      <c r="M3933" s="8" t="str">
        <f t="shared" si="61"/>
        <v/>
      </c>
      <c r="N3933" s="9"/>
    </row>
    <row r="3934" spans="1:14" ht="15.75">
      <c r="A3934" s="11"/>
      <c r="B3934" s="9"/>
      <c r="C3934" s="12" t="str">
        <f>IF(B3934="","",IFERROR(INDEX('Cashier Roster'!$C$5:$C$64,MATCH(B3934,'Cashier Roster'!$B$5:$B$64,0)),"Not on roster"))</f>
        <v/>
      </c>
      <c r="D3934" s="12" t="str">
        <f>IF(B3934="","",IFERROR(INDEX('Cashier Roster'!$D$5:$D$64,MATCH(B3934,'Cashier Roster'!$B$5:$B$64,0)),""))</f>
        <v/>
      </c>
      <c r="E3934" s="13"/>
      <c r="F3934" s="14"/>
      <c r="G3934" s="8" t="str">
        <f>IF(OR(B3934="",E3934=""),"",IF(E3934="No","Missed",IF(F3934="","",IF(F3934&lt;=Settings!$B$7,"On time","Late"))))</f>
        <v/>
      </c>
      <c r="H3934" s="15"/>
      <c r="I3934" s="16"/>
      <c r="J3934" s="16"/>
      <c r="K3934" s="17" t="str">
        <f>IF(J3934="","",ROUND(J3934*Settings!$B$8,2))</f>
        <v/>
      </c>
      <c r="L3934" s="16"/>
      <c r="M3934" s="8" t="str">
        <f t="shared" si="61"/>
        <v/>
      </c>
      <c r="N3934" s="9"/>
    </row>
    <row r="3935" spans="1:14" ht="15.75">
      <c r="A3935" s="11"/>
      <c r="B3935" s="9"/>
      <c r="C3935" s="12" t="str">
        <f>IF(B3935="","",IFERROR(INDEX('Cashier Roster'!$C$5:$C$64,MATCH(B3935,'Cashier Roster'!$B$5:$B$64,0)),"Not on roster"))</f>
        <v/>
      </c>
      <c r="D3935" s="12" t="str">
        <f>IF(B3935="","",IFERROR(INDEX('Cashier Roster'!$D$5:$D$64,MATCH(B3935,'Cashier Roster'!$B$5:$B$64,0)),""))</f>
        <v/>
      </c>
      <c r="E3935" s="13"/>
      <c r="F3935" s="14"/>
      <c r="G3935" s="8" t="str">
        <f>IF(OR(B3935="",E3935=""),"",IF(E3935="No","Missed",IF(F3935="","",IF(F3935&lt;=Settings!$B$7,"On time","Late"))))</f>
        <v/>
      </c>
      <c r="H3935" s="15"/>
      <c r="I3935" s="16"/>
      <c r="J3935" s="16"/>
      <c r="K3935" s="17" t="str">
        <f>IF(J3935="","",ROUND(J3935*Settings!$B$8,2))</f>
        <v/>
      </c>
      <c r="L3935" s="16"/>
      <c r="M3935" s="8" t="str">
        <f t="shared" si="61"/>
        <v/>
      </c>
      <c r="N3935" s="9"/>
    </row>
    <row r="3936" spans="1:14" ht="15.75">
      <c r="A3936" s="11"/>
      <c r="B3936" s="9"/>
      <c r="C3936" s="12" t="str">
        <f>IF(B3936="","",IFERROR(INDEX('Cashier Roster'!$C$5:$C$64,MATCH(B3936,'Cashier Roster'!$B$5:$B$64,0)),"Not on roster"))</f>
        <v/>
      </c>
      <c r="D3936" s="12" t="str">
        <f>IF(B3936="","",IFERROR(INDEX('Cashier Roster'!$D$5:$D$64,MATCH(B3936,'Cashier Roster'!$B$5:$B$64,0)),""))</f>
        <v/>
      </c>
      <c r="E3936" s="13"/>
      <c r="F3936" s="14"/>
      <c r="G3936" s="8" t="str">
        <f>IF(OR(B3936="",E3936=""),"",IF(E3936="No","Missed",IF(F3936="","",IF(F3936&lt;=Settings!$B$7,"On time","Late"))))</f>
        <v/>
      </c>
      <c r="H3936" s="15"/>
      <c r="I3936" s="16"/>
      <c r="J3936" s="16"/>
      <c r="K3936" s="17" t="str">
        <f>IF(J3936="","",ROUND(J3936*Settings!$B$8,2))</f>
        <v/>
      </c>
      <c r="L3936" s="16"/>
      <c r="M3936" s="8" t="str">
        <f t="shared" si="61"/>
        <v/>
      </c>
      <c r="N3936" s="9"/>
    </row>
    <row r="3937" spans="1:14" ht="15.75">
      <c r="A3937" s="11"/>
      <c r="B3937" s="9"/>
      <c r="C3937" s="12" t="str">
        <f>IF(B3937="","",IFERROR(INDEX('Cashier Roster'!$C$5:$C$64,MATCH(B3937,'Cashier Roster'!$B$5:$B$64,0)),"Not on roster"))</f>
        <v/>
      </c>
      <c r="D3937" s="12" t="str">
        <f>IF(B3937="","",IFERROR(INDEX('Cashier Roster'!$D$5:$D$64,MATCH(B3937,'Cashier Roster'!$B$5:$B$64,0)),""))</f>
        <v/>
      </c>
      <c r="E3937" s="13"/>
      <c r="F3937" s="14"/>
      <c r="G3937" s="8" t="str">
        <f>IF(OR(B3937="",E3937=""),"",IF(E3937="No","Missed",IF(F3937="","",IF(F3937&lt;=Settings!$B$7,"On time","Late"))))</f>
        <v/>
      </c>
      <c r="H3937" s="15"/>
      <c r="I3937" s="16"/>
      <c r="J3937" s="16"/>
      <c r="K3937" s="17" t="str">
        <f>IF(J3937="","",ROUND(J3937*Settings!$B$8,2))</f>
        <v/>
      </c>
      <c r="L3937" s="16"/>
      <c r="M3937" s="8" t="str">
        <f t="shared" si="61"/>
        <v/>
      </c>
      <c r="N3937" s="9"/>
    </row>
    <row r="3938" spans="1:14" ht="15.75">
      <c r="A3938" s="11"/>
      <c r="B3938" s="9"/>
      <c r="C3938" s="12" t="str">
        <f>IF(B3938="","",IFERROR(INDEX('Cashier Roster'!$C$5:$C$64,MATCH(B3938,'Cashier Roster'!$B$5:$B$64,0)),"Not on roster"))</f>
        <v/>
      </c>
      <c r="D3938" s="12" t="str">
        <f>IF(B3938="","",IFERROR(INDEX('Cashier Roster'!$D$5:$D$64,MATCH(B3938,'Cashier Roster'!$B$5:$B$64,0)),""))</f>
        <v/>
      </c>
      <c r="E3938" s="13"/>
      <c r="F3938" s="14"/>
      <c r="G3938" s="8" t="str">
        <f>IF(OR(B3938="",E3938=""),"",IF(E3938="No","Missed",IF(F3938="","",IF(F3938&lt;=Settings!$B$7,"On time","Late"))))</f>
        <v/>
      </c>
      <c r="H3938" s="15"/>
      <c r="I3938" s="16"/>
      <c r="J3938" s="16"/>
      <c r="K3938" s="17" t="str">
        <f>IF(J3938="","",ROUND(J3938*Settings!$B$8,2))</f>
        <v/>
      </c>
      <c r="L3938" s="16"/>
      <c r="M3938" s="8" t="str">
        <f t="shared" si="61"/>
        <v/>
      </c>
      <c r="N3938" s="9"/>
    </row>
    <row r="3939" spans="1:14" ht="15.75">
      <c r="A3939" s="11"/>
      <c r="B3939" s="9"/>
      <c r="C3939" s="12" t="str">
        <f>IF(B3939="","",IFERROR(INDEX('Cashier Roster'!$C$5:$C$64,MATCH(B3939,'Cashier Roster'!$B$5:$B$64,0)),"Not on roster"))</f>
        <v/>
      </c>
      <c r="D3939" s="12" t="str">
        <f>IF(B3939="","",IFERROR(INDEX('Cashier Roster'!$D$5:$D$64,MATCH(B3939,'Cashier Roster'!$B$5:$B$64,0)),""))</f>
        <v/>
      </c>
      <c r="E3939" s="13"/>
      <c r="F3939" s="14"/>
      <c r="G3939" s="8" t="str">
        <f>IF(OR(B3939="",E3939=""),"",IF(E3939="No","Missed",IF(F3939="","",IF(F3939&lt;=Settings!$B$7,"On time","Late"))))</f>
        <v/>
      </c>
      <c r="H3939" s="15"/>
      <c r="I3939" s="16"/>
      <c r="J3939" s="16"/>
      <c r="K3939" s="17" t="str">
        <f>IF(J3939="","",ROUND(J3939*Settings!$B$8,2))</f>
        <v/>
      </c>
      <c r="L3939" s="16"/>
      <c r="M3939" s="8" t="str">
        <f t="shared" si="61"/>
        <v/>
      </c>
      <c r="N3939" s="9"/>
    </row>
    <row r="3940" spans="1:14" ht="15.75">
      <c r="A3940" s="11"/>
      <c r="B3940" s="9"/>
      <c r="C3940" s="12" t="str">
        <f>IF(B3940="","",IFERROR(INDEX('Cashier Roster'!$C$5:$C$64,MATCH(B3940,'Cashier Roster'!$B$5:$B$64,0)),"Not on roster"))</f>
        <v/>
      </c>
      <c r="D3940" s="12" t="str">
        <f>IF(B3940="","",IFERROR(INDEX('Cashier Roster'!$D$5:$D$64,MATCH(B3940,'Cashier Roster'!$B$5:$B$64,0)),""))</f>
        <v/>
      </c>
      <c r="E3940" s="13"/>
      <c r="F3940" s="14"/>
      <c r="G3940" s="8" t="str">
        <f>IF(OR(B3940="",E3940=""),"",IF(E3940="No","Missed",IF(F3940="","",IF(F3940&lt;=Settings!$B$7,"On time","Late"))))</f>
        <v/>
      </c>
      <c r="H3940" s="15"/>
      <c r="I3940" s="16"/>
      <c r="J3940" s="16"/>
      <c r="K3940" s="17" t="str">
        <f>IF(J3940="","",ROUND(J3940*Settings!$B$8,2))</f>
        <v/>
      </c>
      <c r="L3940" s="16"/>
      <c r="M3940" s="8" t="str">
        <f t="shared" si="61"/>
        <v/>
      </c>
      <c r="N3940" s="9"/>
    </row>
    <row r="3941" spans="1:14" ht="15.75">
      <c r="A3941" s="11"/>
      <c r="B3941" s="9"/>
      <c r="C3941" s="12" t="str">
        <f>IF(B3941="","",IFERROR(INDEX('Cashier Roster'!$C$5:$C$64,MATCH(B3941,'Cashier Roster'!$B$5:$B$64,0)),"Not on roster"))</f>
        <v/>
      </c>
      <c r="D3941" s="12" t="str">
        <f>IF(B3941="","",IFERROR(INDEX('Cashier Roster'!$D$5:$D$64,MATCH(B3941,'Cashier Roster'!$B$5:$B$64,0)),""))</f>
        <v/>
      </c>
      <c r="E3941" s="13"/>
      <c r="F3941" s="14"/>
      <c r="G3941" s="8" t="str">
        <f>IF(OR(B3941="",E3941=""),"",IF(E3941="No","Missed",IF(F3941="","",IF(F3941&lt;=Settings!$B$7,"On time","Late"))))</f>
        <v/>
      </c>
      <c r="H3941" s="15"/>
      <c r="I3941" s="16"/>
      <c r="J3941" s="16"/>
      <c r="K3941" s="17" t="str">
        <f>IF(J3941="","",ROUND(J3941*Settings!$B$8,2))</f>
        <v/>
      </c>
      <c r="L3941" s="16"/>
      <c r="M3941" s="8" t="str">
        <f t="shared" si="61"/>
        <v/>
      </c>
      <c r="N3941" s="9"/>
    </row>
    <row r="3942" spans="1:14" ht="15.75">
      <c r="A3942" s="11"/>
      <c r="B3942" s="9"/>
      <c r="C3942" s="12" t="str">
        <f>IF(B3942="","",IFERROR(INDEX('Cashier Roster'!$C$5:$C$64,MATCH(B3942,'Cashier Roster'!$B$5:$B$64,0)),"Not on roster"))</f>
        <v/>
      </c>
      <c r="D3942" s="12" t="str">
        <f>IF(B3942="","",IFERROR(INDEX('Cashier Roster'!$D$5:$D$64,MATCH(B3942,'Cashier Roster'!$B$5:$B$64,0)),""))</f>
        <v/>
      </c>
      <c r="E3942" s="13"/>
      <c r="F3942" s="14"/>
      <c r="G3942" s="8" t="str">
        <f>IF(OR(B3942="",E3942=""),"",IF(E3942="No","Missed",IF(F3942="","",IF(F3942&lt;=Settings!$B$7,"On time","Late"))))</f>
        <v/>
      </c>
      <c r="H3942" s="15"/>
      <c r="I3942" s="16"/>
      <c r="J3942" s="16"/>
      <c r="K3942" s="17" t="str">
        <f>IF(J3942="","",ROUND(J3942*Settings!$B$8,2))</f>
        <v/>
      </c>
      <c r="L3942" s="16"/>
      <c r="M3942" s="8" t="str">
        <f t="shared" si="61"/>
        <v/>
      </c>
      <c r="N3942" s="9"/>
    </row>
    <row r="3943" spans="1:14" ht="15.75">
      <c r="A3943" s="11"/>
      <c r="B3943" s="9"/>
      <c r="C3943" s="12" t="str">
        <f>IF(B3943="","",IFERROR(INDEX('Cashier Roster'!$C$5:$C$64,MATCH(B3943,'Cashier Roster'!$B$5:$B$64,0)),"Not on roster"))</f>
        <v/>
      </c>
      <c r="D3943" s="12" t="str">
        <f>IF(B3943="","",IFERROR(INDEX('Cashier Roster'!$D$5:$D$64,MATCH(B3943,'Cashier Roster'!$B$5:$B$64,0)),""))</f>
        <v/>
      </c>
      <c r="E3943" s="13"/>
      <c r="F3943" s="14"/>
      <c r="G3943" s="8" t="str">
        <f>IF(OR(B3943="",E3943=""),"",IF(E3943="No","Missed",IF(F3943="","",IF(F3943&lt;=Settings!$B$7,"On time","Late"))))</f>
        <v/>
      </c>
      <c r="H3943" s="15"/>
      <c r="I3943" s="16"/>
      <c r="J3943" s="16"/>
      <c r="K3943" s="17" t="str">
        <f>IF(J3943="","",ROUND(J3943*Settings!$B$8,2))</f>
        <v/>
      </c>
      <c r="L3943" s="16"/>
      <c r="M3943" s="8" t="str">
        <f t="shared" si="61"/>
        <v/>
      </c>
      <c r="N3943" s="9"/>
    </row>
    <row r="3944" spans="1:14" ht="15.75">
      <c r="A3944" s="11"/>
      <c r="B3944" s="9"/>
      <c r="C3944" s="12" t="str">
        <f>IF(B3944="","",IFERROR(INDEX('Cashier Roster'!$C$5:$C$64,MATCH(B3944,'Cashier Roster'!$B$5:$B$64,0)),"Not on roster"))</f>
        <v/>
      </c>
      <c r="D3944" s="12" t="str">
        <f>IF(B3944="","",IFERROR(INDEX('Cashier Roster'!$D$5:$D$64,MATCH(B3944,'Cashier Roster'!$B$5:$B$64,0)),""))</f>
        <v/>
      </c>
      <c r="E3944" s="13"/>
      <c r="F3944" s="14"/>
      <c r="G3944" s="8" t="str">
        <f>IF(OR(B3944="",E3944=""),"",IF(E3944="No","Missed",IF(F3944="","",IF(F3944&lt;=Settings!$B$7,"On time","Late"))))</f>
        <v/>
      </c>
      <c r="H3944" s="15"/>
      <c r="I3944" s="16"/>
      <c r="J3944" s="16"/>
      <c r="K3944" s="17" t="str">
        <f>IF(J3944="","",ROUND(J3944*Settings!$B$8,2))</f>
        <v/>
      </c>
      <c r="L3944" s="16"/>
      <c r="M3944" s="8" t="str">
        <f t="shared" si="61"/>
        <v/>
      </c>
      <c r="N3944" s="9"/>
    </row>
    <row r="3945" spans="1:14" ht="15.75">
      <c r="A3945" s="11"/>
      <c r="B3945" s="9"/>
      <c r="C3945" s="12" t="str">
        <f>IF(B3945="","",IFERROR(INDEX('Cashier Roster'!$C$5:$C$64,MATCH(B3945,'Cashier Roster'!$B$5:$B$64,0)),"Not on roster"))</f>
        <v/>
      </c>
      <c r="D3945" s="12" t="str">
        <f>IF(B3945="","",IFERROR(INDEX('Cashier Roster'!$D$5:$D$64,MATCH(B3945,'Cashier Roster'!$B$5:$B$64,0)),""))</f>
        <v/>
      </c>
      <c r="E3945" s="13"/>
      <c r="F3945" s="14"/>
      <c r="G3945" s="8" t="str">
        <f>IF(OR(B3945="",E3945=""),"",IF(E3945="No","Missed",IF(F3945="","",IF(F3945&lt;=Settings!$B$7,"On time","Late"))))</f>
        <v/>
      </c>
      <c r="H3945" s="15"/>
      <c r="I3945" s="16"/>
      <c r="J3945" s="16"/>
      <c r="K3945" s="17" t="str">
        <f>IF(J3945="","",ROUND(J3945*Settings!$B$8,2))</f>
        <v/>
      </c>
      <c r="L3945" s="16"/>
      <c r="M3945" s="8" t="str">
        <f t="shared" si="61"/>
        <v/>
      </c>
      <c r="N3945" s="9"/>
    </row>
    <row r="3946" spans="1:14" ht="15.75">
      <c r="A3946" s="11"/>
      <c r="B3946" s="9"/>
      <c r="C3946" s="12" t="str">
        <f>IF(B3946="","",IFERROR(INDEX('Cashier Roster'!$C$5:$C$64,MATCH(B3946,'Cashier Roster'!$B$5:$B$64,0)),"Not on roster"))</f>
        <v/>
      </c>
      <c r="D3946" s="12" t="str">
        <f>IF(B3946="","",IFERROR(INDEX('Cashier Roster'!$D$5:$D$64,MATCH(B3946,'Cashier Roster'!$B$5:$B$64,0)),""))</f>
        <v/>
      </c>
      <c r="E3946" s="13"/>
      <c r="F3946" s="14"/>
      <c r="G3946" s="8" t="str">
        <f>IF(OR(B3946="",E3946=""),"",IF(E3946="No","Missed",IF(F3946="","",IF(F3946&lt;=Settings!$B$7,"On time","Late"))))</f>
        <v/>
      </c>
      <c r="H3946" s="15"/>
      <c r="I3946" s="16"/>
      <c r="J3946" s="16"/>
      <c r="K3946" s="17" t="str">
        <f>IF(J3946="","",ROUND(J3946*Settings!$B$8,2))</f>
        <v/>
      </c>
      <c r="L3946" s="16"/>
      <c r="M3946" s="8" t="str">
        <f t="shared" si="61"/>
        <v/>
      </c>
      <c r="N3946" s="9"/>
    </row>
    <row r="3947" spans="1:14" ht="15.75">
      <c r="A3947" s="11"/>
      <c r="B3947" s="9"/>
      <c r="C3947" s="12" t="str">
        <f>IF(B3947="","",IFERROR(INDEX('Cashier Roster'!$C$5:$C$64,MATCH(B3947,'Cashier Roster'!$B$5:$B$64,0)),"Not on roster"))</f>
        <v/>
      </c>
      <c r="D3947" s="12" t="str">
        <f>IF(B3947="","",IFERROR(INDEX('Cashier Roster'!$D$5:$D$64,MATCH(B3947,'Cashier Roster'!$B$5:$B$64,0)),""))</f>
        <v/>
      </c>
      <c r="E3947" s="13"/>
      <c r="F3947" s="14"/>
      <c r="G3947" s="8" t="str">
        <f>IF(OR(B3947="",E3947=""),"",IF(E3947="No","Missed",IF(F3947="","",IF(F3947&lt;=Settings!$B$7,"On time","Late"))))</f>
        <v/>
      </c>
      <c r="H3947" s="15"/>
      <c r="I3947" s="16"/>
      <c r="J3947" s="16"/>
      <c r="K3947" s="17" t="str">
        <f>IF(J3947="","",ROUND(J3947*Settings!$B$8,2))</f>
        <v/>
      </c>
      <c r="L3947" s="16"/>
      <c r="M3947" s="8" t="str">
        <f t="shared" si="61"/>
        <v/>
      </c>
      <c r="N3947" s="9"/>
    </row>
    <row r="3948" spans="1:14" ht="15.75">
      <c r="A3948" s="11"/>
      <c r="B3948" s="9"/>
      <c r="C3948" s="12" t="str">
        <f>IF(B3948="","",IFERROR(INDEX('Cashier Roster'!$C$5:$C$64,MATCH(B3948,'Cashier Roster'!$B$5:$B$64,0)),"Not on roster"))</f>
        <v/>
      </c>
      <c r="D3948" s="12" t="str">
        <f>IF(B3948="","",IFERROR(INDEX('Cashier Roster'!$D$5:$D$64,MATCH(B3948,'Cashier Roster'!$B$5:$B$64,0)),""))</f>
        <v/>
      </c>
      <c r="E3948" s="13"/>
      <c r="F3948" s="14"/>
      <c r="G3948" s="8" t="str">
        <f>IF(OR(B3948="",E3948=""),"",IF(E3948="No","Missed",IF(F3948="","",IF(F3948&lt;=Settings!$B$7,"On time","Late"))))</f>
        <v/>
      </c>
      <c r="H3948" s="15"/>
      <c r="I3948" s="16"/>
      <c r="J3948" s="16"/>
      <c r="K3948" s="17" t="str">
        <f>IF(J3948="","",ROUND(J3948*Settings!$B$8,2))</f>
        <v/>
      </c>
      <c r="L3948" s="16"/>
      <c r="M3948" s="8" t="str">
        <f t="shared" si="61"/>
        <v/>
      </c>
      <c r="N3948" s="9"/>
    </row>
    <row r="3949" spans="1:14" ht="15.75">
      <c r="A3949" s="11"/>
      <c r="B3949" s="9"/>
      <c r="C3949" s="12" t="str">
        <f>IF(B3949="","",IFERROR(INDEX('Cashier Roster'!$C$5:$C$64,MATCH(B3949,'Cashier Roster'!$B$5:$B$64,0)),"Not on roster"))</f>
        <v/>
      </c>
      <c r="D3949" s="12" t="str">
        <f>IF(B3949="","",IFERROR(INDEX('Cashier Roster'!$D$5:$D$64,MATCH(B3949,'Cashier Roster'!$B$5:$B$64,0)),""))</f>
        <v/>
      </c>
      <c r="E3949" s="13"/>
      <c r="F3949" s="14"/>
      <c r="G3949" s="8" t="str">
        <f>IF(OR(B3949="",E3949=""),"",IF(E3949="No","Missed",IF(F3949="","",IF(F3949&lt;=Settings!$B$7,"On time","Late"))))</f>
        <v/>
      </c>
      <c r="H3949" s="15"/>
      <c r="I3949" s="16"/>
      <c r="J3949" s="16"/>
      <c r="K3949" s="17" t="str">
        <f>IF(J3949="","",ROUND(J3949*Settings!$B$8,2))</f>
        <v/>
      </c>
      <c r="L3949" s="16"/>
      <c r="M3949" s="8" t="str">
        <f t="shared" si="61"/>
        <v/>
      </c>
      <c r="N3949" s="9"/>
    </row>
    <row r="3950" spans="1:14" ht="15.75">
      <c r="A3950" s="11"/>
      <c r="B3950" s="9"/>
      <c r="C3950" s="12" t="str">
        <f>IF(B3950="","",IFERROR(INDEX('Cashier Roster'!$C$5:$C$64,MATCH(B3950,'Cashier Roster'!$B$5:$B$64,0)),"Not on roster"))</f>
        <v/>
      </c>
      <c r="D3950" s="12" t="str">
        <f>IF(B3950="","",IFERROR(INDEX('Cashier Roster'!$D$5:$D$64,MATCH(B3950,'Cashier Roster'!$B$5:$B$64,0)),""))</f>
        <v/>
      </c>
      <c r="E3950" s="13"/>
      <c r="F3950" s="14"/>
      <c r="G3950" s="8" t="str">
        <f>IF(OR(B3950="",E3950=""),"",IF(E3950="No","Missed",IF(F3950="","",IF(F3950&lt;=Settings!$B$7,"On time","Late"))))</f>
        <v/>
      </c>
      <c r="H3950" s="15"/>
      <c r="I3950" s="16"/>
      <c r="J3950" s="16"/>
      <c r="K3950" s="17" t="str">
        <f>IF(J3950="","",ROUND(J3950*Settings!$B$8,2))</f>
        <v/>
      </c>
      <c r="L3950" s="16"/>
      <c r="M3950" s="8" t="str">
        <f t="shared" si="61"/>
        <v/>
      </c>
      <c r="N3950" s="9"/>
    </row>
    <row r="3951" spans="1:14" ht="15.75">
      <c r="A3951" s="11"/>
      <c r="B3951" s="9"/>
      <c r="C3951" s="12" t="str">
        <f>IF(B3951="","",IFERROR(INDEX('Cashier Roster'!$C$5:$C$64,MATCH(B3951,'Cashier Roster'!$B$5:$B$64,0)),"Not on roster"))</f>
        <v/>
      </c>
      <c r="D3951" s="12" t="str">
        <f>IF(B3951="","",IFERROR(INDEX('Cashier Roster'!$D$5:$D$64,MATCH(B3951,'Cashier Roster'!$B$5:$B$64,0)),""))</f>
        <v/>
      </c>
      <c r="E3951" s="13"/>
      <c r="F3951" s="14"/>
      <c r="G3951" s="8" t="str">
        <f>IF(OR(B3951="",E3951=""),"",IF(E3951="No","Missed",IF(F3951="","",IF(F3951&lt;=Settings!$B$7,"On time","Late"))))</f>
        <v/>
      </c>
      <c r="H3951" s="15"/>
      <c r="I3951" s="16"/>
      <c r="J3951" s="16"/>
      <c r="K3951" s="17" t="str">
        <f>IF(J3951="","",ROUND(J3951*Settings!$B$8,2))</f>
        <v/>
      </c>
      <c r="L3951" s="16"/>
      <c r="M3951" s="8" t="str">
        <f t="shared" si="61"/>
        <v/>
      </c>
      <c r="N3951" s="9"/>
    </row>
    <row r="3952" spans="1:14" ht="15.75">
      <c r="A3952" s="11"/>
      <c r="B3952" s="9"/>
      <c r="C3952" s="12" t="str">
        <f>IF(B3952="","",IFERROR(INDEX('Cashier Roster'!$C$5:$C$64,MATCH(B3952,'Cashier Roster'!$B$5:$B$64,0)),"Not on roster"))</f>
        <v/>
      </c>
      <c r="D3952" s="12" t="str">
        <f>IF(B3952="","",IFERROR(INDEX('Cashier Roster'!$D$5:$D$64,MATCH(B3952,'Cashier Roster'!$B$5:$B$64,0)),""))</f>
        <v/>
      </c>
      <c r="E3952" s="13"/>
      <c r="F3952" s="14"/>
      <c r="G3952" s="8" t="str">
        <f>IF(OR(B3952="",E3952=""),"",IF(E3952="No","Missed",IF(F3952="","",IF(F3952&lt;=Settings!$B$7,"On time","Late"))))</f>
        <v/>
      </c>
      <c r="H3952" s="15"/>
      <c r="I3952" s="16"/>
      <c r="J3952" s="16"/>
      <c r="K3952" s="17" t="str">
        <f>IF(J3952="","",ROUND(J3952*Settings!$B$8,2))</f>
        <v/>
      </c>
      <c r="L3952" s="16"/>
      <c r="M3952" s="8" t="str">
        <f t="shared" si="61"/>
        <v/>
      </c>
      <c r="N3952" s="9"/>
    </row>
    <row r="3953" spans="1:14" ht="15.75">
      <c r="A3953" s="11"/>
      <c r="B3953" s="9"/>
      <c r="C3953" s="12" t="str">
        <f>IF(B3953="","",IFERROR(INDEX('Cashier Roster'!$C$5:$C$64,MATCH(B3953,'Cashier Roster'!$B$5:$B$64,0)),"Not on roster"))</f>
        <v/>
      </c>
      <c r="D3953" s="12" t="str">
        <f>IF(B3953="","",IFERROR(INDEX('Cashier Roster'!$D$5:$D$64,MATCH(B3953,'Cashier Roster'!$B$5:$B$64,0)),""))</f>
        <v/>
      </c>
      <c r="E3953" s="13"/>
      <c r="F3953" s="14"/>
      <c r="G3953" s="8" t="str">
        <f>IF(OR(B3953="",E3953=""),"",IF(E3953="No","Missed",IF(F3953="","",IF(F3953&lt;=Settings!$B$7,"On time","Late"))))</f>
        <v/>
      </c>
      <c r="H3953" s="15"/>
      <c r="I3953" s="16"/>
      <c r="J3953" s="16"/>
      <c r="K3953" s="17" t="str">
        <f>IF(J3953="","",ROUND(J3953*Settings!$B$8,2))</f>
        <v/>
      </c>
      <c r="L3953" s="16"/>
      <c r="M3953" s="8" t="str">
        <f t="shared" si="61"/>
        <v/>
      </c>
      <c r="N3953" s="9"/>
    </row>
    <row r="3954" spans="1:14" ht="15.75">
      <c r="A3954" s="11"/>
      <c r="B3954" s="9"/>
      <c r="C3954" s="12" t="str">
        <f>IF(B3954="","",IFERROR(INDEX('Cashier Roster'!$C$5:$C$64,MATCH(B3954,'Cashier Roster'!$B$5:$B$64,0)),"Not on roster"))</f>
        <v/>
      </c>
      <c r="D3954" s="12" t="str">
        <f>IF(B3954="","",IFERROR(INDEX('Cashier Roster'!$D$5:$D$64,MATCH(B3954,'Cashier Roster'!$B$5:$B$64,0)),""))</f>
        <v/>
      </c>
      <c r="E3954" s="13"/>
      <c r="F3954" s="14"/>
      <c r="G3954" s="8" t="str">
        <f>IF(OR(B3954="",E3954=""),"",IF(E3954="No","Missed",IF(F3954="","",IF(F3954&lt;=Settings!$B$7,"On time","Late"))))</f>
        <v/>
      </c>
      <c r="H3954" s="15"/>
      <c r="I3954" s="16"/>
      <c r="J3954" s="16"/>
      <c r="K3954" s="17" t="str">
        <f>IF(J3954="","",ROUND(J3954*Settings!$B$8,2))</f>
        <v/>
      </c>
      <c r="L3954" s="16"/>
      <c r="M3954" s="8" t="str">
        <f t="shared" si="61"/>
        <v/>
      </c>
      <c r="N3954" s="9"/>
    </row>
    <row r="3955" spans="1:14" ht="15.75">
      <c r="A3955" s="11"/>
      <c r="B3955" s="9"/>
      <c r="C3955" s="12" t="str">
        <f>IF(B3955="","",IFERROR(INDEX('Cashier Roster'!$C$5:$C$64,MATCH(B3955,'Cashier Roster'!$B$5:$B$64,0)),"Not on roster"))</f>
        <v/>
      </c>
      <c r="D3955" s="12" t="str">
        <f>IF(B3955="","",IFERROR(INDEX('Cashier Roster'!$D$5:$D$64,MATCH(B3955,'Cashier Roster'!$B$5:$B$64,0)),""))</f>
        <v/>
      </c>
      <c r="E3955" s="13"/>
      <c r="F3955" s="14"/>
      <c r="G3955" s="8" t="str">
        <f>IF(OR(B3955="",E3955=""),"",IF(E3955="No","Missed",IF(F3955="","",IF(F3955&lt;=Settings!$B$7,"On time","Late"))))</f>
        <v/>
      </c>
      <c r="H3955" s="15"/>
      <c r="I3955" s="16"/>
      <c r="J3955" s="16"/>
      <c r="K3955" s="17" t="str">
        <f>IF(J3955="","",ROUND(J3955*Settings!$B$8,2))</f>
        <v/>
      </c>
      <c r="L3955" s="16"/>
      <c r="M3955" s="8" t="str">
        <f t="shared" si="61"/>
        <v/>
      </c>
      <c r="N3955" s="9"/>
    </row>
    <row r="3956" spans="1:14" ht="15.75">
      <c r="A3956" s="11"/>
      <c r="B3956" s="9"/>
      <c r="C3956" s="12" t="str">
        <f>IF(B3956="","",IFERROR(INDEX('Cashier Roster'!$C$5:$C$64,MATCH(B3956,'Cashier Roster'!$B$5:$B$64,0)),"Not on roster"))</f>
        <v/>
      </c>
      <c r="D3956" s="12" t="str">
        <f>IF(B3956="","",IFERROR(INDEX('Cashier Roster'!$D$5:$D$64,MATCH(B3956,'Cashier Roster'!$B$5:$B$64,0)),""))</f>
        <v/>
      </c>
      <c r="E3956" s="13"/>
      <c r="F3956" s="14"/>
      <c r="G3956" s="8" t="str">
        <f>IF(OR(B3956="",E3956=""),"",IF(E3956="No","Missed",IF(F3956="","",IF(F3956&lt;=Settings!$B$7,"On time","Late"))))</f>
        <v/>
      </c>
      <c r="H3956" s="15"/>
      <c r="I3956" s="16"/>
      <c r="J3956" s="16"/>
      <c r="K3956" s="17" t="str">
        <f>IF(J3956="","",ROUND(J3956*Settings!$B$8,2))</f>
        <v/>
      </c>
      <c r="L3956" s="16"/>
      <c r="M3956" s="8" t="str">
        <f t="shared" si="61"/>
        <v/>
      </c>
      <c r="N3956" s="9"/>
    </row>
    <row r="3957" spans="1:14" ht="15.75">
      <c r="A3957" s="11"/>
      <c r="B3957" s="9"/>
      <c r="C3957" s="12" t="str">
        <f>IF(B3957="","",IFERROR(INDEX('Cashier Roster'!$C$5:$C$64,MATCH(B3957,'Cashier Roster'!$B$5:$B$64,0)),"Not on roster"))</f>
        <v/>
      </c>
      <c r="D3957" s="12" t="str">
        <f>IF(B3957="","",IFERROR(INDEX('Cashier Roster'!$D$5:$D$64,MATCH(B3957,'Cashier Roster'!$B$5:$B$64,0)),""))</f>
        <v/>
      </c>
      <c r="E3957" s="13"/>
      <c r="F3957" s="14"/>
      <c r="G3957" s="8" t="str">
        <f>IF(OR(B3957="",E3957=""),"",IF(E3957="No","Missed",IF(F3957="","",IF(F3957&lt;=Settings!$B$7,"On time","Late"))))</f>
        <v/>
      </c>
      <c r="H3957" s="15"/>
      <c r="I3957" s="16"/>
      <c r="J3957" s="16"/>
      <c r="K3957" s="17" t="str">
        <f>IF(J3957="","",ROUND(J3957*Settings!$B$8,2))</f>
        <v/>
      </c>
      <c r="L3957" s="16"/>
      <c r="M3957" s="8" t="str">
        <f t="shared" si="61"/>
        <v/>
      </c>
      <c r="N3957" s="9"/>
    </row>
    <row r="3958" spans="1:14" ht="15.75">
      <c r="A3958" s="11"/>
      <c r="B3958" s="9"/>
      <c r="C3958" s="12" t="str">
        <f>IF(B3958="","",IFERROR(INDEX('Cashier Roster'!$C$5:$C$64,MATCH(B3958,'Cashier Roster'!$B$5:$B$64,0)),"Not on roster"))</f>
        <v/>
      </c>
      <c r="D3958" s="12" t="str">
        <f>IF(B3958="","",IFERROR(INDEX('Cashier Roster'!$D$5:$D$64,MATCH(B3958,'Cashier Roster'!$B$5:$B$64,0)),""))</f>
        <v/>
      </c>
      <c r="E3958" s="13"/>
      <c r="F3958" s="14"/>
      <c r="G3958" s="8" t="str">
        <f>IF(OR(B3958="",E3958=""),"",IF(E3958="No","Missed",IF(F3958="","",IF(F3958&lt;=Settings!$B$7,"On time","Late"))))</f>
        <v/>
      </c>
      <c r="H3958" s="15"/>
      <c r="I3958" s="16"/>
      <c r="J3958" s="16"/>
      <c r="K3958" s="17" t="str">
        <f>IF(J3958="","",ROUND(J3958*Settings!$B$8,2))</f>
        <v/>
      </c>
      <c r="L3958" s="16"/>
      <c r="M3958" s="8" t="str">
        <f t="shared" si="61"/>
        <v/>
      </c>
      <c r="N3958" s="9"/>
    </row>
    <row r="3959" spans="1:14" ht="15.75">
      <c r="A3959" s="11"/>
      <c r="B3959" s="9"/>
      <c r="C3959" s="12" t="str">
        <f>IF(B3959="","",IFERROR(INDEX('Cashier Roster'!$C$5:$C$64,MATCH(B3959,'Cashier Roster'!$B$5:$B$64,0)),"Not on roster"))</f>
        <v/>
      </c>
      <c r="D3959" s="12" t="str">
        <f>IF(B3959="","",IFERROR(INDEX('Cashier Roster'!$D$5:$D$64,MATCH(B3959,'Cashier Roster'!$B$5:$B$64,0)),""))</f>
        <v/>
      </c>
      <c r="E3959" s="13"/>
      <c r="F3959" s="14"/>
      <c r="G3959" s="8" t="str">
        <f>IF(OR(B3959="",E3959=""),"",IF(E3959="No","Missed",IF(F3959="","",IF(F3959&lt;=Settings!$B$7,"On time","Late"))))</f>
        <v/>
      </c>
      <c r="H3959" s="15"/>
      <c r="I3959" s="16"/>
      <c r="J3959" s="16"/>
      <c r="K3959" s="17" t="str">
        <f>IF(J3959="","",ROUND(J3959*Settings!$B$8,2))</f>
        <v/>
      </c>
      <c r="L3959" s="16"/>
      <c r="M3959" s="8" t="str">
        <f t="shared" si="61"/>
        <v/>
      </c>
      <c r="N3959" s="9"/>
    </row>
    <row r="3960" spans="1:14" ht="15.75">
      <c r="A3960" s="11"/>
      <c r="B3960" s="9"/>
      <c r="C3960" s="12" t="str">
        <f>IF(B3960="","",IFERROR(INDEX('Cashier Roster'!$C$5:$C$64,MATCH(B3960,'Cashier Roster'!$B$5:$B$64,0)),"Not on roster"))</f>
        <v/>
      </c>
      <c r="D3960" s="12" t="str">
        <f>IF(B3960="","",IFERROR(INDEX('Cashier Roster'!$D$5:$D$64,MATCH(B3960,'Cashier Roster'!$B$5:$B$64,0)),""))</f>
        <v/>
      </c>
      <c r="E3960" s="13"/>
      <c r="F3960" s="14"/>
      <c r="G3960" s="8" t="str">
        <f>IF(OR(B3960="",E3960=""),"",IF(E3960="No","Missed",IF(F3960="","",IF(F3960&lt;=Settings!$B$7,"On time","Late"))))</f>
        <v/>
      </c>
      <c r="H3960" s="15"/>
      <c r="I3960" s="16"/>
      <c r="J3960" s="16"/>
      <c r="K3960" s="17" t="str">
        <f>IF(J3960="","",ROUND(J3960*Settings!$B$8,2))</f>
        <v/>
      </c>
      <c r="L3960" s="16"/>
      <c r="M3960" s="8" t="str">
        <f t="shared" si="61"/>
        <v/>
      </c>
      <c r="N3960" s="9"/>
    </row>
    <row r="3961" spans="1:14" ht="15.75">
      <c r="A3961" s="11"/>
      <c r="B3961" s="9"/>
      <c r="C3961" s="12" t="str">
        <f>IF(B3961="","",IFERROR(INDEX('Cashier Roster'!$C$5:$C$64,MATCH(B3961,'Cashier Roster'!$B$5:$B$64,0)),"Not on roster"))</f>
        <v/>
      </c>
      <c r="D3961" s="12" t="str">
        <f>IF(B3961="","",IFERROR(INDEX('Cashier Roster'!$D$5:$D$64,MATCH(B3961,'Cashier Roster'!$B$5:$B$64,0)),""))</f>
        <v/>
      </c>
      <c r="E3961" s="13"/>
      <c r="F3961" s="14"/>
      <c r="G3961" s="8" t="str">
        <f>IF(OR(B3961="",E3961=""),"",IF(E3961="No","Missed",IF(F3961="","",IF(F3961&lt;=Settings!$B$7,"On time","Late"))))</f>
        <v/>
      </c>
      <c r="H3961" s="15"/>
      <c r="I3961" s="16"/>
      <c r="J3961" s="16"/>
      <c r="K3961" s="17" t="str">
        <f>IF(J3961="","",ROUND(J3961*Settings!$B$8,2))</f>
        <v/>
      </c>
      <c r="L3961" s="16"/>
      <c r="M3961" s="8" t="str">
        <f t="shared" si="61"/>
        <v/>
      </c>
      <c r="N3961" s="9"/>
    </row>
    <row r="3962" spans="1:14" ht="15.75">
      <c r="A3962" s="11"/>
      <c r="B3962" s="9"/>
      <c r="C3962" s="12" t="str">
        <f>IF(B3962="","",IFERROR(INDEX('Cashier Roster'!$C$5:$C$64,MATCH(B3962,'Cashier Roster'!$B$5:$B$64,0)),"Not on roster"))</f>
        <v/>
      </c>
      <c r="D3962" s="12" t="str">
        <f>IF(B3962="","",IFERROR(INDEX('Cashier Roster'!$D$5:$D$64,MATCH(B3962,'Cashier Roster'!$B$5:$B$64,0)),""))</f>
        <v/>
      </c>
      <c r="E3962" s="13"/>
      <c r="F3962" s="14"/>
      <c r="G3962" s="8" t="str">
        <f>IF(OR(B3962="",E3962=""),"",IF(E3962="No","Missed",IF(F3962="","",IF(F3962&lt;=Settings!$B$7,"On time","Late"))))</f>
        <v/>
      </c>
      <c r="H3962" s="15"/>
      <c r="I3962" s="16"/>
      <c r="J3962" s="16"/>
      <c r="K3962" s="17" t="str">
        <f>IF(J3962="","",ROUND(J3962*Settings!$B$8,2))</f>
        <v/>
      </c>
      <c r="L3962" s="16"/>
      <c r="M3962" s="8" t="str">
        <f t="shared" si="61"/>
        <v/>
      </c>
      <c r="N3962" s="9"/>
    </row>
    <row r="3963" spans="1:14" ht="15.75">
      <c r="A3963" s="11"/>
      <c r="B3963" s="9"/>
      <c r="C3963" s="12" t="str">
        <f>IF(B3963="","",IFERROR(INDEX('Cashier Roster'!$C$5:$C$64,MATCH(B3963,'Cashier Roster'!$B$5:$B$64,0)),"Not on roster"))</f>
        <v/>
      </c>
      <c r="D3963" s="12" t="str">
        <f>IF(B3963="","",IFERROR(INDEX('Cashier Roster'!$D$5:$D$64,MATCH(B3963,'Cashier Roster'!$B$5:$B$64,0)),""))</f>
        <v/>
      </c>
      <c r="E3963" s="13"/>
      <c r="F3963" s="14"/>
      <c r="G3963" s="8" t="str">
        <f>IF(OR(B3963="",E3963=""),"",IF(E3963="No","Missed",IF(F3963="","",IF(F3963&lt;=Settings!$B$7,"On time","Late"))))</f>
        <v/>
      </c>
      <c r="H3963" s="15"/>
      <c r="I3963" s="16"/>
      <c r="J3963" s="16"/>
      <c r="K3963" s="17" t="str">
        <f>IF(J3963="","",ROUND(J3963*Settings!$B$8,2))</f>
        <v/>
      </c>
      <c r="L3963" s="16"/>
      <c r="M3963" s="8" t="str">
        <f t="shared" si="61"/>
        <v/>
      </c>
      <c r="N3963" s="9"/>
    </row>
    <row r="3964" spans="1:14" ht="15.75">
      <c r="A3964" s="11"/>
      <c r="B3964" s="9"/>
      <c r="C3964" s="12" t="str">
        <f>IF(B3964="","",IFERROR(INDEX('Cashier Roster'!$C$5:$C$64,MATCH(B3964,'Cashier Roster'!$B$5:$B$64,0)),"Not on roster"))</f>
        <v/>
      </c>
      <c r="D3964" s="12" t="str">
        <f>IF(B3964="","",IFERROR(INDEX('Cashier Roster'!$D$5:$D$64,MATCH(B3964,'Cashier Roster'!$B$5:$B$64,0)),""))</f>
        <v/>
      </c>
      <c r="E3964" s="13"/>
      <c r="F3964" s="14"/>
      <c r="G3964" s="8" t="str">
        <f>IF(OR(B3964="",E3964=""),"",IF(E3964="No","Missed",IF(F3964="","",IF(F3964&lt;=Settings!$B$7,"On time","Late"))))</f>
        <v/>
      </c>
      <c r="H3964" s="15"/>
      <c r="I3964" s="16"/>
      <c r="J3964" s="16"/>
      <c r="K3964" s="17" t="str">
        <f>IF(J3964="","",ROUND(J3964*Settings!$B$8,2))</f>
        <v/>
      </c>
      <c r="L3964" s="16"/>
      <c r="M3964" s="8" t="str">
        <f t="shared" si="61"/>
        <v/>
      </c>
      <c r="N3964" s="9"/>
    </row>
    <row r="3965" spans="1:14" ht="15.75">
      <c r="A3965" s="11"/>
      <c r="B3965" s="9"/>
      <c r="C3965" s="12" t="str">
        <f>IF(B3965="","",IFERROR(INDEX('Cashier Roster'!$C$5:$C$64,MATCH(B3965,'Cashier Roster'!$B$5:$B$64,0)),"Not on roster"))</f>
        <v/>
      </c>
      <c r="D3965" s="12" t="str">
        <f>IF(B3965="","",IFERROR(INDEX('Cashier Roster'!$D$5:$D$64,MATCH(B3965,'Cashier Roster'!$B$5:$B$64,0)),""))</f>
        <v/>
      </c>
      <c r="E3965" s="13"/>
      <c r="F3965" s="14"/>
      <c r="G3965" s="8" t="str">
        <f>IF(OR(B3965="",E3965=""),"",IF(E3965="No","Missed",IF(F3965="","",IF(F3965&lt;=Settings!$B$7,"On time","Late"))))</f>
        <v/>
      </c>
      <c r="H3965" s="15"/>
      <c r="I3965" s="16"/>
      <c r="J3965" s="16"/>
      <c r="K3965" s="17" t="str">
        <f>IF(J3965="","",ROUND(J3965*Settings!$B$8,2))</f>
        <v/>
      </c>
      <c r="L3965" s="16"/>
      <c r="M3965" s="8" t="str">
        <f t="shared" si="61"/>
        <v/>
      </c>
      <c r="N3965" s="9"/>
    </row>
    <row r="3966" spans="1:14" ht="15.75">
      <c r="A3966" s="11"/>
      <c r="B3966" s="9"/>
      <c r="C3966" s="12" t="str">
        <f>IF(B3966="","",IFERROR(INDEX('Cashier Roster'!$C$5:$C$64,MATCH(B3966,'Cashier Roster'!$B$5:$B$64,0)),"Not on roster"))</f>
        <v/>
      </c>
      <c r="D3966" s="12" t="str">
        <f>IF(B3966="","",IFERROR(INDEX('Cashier Roster'!$D$5:$D$64,MATCH(B3966,'Cashier Roster'!$B$5:$B$64,0)),""))</f>
        <v/>
      </c>
      <c r="E3966" s="13"/>
      <c r="F3966" s="14"/>
      <c r="G3966" s="8" t="str">
        <f>IF(OR(B3966="",E3966=""),"",IF(E3966="No","Missed",IF(F3966="","",IF(F3966&lt;=Settings!$B$7,"On time","Late"))))</f>
        <v/>
      </c>
      <c r="H3966" s="15"/>
      <c r="I3966" s="16"/>
      <c r="J3966" s="16"/>
      <c r="K3966" s="17" t="str">
        <f>IF(J3966="","",ROUND(J3966*Settings!$B$8,2))</f>
        <v/>
      </c>
      <c r="L3966" s="16"/>
      <c r="M3966" s="8" t="str">
        <f t="shared" si="61"/>
        <v/>
      </c>
      <c r="N3966" s="9"/>
    </row>
    <row r="3967" spans="1:14" ht="15.75">
      <c r="A3967" s="11"/>
      <c r="B3967" s="9"/>
      <c r="C3967" s="12" t="str">
        <f>IF(B3967="","",IFERROR(INDEX('Cashier Roster'!$C$5:$C$64,MATCH(B3967,'Cashier Roster'!$B$5:$B$64,0)),"Not on roster"))</f>
        <v/>
      </c>
      <c r="D3967" s="12" t="str">
        <f>IF(B3967="","",IFERROR(INDEX('Cashier Roster'!$D$5:$D$64,MATCH(B3967,'Cashier Roster'!$B$5:$B$64,0)),""))</f>
        <v/>
      </c>
      <c r="E3967" s="13"/>
      <c r="F3967" s="14"/>
      <c r="G3967" s="8" t="str">
        <f>IF(OR(B3967="",E3967=""),"",IF(E3967="No","Missed",IF(F3967="","",IF(F3967&lt;=Settings!$B$7,"On time","Late"))))</f>
        <v/>
      </c>
      <c r="H3967" s="15"/>
      <c r="I3967" s="16"/>
      <c r="J3967" s="16"/>
      <c r="K3967" s="17" t="str">
        <f>IF(J3967="","",ROUND(J3967*Settings!$B$8,2))</f>
        <v/>
      </c>
      <c r="L3967" s="16"/>
      <c r="M3967" s="8" t="str">
        <f t="shared" si="61"/>
        <v/>
      </c>
      <c r="N3967" s="9"/>
    </row>
    <row r="3968" spans="1:14" ht="15.75">
      <c r="A3968" s="11"/>
      <c r="B3968" s="9"/>
      <c r="C3968" s="12" t="str">
        <f>IF(B3968="","",IFERROR(INDEX('Cashier Roster'!$C$5:$C$64,MATCH(B3968,'Cashier Roster'!$B$5:$B$64,0)),"Not on roster"))</f>
        <v/>
      </c>
      <c r="D3968" s="12" t="str">
        <f>IF(B3968="","",IFERROR(INDEX('Cashier Roster'!$D$5:$D$64,MATCH(B3968,'Cashier Roster'!$B$5:$B$64,0)),""))</f>
        <v/>
      </c>
      <c r="E3968" s="13"/>
      <c r="F3968" s="14"/>
      <c r="G3968" s="8" t="str">
        <f>IF(OR(B3968="",E3968=""),"",IF(E3968="No","Missed",IF(F3968="","",IF(F3968&lt;=Settings!$B$7,"On time","Late"))))</f>
        <v/>
      </c>
      <c r="H3968" s="15"/>
      <c r="I3968" s="16"/>
      <c r="J3968" s="16"/>
      <c r="K3968" s="17" t="str">
        <f>IF(J3968="","",ROUND(J3968*Settings!$B$8,2))</f>
        <v/>
      </c>
      <c r="L3968" s="16"/>
      <c r="M3968" s="8" t="str">
        <f t="shared" si="61"/>
        <v/>
      </c>
      <c r="N3968" s="9"/>
    </row>
    <row r="3969" spans="1:14" ht="15.75">
      <c r="A3969" s="11"/>
      <c r="B3969" s="9"/>
      <c r="C3969" s="12" t="str">
        <f>IF(B3969="","",IFERROR(INDEX('Cashier Roster'!$C$5:$C$64,MATCH(B3969,'Cashier Roster'!$B$5:$B$64,0)),"Not on roster"))</f>
        <v/>
      </c>
      <c r="D3969" s="12" t="str">
        <f>IF(B3969="","",IFERROR(INDEX('Cashier Roster'!$D$5:$D$64,MATCH(B3969,'Cashier Roster'!$B$5:$B$64,0)),""))</f>
        <v/>
      </c>
      <c r="E3969" s="13"/>
      <c r="F3969" s="14"/>
      <c r="G3969" s="8" t="str">
        <f>IF(OR(B3969="",E3969=""),"",IF(E3969="No","Missed",IF(F3969="","",IF(F3969&lt;=Settings!$B$7,"On time","Late"))))</f>
        <v/>
      </c>
      <c r="H3969" s="15"/>
      <c r="I3969" s="16"/>
      <c r="J3969" s="16"/>
      <c r="K3969" s="17" t="str">
        <f>IF(J3969="","",ROUND(J3969*Settings!$B$8,2))</f>
        <v/>
      </c>
      <c r="L3969" s="16"/>
      <c r="M3969" s="8" t="str">
        <f t="shared" si="61"/>
        <v/>
      </c>
      <c r="N3969" s="9"/>
    </row>
    <row r="3970" spans="1:14" ht="15.75">
      <c r="A3970" s="11"/>
      <c r="B3970" s="9"/>
      <c r="C3970" s="12" t="str">
        <f>IF(B3970="","",IFERROR(INDEX('Cashier Roster'!$C$5:$C$64,MATCH(B3970,'Cashier Roster'!$B$5:$B$64,0)),"Not on roster"))</f>
        <v/>
      </c>
      <c r="D3970" s="12" t="str">
        <f>IF(B3970="","",IFERROR(INDEX('Cashier Roster'!$D$5:$D$64,MATCH(B3970,'Cashier Roster'!$B$5:$B$64,0)),""))</f>
        <v/>
      </c>
      <c r="E3970" s="13"/>
      <c r="F3970" s="14"/>
      <c r="G3970" s="8" t="str">
        <f>IF(OR(B3970="",E3970=""),"",IF(E3970="No","Missed",IF(F3970="","",IF(F3970&lt;=Settings!$B$7,"On time","Late"))))</f>
        <v/>
      </c>
      <c r="H3970" s="15"/>
      <c r="I3970" s="16"/>
      <c r="J3970" s="16"/>
      <c r="K3970" s="17" t="str">
        <f>IF(J3970="","",ROUND(J3970*Settings!$B$8,2))</f>
        <v/>
      </c>
      <c r="L3970" s="16"/>
      <c r="M3970" s="8" t="str">
        <f t="shared" si="61"/>
        <v/>
      </c>
      <c r="N3970" s="9"/>
    </row>
    <row r="3971" spans="1:14" ht="15.75">
      <c r="A3971" s="11"/>
      <c r="B3971" s="9"/>
      <c r="C3971" s="12" t="str">
        <f>IF(B3971="","",IFERROR(INDEX('Cashier Roster'!$C$5:$C$64,MATCH(B3971,'Cashier Roster'!$B$5:$B$64,0)),"Not on roster"))</f>
        <v/>
      </c>
      <c r="D3971" s="12" t="str">
        <f>IF(B3971="","",IFERROR(INDEX('Cashier Roster'!$D$5:$D$64,MATCH(B3971,'Cashier Roster'!$B$5:$B$64,0)),""))</f>
        <v/>
      </c>
      <c r="E3971" s="13"/>
      <c r="F3971" s="14"/>
      <c r="G3971" s="8" t="str">
        <f>IF(OR(B3971="",E3971=""),"",IF(E3971="No","Missed",IF(F3971="","",IF(F3971&lt;=Settings!$B$7,"On time","Late"))))</f>
        <v/>
      </c>
      <c r="H3971" s="15"/>
      <c r="I3971" s="16"/>
      <c r="J3971" s="16"/>
      <c r="K3971" s="17" t="str">
        <f>IF(J3971="","",ROUND(J3971*Settings!$B$8,2))</f>
        <v/>
      </c>
      <c r="L3971" s="16"/>
      <c r="M3971" s="8" t="str">
        <f t="shared" si="61"/>
        <v/>
      </c>
      <c r="N3971" s="9"/>
    </row>
    <row r="3972" spans="1:14" ht="15.75">
      <c r="A3972" s="11"/>
      <c r="B3972" s="9"/>
      <c r="C3972" s="12" t="str">
        <f>IF(B3972="","",IFERROR(INDEX('Cashier Roster'!$C$5:$C$64,MATCH(B3972,'Cashier Roster'!$B$5:$B$64,0)),"Not on roster"))</f>
        <v/>
      </c>
      <c r="D3972" s="12" t="str">
        <f>IF(B3972="","",IFERROR(INDEX('Cashier Roster'!$D$5:$D$64,MATCH(B3972,'Cashier Roster'!$B$5:$B$64,0)),""))</f>
        <v/>
      </c>
      <c r="E3972" s="13"/>
      <c r="F3972" s="14"/>
      <c r="G3972" s="8" t="str">
        <f>IF(OR(B3972="",E3972=""),"",IF(E3972="No","Missed",IF(F3972="","",IF(F3972&lt;=Settings!$B$7,"On time","Late"))))</f>
        <v/>
      </c>
      <c r="H3972" s="15"/>
      <c r="I3972" s="16"/>
      <c r="J3972" s="16"/>
      <c r="K3972" s="17" t="str">
        <f>IF(J3972="","",ROUND(J3972*Settings!$B$8,2))</f>
        <v/>
      </c>
      <c r="L3972" s="16"/>
      <c r="M3972" s="8" t="str">
        <f t="shared" si="61"/>
        <v/>
      </c>
      <c r="N3972" s="9"/>
    </row>
    <row r="3973" spans="1:14" ht="15.75">
      <c r="A3973" s="11"/>
      <c r="B3973" s="9"/>
      <c r="C3973" s="12" t="str">
        <f>IF(B3973="","",IFERROR(INDEX('Cashier Roster'!$C$5:$C$64,MATCH(B3973,'Cashier Roster'!$B$5:$B$64,0)),"Not on roster"))</f>
        <v/>
      </c>
      <c r="D3973" s="12" t="str">
        <f>IF(B3973="","",IFERROR(INDEX('Cashier Roster'!$D$5:$D$64,MATCH(B3973,'Cashier Roster'!$B$5:$B$64,0)),""))</f>
        <v/>
      </c>
      <c r="E3973" s="13"/>
      <c r="F3973" s="14"/>
      <c r="G3973" s="8" t="str">
        <f>IF(OR(B3973="",E3973=""),"",IF(E3973="No","Missed",IF(F3973="","",IF(F3973&lt;=Settings!$B$7,"On time","Late"))))</f>
        <v/>
      </c>
      <c r="H3973" s="15"/>
      <c r="I3973" s="16"/>
      <c r="J3973" s="16"/>
      <c r="K3973" s="17" t="str">
        <f>IF(J3973="","",ROUND(J3973*Settings!$B$8,2))</f>
        <v/>
      </c>
      <c r="L3973" s="16"/>
      <c r="M3973" s="8" t="str">
        <f t="shared" ref="M3973:M4036" si="62">IF(L3973="","",IF(L3973&lt;=0,"Yes","No"))</f>
        <v/>
      </c>
      <c r="N3973" s="9"/>
    </row>
    <row r="3974" spans="1:14" ht="15.75">
      <c r="A3974" s="11"/>
      <c r="B3974" s="9"/>
      <c r="C3974" s="12" t="str">
        <f>IF(B3974="","",IFERROR(INDEX('Cashier Roster'!$C$5:$C$64,MATCH(B3974,'Cashier Roster'!$B$5:$B$64,0)),"Not on roster"))</f>
        <v/>
      </c>
      <c r="D3974" s="12" t="str">
        <f>IF(B3974="","",IFERROR(INDEX('Cashier Roster'!$D$5:$D$64,MATCH(B3974,'Cashier Roster'!$B$5:$B$64,0)),""))</f>
        <v/>
      </c>
      <c r="E3974" s="13"/>
      <c r="F3974" s="14"/>
      <c r="G3974" s="8" t="str">
        <f>IF(OR(B3974="",E3974=""),"",IF(E3974="No","Missed",IF(F3974="","",IF(F3974&lt;=Settings!$B$7,"On time","Late"))))</f>
        <v/>
      </c>
      <c r="H3974" s="15"/>
      <c r="I3974" s="16"/>
      <c r="J3974" s="16"/>
      <c r="K3974" s="17" t="str">
        <f>IF(J3974="","",ROUND(J3974*Settings!$B$8,2))</f>
        <v/>
      </c>
      <c r="L3974" s="16"/>
      <c r="M3974" s="8" t="str">
        <f t="shared" si="62"/>
        <v/>
      </c>
      <c r="N3974" s="9"/>
    </row>
    <row r="3975" spans="1:14" ht="15.75">
      <c r="A3975" s="11"/>
      <c r="B3975" s="9"/>
      <c r="C3975" s="12" t="str">
        <f>IF(B3975="","",IFERROR(INDEX('Cashier Roster'!$C$5:$C$64,MATCH(B3975,'Cashier Roster'!$B$5:$B$64,0)),"Not on roster"))</f>
        <v/>
      </c>
      <c r="D3975" s="12" t="str">
        <f>IF(B3975="","",IFERROR(INDEX('Cashier Roster'!$D$5:$D$64,MATCH(B3975,'Cashier Roster'!$B$5:$B$64,0)),""))</f>
        <v/>
      </c>
      <c r="E3975" s="13"/>
      <c r="F3975" s="14"/>
      <c r="G3975" s="8" t="str">
        <f>IF(OR(B3975="",E3975=""),"",IF(E3975="No","Missed",IF(F3975="","",IF(F3975&lt;=Settings!$B$7,"On time","Late"))))</f>
        <v/>
      </c>
      <c r="H3975" s="15"/>
      <c r="I3975" s="16"/>
      <c r="J3975" s="16"/>
      <c r="K3975" s="17" t="str">
        <f>IF(J3975="","",ROUND(J3975*Settings!$B$8,2))</f>
        <v/>
      </c>
      <c r="L3975" s="16"/>
      <c r="M3975" s="8" t="str">
        <f t="shared" si="62"/>
        <v/>
      </c>
      <c r="N3975" s="9"/>
    </row>
    <row r="3976" spans="1:14" ht="15.75">
      <c r="A3976" s="11"/>
      <c r="B3976" s="9"/>
      <c r="C3976" s="12" t="str">
        <f>IF(B3976="","",IFERROR(INDEX('Cashier Roster'!$C$5:$C$64,MATCH(B3976,'Cashier Roster'!$B$5:$B$64,0)),"Not on roster"))</f>
        <v/>
      </c>
      <c r="D3976" s="12" t="str">
        <f>IF(B3976="","",IFERROR(INDEX('Cashier Roster'!$D$5:$D$64,MATCH(B3976,'Cashier Roster'!$B$5:$B$64,0)),""))</f>
        <v/>
      </c>
      <c r="E3976" s="13"/>
      <c r="F3976" s="14"/>
      <c r="G3976" s="8" t="str">
        <f>IF(OR(B3976="",E3976=""),"",IF(E3976="No","Missed",IF(F3976="","",IF(F3976&lt;=Settings!$B$7,"On time","Late"))))</f>
        <v/>
      </c>
      <c r="H3976" s="15"/>
      <c r="I3976" s="16"/>
      <c r="J3976" s="16"/>
      <c r="K3976" s="17" t="str">
        <f>IF(J3976="","",ROUND(J3976*Settings!$B$8,2))</f>
        <v/>
      </c>
      <c r="L3976" s="16"/>
      <c r="M3976" s="8" t="str">
        <f t="shared" si="62"/>
        <v/>
      </c>
      <c r="N3976" s="9"/>
    </row>
    <row r="3977" spans="1:14" ht="15.75">
      <c r="A3977" s="11"/>
      <c r="B3977" s="9"/>
      <c r="C3977" s="12" t="str">
        <f>IF(B3977="","",IFERROR(INDEX('Cashier Roster'!$C$5:$C$64,MATCH(B3977,'Cashier Roster'!$B$5:$B$64,0)),"Not on roster"))</f>
        <v/>
      </c>
      <c r="D3977" s="12" t="str">
        <f>IF(B3977="","",IFERROR(INDEX('Cashier Roster'!$D$5:$D$64,MATCH(B3977,'Cashier Roster'!$B$5:$B$64,0)),""))</f>
        <v/>
      </c>
      <c r="E3977" s="13"/>
      <c r="F3977" s="14"/>
      <c r="G3977" s="8" t="str">
        <f>IF(OR(B3977="",E3977=""),"",IF(E3977="No","Missed",IF(F3977="","",IF(F3977&lt;=Settings!$B$7,"On time","Late"))))</f>
        <v/>
      </c>
      <c r="H3977" s="15"/>
      <c r="I3977" s="16"/>
      <c r="J3977" s="16"/>
      <c r="K3977" s="17" t="str">
        <f>IF(J3977="","",ROUND(J3977*Settings!$B$8,2))</f>
        <v/>
      </c>
      <c r="L3977" s="16"/>
      <c r="M3977" s="8" t="str">
        <f t="shared" si="62"/>
        <v/>
      </c>
      <c r="N3977" s="9"/>
    </row>
    <row r="3978" spans="1:14" ht="15.75">
      <c r="A3978" s="11"/>
      <c r="B3978" s="9"/>
      <c r="C3978" s="12" t="str">
        <f>IF(B3978="","",IFERROR(INDEX('Cashier Roster'!$C$5:$C$64,MATCH(B3978,'Cashier Roster'!$B$5:$B$64,0)),"Not on roster"))</f>
        <v/>
      </c>
      <c r="D3978" s="12" t="str">
        <f>IF(B3978="","",IFERROR(INDEX('Cashier Roster'!$D$5:$D$64,MATCH(B3978,'Cashier Roster'!$B$5:$B$64,0)),""))</f>
        <v/>
      </c>
      <c r="E3978" s="13"/>
      <c r="F3978" s="14"/>
      <c r="G3978" s="8" t="str">
        <f>IF(OR(B3978="",E3978=""),"",IF(E3978="No","Missed",IF(F3978="","",IF(F3978&lt;=Settings!$B$7,"On time","Late"))))</f>
        <v/>
      </c>
      <c r="H3978" s="15"/>
      <c r="I3978" s="16"/>
      <c r="J3978" s="16"/>
      <c r="K3978" s="17" t="str">
        <f>IF(J3978="","",ROUND(J3978*Settings!$B$8,2))</f>
        <v/>
      </c>
      <c r="L3978" s="16"/>
      <c r="M3978" s="8" t="str">
        <f t="shared" si="62"/>
        <v/>
      </c>
      <c r="N3978" s="9"/>
    </row>
    <row r="3979" spans="1:14" ht="15.75">
      <c r="A3979" s="11"/>
      <c r="B3979" s="9"/>
      <c r="C3979" s="12" t="str">
        <f>IF(B3979="","",IFERROR(INDEX('Cashier Roster'!$C$5:$C$64,MATCH(B3979,'Cashier Roster'!$B$5:$B$64,0)),"Not on roster"))</f>
        <v/>
      </c>
      <c r="D3979" s="12" t="str">
        <f>IF(B3979="","",IFERROR(INDEX('Cashier Roster'!$D$5:$D$64,MATCH(B3979,'Cashier Roster'!$B$5:$B$64,0)),""))</f>
        <v/>
      </c>
      <c r="E3979" s="13"/>
      <c r="F3979" s="14"/>
      <c r="G3979" s="8" t="str">
        <f>IF(OR(B3979="",E3979=""),"",IF(E3979="No","Missed",IF(F3979="","",IF(F3979&lt;=Settings!$B$7,"On time","Late"))))</f>
        <v/>
      </c>
      <c r="H3979" s="15"/>
      <c r="I3979" s="16"/>
      <c r="J3979" s="16"/>
      <c r="K3979" s="17" t="str">
        <f>IF(J3979="","",ROUND(J3979*Settings!$B$8,2))</f>
        <v/>
      </c>
      <c r="L3979" s="16"/>
      <c r="M3979" s="8" t="str">
        <f t="shared" si="62"/>
        <v/>
      </c>
      <c r="N3979" s="9"/>
    </row>
    <row r="3980" spans="1:14" ht="15.75">
      <c r="A3980" s="11"/>
      <c r="B3980" s="9"/>
      <c r="C3980" s="12" t="str">
        <f>IF(B3980="","",IFERROR(INDEX('Cashier Roster'!$C$5:$C$64,MATCH(B3980,'Cashier Roster'!$B$5:$B$64,0)),"Not on roster"))</f>
        <v/>
      </c>
      <c r="D3980" s="12" t="str">
        <f>IF(B3980="","",IFERROR(INDEX('Cashier Roster'!$D$5:$D$64,MATCH(B3980,'Cashier Roster'!$B$5:$B$64,0)),""))</f>
        <v/>
      </c>
      <c r="E3980" s="13"/>
      <c r="F3980" s="14"/>
      <c r="G3980" s="8" t="str">
        <f>IF(OR(B3980="",E3980=""),"",IF(E3980="No","Missed",IF(F3980="","",IF(F3980&lt;=Settings!$B$7,"On time","Late"))))</f>
        <v/>
      </c>
      <c r="H3980" s="15"/>
      <c r="I3980" s="16"/>
      <c r="J3980" s="16"/>
      <c r="K3980" s="17" t="str">
        <f>IF(J3980="","",ROUND(J3980*Settings!$B$8,2))</f>
        <v/>
      </c>
      <c r="L3980" s="16"/>
      <c r="M3980" s="8" t="str">
        <f t="shared" si="62"/>
        <v/>
      </c>
      <c r="N3980" s="9"/>
    </row>
    <row r="3981" spans="1:14" ht="15.75">
      <c r="A3981" s="11"/>
      <c r="B3981" s="9"/>
      <c r="C3981" s="12" t="str">
        <f>IF(B3981="","",IFERROR(INDEX('Cashier Roster'!$C$5:$C$64,MATCH(B3981,'Cashier Roster'!$B$5:$B$64,0)),"Not on roster"))</f>
        <v/>
      </c>
      <c r="D3981" s="12" t="str">
        <f>IF(B3981="","",IFERROR(INDEX('Cashier Roster'!$D$5:$D$64,MATCH(B3981,'Cashier Roster'!$B$5:$B$64,0)),""))</f>
        <v/>
      </c>
      <c r="E3981" s="13"/>
      <c r="F3981" s="14"/>
      <c r="G3981" s="8" t="str">
        <f>IF(OR(B3981="",E3981=""),"",IF(E3981="No","Missed",IF(F3981="","",IF(F3981&lt;=Settings!$B$7,"On time","Late"))))</f>
        <v/>
      </c>
      <c r="H3981" s="15"/>
      <c r="I3981" s="16"/>
      <c r="J3981" s="16"/>
      <c r="K3981" s="17" t="str">
        <f>IF(J3981="","",ROUND(J3981*Settings!$B$8,2))</f>
        <v/>
      </c>
      <c r="L3981" s="16"/>
      <c r="M3981" s="8" t="str">
        <f t="shared" si="62"/>
        <v/>
      </c>
      <c r="N3981" s="9"/>
    </row>
    <row r="3982" spans="1:14" ht="15.75">
      <c r="A3982" s="11"/>
      <c r="B3982" s="9"/>
      <c r="C3982" s="12" t="str">
        <f>IF(B3982="","",IFERROR(INDEX('Cashier Roster'!$C$5:$C$64,MATCH(B3982,'Cashier Roster'!$B$5:$B$64,0)),"Not on roster"))</f>
        <v/>
      </c>
      <c r="D3982" s="12" t="str">
        <f>IF(B3982="","",IFERROR(INDEX('Cashier Roster'!$D$5:$D$64,MATCH(B3982,'Cashier Roster'!$B$5:$B$64,0)),""))</f>
        <v/>
      </c>
      <c r="E3982" s="13"/>
      <c r="F3982" s="14"/>
      <c r="G3982" s="8" t="str">
        <f>IF(OR(B3982="",E3982=""),"",IF(E3982="No","Missed",IF(F3982="","",IF(F3982&lt;=Settings!$B$7,"On time","Late"))))</f>
        <v/>
      </c>
      <c r="H3982" s="15"/>
      <c r="I3982" s="16"/>
      <c r="J3982" s="16"/>
      <c r="K3982" s="17" t="str">
        <f>IF(J3982="","",ROUND(J3982*Settings!$B$8,2))</f>
        <v/>
      </c>
      <c r="L3982" s="16"/>
      <c r="M3982" s="8" t="str">
        <f t="shared" si="62"/>
        <v/>
      </c>
      <c r="N3982" s="9"/>
    </row>
    <row r="3983" spans="1:14" ht="15.75">
      <c r="A3983" s="11"/>
      <c r="B3983" s="9"/>
      <c r="C3983" s="12" t="str">
        <f>IF(B3983="","",IFERROR(INDEX('Cashier Roster'!$C$5:$C$64,MATCH(B3983,'Cashier Roster'!$B$5:$B$64,0)),"Not on roster"))</f>
        <v/>
      </c>
      <c r="D3983" s="12" t="str">
        <f>IF(B3983="","",IFERROR(INDEX('Cashier Roster'!$D$5:$D$64,MATCH(B3983,'Cashier Roster'!$B$5:$B$64,0)),""))</f>
        <v/>
      </c>
      <c r="E3983" s="13"/>
      <c r="F3983" s="14"/>
      <c r="G3983" s="8" t="str">
        <f>IF(OR(B3983="",E3983=""),"",IF(E3983="No","Missed",IF(F3983="","",IF(F3983&lt;=Settings!$B$7,"On time","Late"))))</f>
        <v/>
      </c>
      <c r="H3983" s="15"/>
      <c r="I3983" s="16"/>
      <c r="J3983" s="16"/>
      <c r="K3983" s="17" t="str">
        <f>IF(J3983="","",ROUND(J3983*Settings!$B$8,2))</f>
        <v/>
      </c>
      <c r="L3983" s="16"/>
      <c r="M3983" s="8" t="str">
        <f t="shared" si="62"/>
        <v/>
      </c>
      <c r="N3983" s="9"/>
    </row>
    <row r="3984" spans="1:14" ht="15.75">
      <c r="A3984" s="11"/>
      <c r="B3984" s="9"/>
      <c r="C3984" s="12" t="str">
        <f>IF(B3984="","",IFERROR(INDEX('Cashier Roster'!$C$5:$C$64,MATCH(B3984,'Cashier Roster'!$B$5:$B$64,0)),"Not on roster"))</f>
        <v/>
      </c>
      <c r="D3984" s="12" t="str">
        <f>IF(B3984="","",IFERROR(INDEX('Cashier Roster'!$D$5:$D$64,MATCH(B3984,'Cashier Roster'!$B$5:$B$64,0)),""))</f>
        <v/>
      </c>
      <c r="E3984" s="13"/>
      <c r="F3984" s="14"/>
      <c r="G3984" s="8" t="str">
        <f>IF(OR(B3984="",E3984=""),"",IF(E3984="No","Missed",IF(F3984="","",IF(F3984&lt;=Settings!$B$7,"On time","Late"))))</f>
        <v/>
      </c>
      <c r="H3984" s="15"/>
      <c r="I3984" s="16"/>
      <c r="J3984" s="16"/>
      <c r="K3984" s="17" t="str">
        <f>IF(J3984="","",ROUND(J3984*Settings!$B$8,2))</f>
        <v/>
      </c>
      <c r="L3984" s="16"/>
      <c r="M3984" s="8" t="str">
        <f t="shared" si="62"/>
        <v/>
      </c>
      <c r="N3984" s="9"/>
    </row>
    <row r="3985" spans="1:14" ht="15.75">
      <c r="A3985" s="11"/>
      <c r="B3985" s="9"/>
      <c r="C3985" s="12" t="str">
        <f>IF(B3985="","",IFERROR(INDEX('Cashier Roster'!$C$5:$C$64,MATCH(B3985,'Cashier Roster'!$B$5:$B$64,0)),"Not on roster"))</f>
        <v/>
      </c>
      <c r="D3985" s="12" t="str">
        <f>IF(B3985="","",IFERROR(INDEX('Cashier Roster'!$D$5:$D$64,MATCH(B3985,'Cashier Roster'!$B$5:$B$64,0)),""))</f>
        <v/>
      </c>
      <c r="E3985" s="13"/>
      <c r="F3985" s="14"/>
      <c r="G3985" s="8" t="str">
        <f>IF(OR(B3985="",E3985=""),"",IF(E3985="No","Missed",IF(F3985="","",IF(F3985&lt;=Settings!$B$7,"On time","Late"))))</f>
        <v/>
      </c>
      <c r="H3985" s="15"/>
      <c r="I3985" s="16"/>
      <c r="J3985" s="16"/>
      <c r="K3985" s="17" t="str">
        <f>IF(J3985="","",ROUND(J3985*Settings!$B$8,2))</f>
        <v/>
      </c>
      <c r="L3985" s="16"/>
      <c r="M3985" s="8" t="str">
        <f t="shared" si="62"/>
        <v/>
      </c>
      <c r="N3985" s="9"/>
    </row>
    <row r="3986" spans="1:14" ht="15.75">
      <c r="A3986" s="11"/>
      <c r="B3986" s="9"/>
      <c r="C3986" s="12" t="str">
        <f>IF(B3986="","",IFERROR(INDEX('Cashier Roster'!$C$5:$C$64,MATCH(B3986,'Cashier Roster'!$B$5:$B$64,0)),"Not on roster"))</f>
        <v/>
      </c>
      <c r="D3986" s="12" t="str">
        <f>IF(B3986="","",IFERROR(INDEX('Cashier Roster'!$D$5:$D$64,MATCH(B3986,'Cashier Roster'!$B$5:$B$64,0)),""))</f>
        <v/>
      </c>
      <c r="E3986" s="13"/>
      <c r="F3986" s="14"/>
      <c r="G3986" s="8" t="str">
        <f>IF(OR(B3986="",E3986=""),"",IF(E3986="No","Missed",IF(F3986="","",IF(F3986&lt;=Settings!$B$7,"On time","Late"))))</f>
        <v/>
      </c>
      <c r="H3986" s="15"/>
      <c r="I3986" s="16"/>
      <c r="J3986" s="16"/>
      <c r="K3986" s="17" t="str">
        <f>IF(J3986="","",ROUND(J3986*Settings!$B$8,2))</f>
        <v/>
      </c>
      <c r="L3986" s="16"/>
      <c r="M3986" s="8" t="str">
        <f t="shared" si="62"/>
        <v/>
      </c>
      <c r="N3986" s="9"/>
    </row>
    <row r="3987" spans="1:14" ht="15.75">
      <c r="A3987" s="11"/>
      <c r="B3987" s="9"/>
      <c r="C3987" s="12" t="str">
        <f>IF(B3987="","",IFERROR(INDEX('Cashier Roster'!$C$5:$C$64,MATCH(B3987,'Cashier Roster'!$B$5:$B$64,0)),"Not on roster"))</f>
        <v/>
      </c>
      <c r="D3987" s="12" t="str">
        <f>IF(B3987="","",IFERROR(INDEX('Cashier Roster'!$D$5:$D$64,MATCH(B3987,'Cashier Roster'!$B$5:$B$64,0)),""))</f>
        <v/>
      </c>
      <c r="E3987" s="13"/>
      <c r="F3987" s="14"/>
      <c r="G3987" s="8" t="str">
        <f>IF(OR(B3987="",E3987=""),"",IF(E3987="No","Missed",IF(F3987="","",IF(F3987&lt;=Settings!$B$7,"On time","Late"))))</f>
        <v/>
      </c>
      <c r="H3987" s="15"/>
      <c r="I3987" s="16"/>
      <c r="J3987" s="16"/>
      <c r="K3987" s="17" t="str">
        <f>IF(J3987="","",ROUND(J3987*Settings!$B$8,2))</f>
        <v/>
      </c>
      <c r="L3987" s="16"/>
      <c r="M3987" s="8" t="str">
        <f t="shared" si="62"/>
        <v/>
      </c>
      <c r="N3987" s="9"/>
    </row>
    <row r="3988" spans="1:14" ht="15.75">
      <c r="A3988" s="11"/>
      <c r="B3988" s="9"/>
      <c r="C3988" s="12" t="str">
        <f>IF(B3988="","",IFERROR(INDEX('Cashier Roster'!$C$5:$C$64,MATCH(B3988,'Cashier Roster'!$B$5:$B$64,0)),"Not on roster"))</f>
        <v/>
      </c>
      <c r="D3988" s="12" t="str">
        <f>IF(B3988="","",IFERROR(INDEX('Cashier Roster'!$D$5:$D$64,MATCH(B3988,'Cashier Roster'!$B$5:$B$64,0)),""))</f>
        <v/>
      </c>
      <c r="E3988" s="13"/>
      <c r="F3988" s="14"/>
      <c r="G3988" s="8" t="str">
        <f>IF(OR(B3988="",E3988=""),"",IF(E3988="No","Missed",IF(F3988="","",IF(F3988&lt;=Settings!$B$7,"On time","Late"))))</f>
        <v/>
      </c>
      <c r="H3988" s="15"/>
      <c r="I3988" s="16"/>
      <c r="J3988" s="16"/>
      <c r="K3988" s="17" t="str">
        <f>IF(J3988="","",ROUND(J3988*Settings!$B$8,2))</f>
        <v/>
      </c>
      <c r="L3988" s="16"/>
      <c r="M3988" s="8" t="str">
        <f t="shared" si="62"/>
        <v/>
      </c>
      <c r="N3988" s="9"/>
    </row>
    <row r="3989" spans="1:14" ht="15.75">
      <c r="A3989" s="11"/>
      <c r="B3989" s="9"/>
      <c r="C3989" s="12" t="str">
        <f>IF(B3989="","",IFERROR(INDEX('Cashier Roster'!$C$5:$C$64,MATCH(B3989,'Cashier Roster'!$B$5:$B$64,0)),"Not on roster"))</f>
        <v/>
      </c>
      <c r="D3989" s="12" t="str">
        <f>IF(B3989="","",IFERROR(INDEX('Cashier Roster'!$D$5:$D$64,MATCH(B3989,'Cashier Roster'!$B$5:$B$64,0)),""))</f>
        <v/>
      </c>
      <c r="E3989" s="13"/>
      <c r="F3989" s="14"/>
      <c r="G3989" s="8" t="str">
        <f>IF(OR(B3989="",E3989=""),"",IF(E3989="No","Missed",IF(F3989="","",IF(F3989&lt;=Settings!$B$7,"On time","Late"))))</f>
        <v/>
      </c>
      <c r="H3989" s="15"/>
      <c r="I3989" s="16"/>
      <c r="J3989" s="16"/>
      <c r="K3989" s="17" t="str">
        <f>IF(J3989="","",ROUND(J3989*Settings!$B$8,2))</f>
        <v/>
      </c>
      <c r="L3989" s="16"/>
      <c r="M3989" s="8" t="str">
        <f t="shared" si="62"/>
        <v/>
      </c>
      <c r="N3989" s="9"/>
    </row>
    <row r="3990" spans="1:14" ht="15.75">
      <c r="A3990" s="11"/>
      <c r="B3990" s="9"/>
      <c r="C3990" s="12" t="str">
        <f>IF(B3990="","",IFERROR(INDEX('Cashier Roster'!$C$5:$C$64,MATCH(B3990,'Cashier Roster'!$B$5:$B$64,0)),"Not on roster"))</f>
        <v/>
      </c>
      <c r="D3990" s="12" t="str">
        <f>IF(B3990="","",IFERROR(INDEX('Cashier Roster'!$D$5:$D$64,MATCH(B3990,'Cashier Roster'!$B$5:$B$64,0)),""))</f>
        <v/>
      </c>
      <c r="E3990" s="13"/>
      <c r="F3990" s="14"/>
      <c r="G3990" s="8" t="str">
        <f>IF(OR(B3990="",E3990=""),"",IF(E3990="No","Missed",IF(F3990="","",IF(F3990&lt;=Settings!$B$7,"On time","Late"))))</f>
        <v/>
      </c>
      <c r="H3990" s="15"/>
      <c r="I3990" s="16"/>
      <c r="J3990" s="16"/>
      <c r="K3990" s="17" t="str">
        <f>IF(J3990="","",ROUND(J3990*Settings!$B$8,2))</f>
        <v/>
      </c>
      <c r="L3990" s="16"/>
      <c r="M3990" s="8" t="str">
        <f t="shared" si="62"/>
        <v/>
      </c>
      <c r="N3990" s="9"/>
    </row>
    <row r="3991" spans="1:14" ht="15.75">
      <c r="A3991" s="11"/>
      <c r="B3991" s="9"/>
      <c r="C3991" s="12" t="str">
        <f>IF(B3991="","",IFERROR(INDEX('Cashier Roster'!$C$5:$C$64,MATCH(B3991,'Cashier Roster'!$B$5:$B$64,0)),"Not on roster"))</f>
        <v/>
      </c>
      <c r="D3991" s="12" t="str">
        <f>IF(B3991="","",IFERROR(INDEX('Cashier Roster'!$D$5:$D$64,MATCH(B3991,'Cashier Roster'!$B$5:$B$64,0)),""))</f>
        <v/>
      </c>
      <c r="E3991" s="13"/>
      <c r="F3991" s="14"/>
      <c r="G3991" s="8" t="str">
        <f>IF(OR(B3991="",E3991=""),"",IF(E3991="No","Missed",IF(F3991="","",IF(F3991&lt;=Settings!$B$7,"On time","Late"))))</f>
        <v/>
      </c>
      <c r="H3991" s="15"/>
      <c r="I3991" s="16"/>
      <c r="J3991" s="16"/>
      <c r="K3991" s="17" t="str">
        <f>IF(J3991="","",ROUND(J3991*Settings!$B$8,2))</f>
        <v/>
      </c>
      <c r="L3991" s="16"/>
      <c r="M3991" s="8" t="str">
        <f t="shared" si="62"/>
        <v/>
      </c>
      <c r="N3991" s="9"/>
    </row>
    <row r="3992" spans="1:14" ht="15.75">
      <c r="A3992" s="11"/>
      <c r="B3992" s="9"/>
      <c r="C3992" s="12" t="str">
        <f>IF(B3992="","",IFERROR(INDEX('Cashier Roster'!$C$5:$C$64,MATCH(B3992,'Cashier Roster'!$B$5:$B$64,0)),"Not on roster"))</f>
        <v/>
      </c>
      <c r="D3992" s="12" t="str">
        <f>IF(B3992="","",IFERROR(INDEX('Cashier Roster'!$D$5:$D$64,MATCH(B3992,'Cashier Roster'!$B$5:$B$64,0)),""))</f>
        <v/>
      </c>
      <c r="E3992" s="13"/>
      <c r="F3992" s="14"/>
      <c r="G3992" s="8" t="str">
        <f>IF(OR(B3992="",E3992=""),"",IF(E3992="No","Missed",IF(F3992="","",IF(F3992&lt;=Settings!$B$7,"On time","Late"))))</f>
        <v/>
      </c>
      <c r="H3992" s="15"/>
      <c r="I3992" s="16"/>
      <c r="J3992" s="16"/>
      <c r="K3992" s="17" t="str">
        <f>IF(J3992="","",ROUND(J3992*Settings!$B$8,2))</f>
        <v/>
      </c>
      <c r="L3992" s="16"/>
      <c r="M3992" s="8" t="str">
        <f t="shared" si="62"/>
        <v/>
      </c>
      <c r="N3992" s="9"/>
    </row>
    <row r="3993" spans="1:14" ht="15.75">
      <c r="A3993" s="11"/>
      <c r="B3993" s="9"/>
      <c r="C3993" s="12" t="str">
        <f>IF(B3993="","",IFERROR(INDEX('Cashier Roster'!$C$5:$C$64,MATCH(B3993,'Cashier Roster'!$B$5:$B$64,0)),"Not on roster"))</f>
        <v/>
      </c>
      <c r="D3993" s="12" t="str">
        <f>IF(B3993="","",IFERROR(INDEX('Cashier Roster'!$D$5:$D$64,MATCH(B3993,'Cashier Roster'!$B$5:$B$64,0)),""))</f>
        <v/>
      </c>
      <c r="E3993" s="13"/>
      <c r="F3993" s="14"/>
      <c r="G3993" s="8" t="str">
        <f>IF(OR(B3993="",E3993=""),"",IF(E3993="No","Missed",IF(F3993="","",IF(F3993&lt;=Settings!$B$7,"On time","Late"))))</f>
        <v/>
      </c>
      <c r="H3993" s="15"/>
      <c r="I3993" s="16"/>
      <c r="J3993" s="16"/>
      <c r="K3993" s="17" t="str">
        <f>IF(J3993="","",ROUND(J3993*Settings!$B$8,2))</f>
        <v/>
      </c>
      <c r="L3993" s="16"/>
      <c r="M3993" s="8" t="str">
        <f t="shared" si="62"/>
        <v/>
      </c>
      <c r="N3993" s="9"/>
    </row>
    <row r="3994" spans="1:14" ht="15.75">
      <c r="A3994" s="11"/>
      <c r="B3994" s="9"/>
      <c r="C3994" s="12" t="str">
        <f>IF(B3994="","",IFERROR(INDEX('Cashier Roster'!$C$5:$C$64,MATCH(B3994,'Cashier Roster'!$B$5:$B$64,0)),"Not on roster"))</f>
        <v/>
      </c>
      <c r="D3994" s="12" t="str">
        <f>IF(B3994="","",IFERROR(INDEX('Cashier Roster'!$D$5:$D$64,MATCH(B3994,'Cashier Roster'!$B$5:$B$64,0)),""))</f>
        <v/>
      </c>
      <c r="E3994" s="13"/>
      <c r="F3994" s="14"/>
      <c r="G3994" s="8" t="str">
        <f>IF(OR(B3994="",E3994=""),"",IF(E3994="No","Missed",IF(F3994="","",IF(F3994&lt;=Settings!$B$7,"On time","Late"))))</f>
        <v/>
      </c>
      <c r="H3994" s="15"/>
      <c r="I3994" s="16"/>
      <c r="J3994" s="16"/>
      <c r="K3994" s="17" t="str">
        <f>IF(J3994="","",ROUND(J3994*Settings!$B$8,2))</f>
        <v/>
      </c>
      <c r="L3994" s="16"/>
      <c r="M3994" s="8" t="str">
        <f t="shared" si="62"/>
        <v/>
      </c>
      <c r="N3994" s="9"/>
    </row>
    <row r="3995" spans="1:14" ht="15.75">
      <c r="A3995" s="11"/>
      <c r="B3995" s="9"/>
      <c r="C3995" s="12" t="str">
        <f>IF(B3995="","",IFERROR(INDEX('Cashier Roster'!$C$5:$C$64,MATCH(B3995,'Cashier Roster'!$B$5:$B$64,0)),"Not on roster"))</f>
        <v/>
      </c>
      <c r="D3995" s="12" t="str">
        <f>IF(B3995="","",IFERROR(INDEX('Cashier Roster'!$D$5:$D$64,MATCH(B3995,'Cashier Roster'!$B$5:$B$64,0)),""))</f>
        <v/>
      </c>
      <c r="E3995" s="13"/>
      <c r="F3995" s="14"/>
      <c r="G3995" s="8" t="str">
        <f>IF(OR(B3995="",E3995=""),"",IF(E3995="No","Missed",IF(F3995="","",IF(F3995&lt;=Settings!$B$7,"On time","Late"))))</f>
        <v/>
      </c>
      <c r="H3995" s="15"/>
      <c r="I3995" s="16"/>
      <c r="J3995" s="16"/>
      <c r="K3995" s="17" t="str">
        <f>IF(J3995="","",ROUND(J3995*Settings!$B$8,2))</f>
        <v/>
      </c>
      <c r="L3995" s="16"/>
      <c r="M3995" s="8" t="str">
        <f t="shared" si="62"/>
        <v/>
      </c>
      <c r="N3995" s="9"/>
    </row>
    <row r="3996" spans="1:14" ht="15.75">
      <c r="A3996" s="11"/>
      <c r="B3996" s="9"/>
      <c r="C3996" s="12" t="str">
        <f>IF(B3996="","",IFERROR(INDEX('Cashier Roster'!$C$5:$C$64,MATCH(B3996,'Cashier Roster'!$B$5:$B$64,0)),"Not on roster"))</f>
        <v/>
      </c>
      <c r="D3996" s="12" t="str">
        <f>IF(B3996="","",IFERROR(INDEX('Cashier Roster'!$D$5:$D$64,MATCH(B3996,'Cashier Roster'!$B$5:$B$64,0)),""))</f>
        <v/>
      </c>
      <c r="E3996" s="13"/>
      <c r="F3996" s="14"/>
      <c r="G3996" s="8" t="str">
        <f>IF(OR(B3996="",E3996=""),"",IF(E3996="No","Missed",IF(F3996="","",IF(F3996&lt;=Settings!$B$7,"On time","Late"))))</f>
        <v/>
      </c>
      <c r="H3996" s="15"/>
      <c r="I3996" s="16"/>
      <c r="J3996" s="16"/>
      <c r="K3996" s="17" t="str">
        <f>IF(J3996="","",ROUND(J3996*Settings!$B$8,2))</f>
        <v/>
      </c>
      <c r="L3996" s="16"/>
      <c r="M3996" s="8" t="str">
        <f t="shared" si="62"/>
        <v/>
      </c>
      <c r="N3996" s="9"/>
    </row>
    <row r="3997" spans="1:14" ht="15.75">
      <c r="A3997" s="11"/>
      <c r="B3997" s="9"/>
      <c r="C3997" s="12" t="str">
        <f>IF(B3997="","",IFERROR(INDEX('Cashier Roster'!$C$5:$C$64,MATCH(B3997,'Cashier Roster'!$B$5:$B$64,0)),"Not on roster"))</f>
        <v/>
      </c>
      <c r="D3997" s="12" t="str">
        <f>IF(B3997="","",IFERROR(INDEX('Cashier Roster'!$D$5:$D$64,MATCH(B3997,'Cashier Roster'!$B$5:$B$64,0)),""))</f>
        <v/>
      </c>
      <c r="E3997" s="13"/>
      <c r="F3997" s="14"/>
      <c r="G3997" s="8" t="str">
        <f>IF(OR(B3997="",E3997=""),"",IF(E3997="No","Missed",IF(F3997="","",IF(F3997&lt;=Settings!$B$7,"On time","Late"))))</f>
        <v/>
      </c>
      <c r="H3997" s="15"/>
      <c r="I3997" s="16"/>
      <c r="J3997" s="16"/>
      <c r="K3997" s="17" t="str">
        <f>IF(J3997="","",ROUND(J3997*Settings!$B$8,2))</f>
        <v/>
      </c>
      <c r="L3997" s="16"/>
      <c r="M3997" s="8" t="str">
        <f t="shared" si="62"/>
        <v/>
      </c>
      <c r="N3997" s="9"/>
    </row>
    <row r="3998" spans="1:14" ht="15.75">
      <c r="A3998" s="11"/>
      <c r="B3998" s="9"/>
      <c r="C3998" s="12" t="str">
        <f>IF(B3998="","",IFERROR(INDEX('Cashier Roster'!$C$5:$C$64,MATCH(B3998,'Cashier Roster'!$B$5:$B$64,0)),"Not on roster"))</f>
        <v/>
      </c>
      <c r="D3998" s="12" t="str">
        <f>IF(B3998="","",IFERROR(INDEX('Cashier Roster'!$D$5:$D$64,MATCH(B3998,'Cashier Roster'!$B$5:$B$64,0)),""))</f>
        <v/>
      </c>
      <c r="E3998" s="13"/>
      <c r="F3998" s="14"/>
      <c r="G3998" s="8" t="str">
        <f>IF(OR(B3998="",E3998=""),"",IF(E3998="No","Missed",IF(F3998="","",IF(F3998&lt;=Settings!$B$7,"On time","Late"))))</f>
        <v/>
      </c>
      <c r="H3998" s="15"/>
      <c r="I3998" s="16"/>
      <c r="J3998" s="16"/>
      <c r="K3998" s="17" t="str">
        <f>IF(J3998="","",ROUND(J3998*Settings!$B$8,2))</f>
        <v/>
      </c>
      <c r="L3998" s="16"/>
      <c r="M3998" s="8" t="str">
        <f t="shared" si="62"/>
        <v/>
      </c>
      <c r="N3998" s="9"/>
    </row>
    <row r="3999" spans="1:14" ht="15.75">
      <c r="A3999" s="11"/>
      <c r="B3999" s="9"/>
      <c r="C3999" s="12" t="str">
        <f>IF(B3999="","",IFERROR(INDEX('Cashier Roster'!$C$5:$C$64,MATCH(B3999,'Cashier Roster'!$B$5:$B$64,0)),"Not on roster"))</f>
        <v/>
      </c>
      <c r="D3999" s="12" t="str">
        <f>IF(B3999="","",IFERROR(INDEX('Cashier Roster'!$D$5:$D$64,MATCH(B3999,'Cashier Roster'!$B$5:$B$64,0)),""))</f>
        <v/>
      </c>
      <c r="E3999" s="13"/>
      <c r="F3999" s="14"/>
      <c r="G3999" s="8" t="str">
        <f>IF(OR(B3999="",E3999=""),"",IF(E3999="No","Missed",IF(F3999="","",IF(F3999&lt;=Settings!$B$7,"On time","Late"))))</f>
        <v/>
      </c>
      <c r="H3999" s="15"/>
      <c r="I3999" s="16"/>
      <c r="J3999" s="16"/>
      <c r="K3999" s="17" t="str">
        <f>IF(J3999="","",ROUND(J3999*Settings!$B$8,2))</f>
        <v/>
      </c>
      <c r="L3999" s="16"/>
      <c r="M3999" s="8" t="str">
        <f t="shared" si="62"/>
        <v/>
      </c>
      <c r="N3999" s="9"/>
    </row>
    <row r="4000" spans="1:14" ht="15.75">
      <c r="A4000" s="11"/>
      <c r="B4000" s="9"/>
      <c r="C4000" s="12" t="str">
        <f>IF(B4000="","",IFERROR(INDEX('Cashier Roster'!$C$5:$C$64,MATCH(B4000,'Cashier Roster'!$B$5:$B$64,0)),"Not on roster"))</f>
        <v/>
      </c>
      <c r="D4000" s="12" t="str">
        <f>IF(B4000="","",IFERROR(INDEX('Cashier Roster'!$D$5:$D$64,MATCH(B4000,'Cashier Roster'!$B$5:$B$64,0)),""))</f>
        <v/>
      </c>
      <c r="E4000" s="13"/>
      <c r="F4000" s="14"/>
      <c r="G4000" s="8" t="str">
        <f>IF(OR(B4000="",E4000=""),"",IF(E4000="No","Missed",IF(F4000="","",IF(F4000&lt;=Settings!$B$7,"On time","Late"))))</f>
        <v/>
      </c>
      <c r="H4000" s="15"/>
      <c r="I4000" s="16"/>
      <c r="J4000" s="16"/>
      <c r="K4000" s="17" t="str">
        <f>IF(J4000="","",ROUND(J4000*Settings!$B$8,2))</f>
        <v/>
      </c>
      <c r="L4000" s="16"/>
      <c r="M4000" s="8" t="str">
        <f t="shared" si="62"/>
        <v/>
      </c>
      <c r="N4000" s="9"/>
    </row>
    <row r="4001" spans="1:14" ht="15.75">
      <c r="A4001" s="11"/>
      <c r="B4001" s="9"/>
      <c r="C4001" s="12" t="str">
        <f>IF(B4001="","",IFERROR(INDEX('Cashier Roster'!$C$5:$C$64,MATCH(B4001,'Cashier Roster'!$B$5:$B$64,0)),"Not on roster"))</f>
        <v/>
      </c>
      <c r="D4001" s="12" t="str">
        <f>IF(B4001="","",IFERROR(INDEX('Cashier Roster'!$D$5:$D$64,MATCH(B4001,'Cashier Roster'!$B$5:$B$64,0)),""))</f>
        <v/>
      </c>
      <c r="E4001" s="13"/>
      <c r="F4001" s="14"/>
      <c r="G4001" s="8" t="str">
        <f>IF(OR(B4001="",E4001=""),"",IF(E4001="No","Missed",IF(F4001="","",IF(F4001&lt;=Settings!$B$7,"On time","Late"))))</f>
        <v/>
      </c>
      <c r="H4001" s="15"/>
      <c r="I4001" s="16"/>
      <c r="J4001" s="16"/>
      <c r="K4001" s="17" t="str">
        <f>IF(J4001="","",ROUND(J4001*Settings!$B$8,2))</f>
        <v/>
      </c>
      <c r="L4001" s="16"/>
      <c r="M4001" s="8" t="str">
        <f t="shared" si="62"/>
        <v/>
      </c>
      <c r="N4001" s="9"/>
    </row>
    <row r="4002" spans="1:14" ht="15.75">
      <c r="A4002" s="11"/>
      <c r="B4002" s="9"/>
      <c r="C4002" s="12" t="str">
        <f>IF(B4002="","",IFERROR(INDEX('Cashier Roster'!$C$5:$C$64,MATCH(B4002,'Cashier Roster'!$B$5:$B$64,0)),"Not on roster"))</f>
        <v/>
      </c>
      <c r="D4002" s="12" t="str">
        <f>IF(B4002="","",IFERROR(INDEX('Cashier Roster'!$D$5:$D$64,MATCH(B4002,'Cashier Roster'!$B$5:$B$64,0)),""))</f>
        <v/>
      </c>
      <c r="E4002" s="13"/>
      <c r="F4002" s="14"/>
      <c r="G4002" s="8" t="str">
        <f>IF(OR(B4002="",E4002=""),"",IF(E4002="No","Missed",IF(F4002="","",IF(F4002&lt;=Settings!$B$7,"On time","Late"))))</f>
        <v/>
      </c>
      <c r="H4002" s="15"/>
      <c r="I4002" s="16"/>
      <c r="J4002" s="16"/>
      <c r="K4002" s="17" t="str">
        <f>IF(J4002="","",ROUND(J4002*Settings!$B$8,2))</f>
        <v/>
      </c>
      <c r="L4002" s="16"/>
      <c r="M4002" s="8" t="str">
        <f t="shared" si="62"/>
        <v/>
      </c>
      <c r="N4002" s="9"/>
    </row>
    <row r="4003" spans="1:14" ht="15.75">
      <c r="A4003" s="11"/>
      <c r="B4003" s="9"/>
      <c r="C4003" s="12" t="str">
        <f>IF(B4003="","",IFERROR(INDEX('Cashier Roster'!$C$5:$C$64,MATCH(B4003,'Cashier Roster'!$B$5:$B$64,0)),"Not on roster"))</f>
        <v/>
      </c>
      <c r="D4003" s="12" t="str">
        <f>IF(B4003="","",IFERROR(INDEX('Cashier Roster'!$D$5:$D$64,MATCH(B4003,'Cashier Roster'!$B$5:$B$64,0)),""))</f>
        <v/>
      </c>
      <c r="E4003" s="13"/>
      <c r="F4003" s="14"/>
      <c r="G4003" s="8" t="str">
        <f>IF(OR(B4003="",E4003=""),"",IF(E4003="No","Missed",IF(F4003="","",IF(F4003&lt;=Settings!$B$7,"On time","Late"))))</f>
        <v/>
      </c>
      <c r="H4003" s="15"/>
      <c r="I4003" s="16"/>
      <c r="J4003" s="16"/>
      <c r="K4003" s="17" t="str">
        <f>IF(J4003="","",ROUND(J4003*Settings!$B$8,2))</f>
        <v/>
      </c>
      <c r="L4003" s="16"/>
      <c r="M4003" s="8" t="str">
        <f t="shared" si="62"/>
        <v/>
      </c>
      <c r="N4003" s="9"/>
    </row>
    <row r="4004" spans="1:14" ht="15.75">
      <c r="A4004" s="11"/>
      <c r="B4004" s="9"/>
      <c r="C4004" s="12" t="str">
        <f>IF(B4004="","",IFERROR(INDEX('Cashier Roster'!$C$5:$C$64,MATCH(B4004,'Cashier Roster'!$B$5:$B$64,0)),"Not on roster"))</f>
        <v/>
      </c>
      <c r="D4004" s="12" t="str">
        <f>IF(B4004="","",IFERROR(INDEX('Cashier Roster'!$D$5:$D$64,MATCH(B4004,'Cashier Roster'!$B$5:$B$64,0)),""))</f>
        <v/>
      </c>
      <c r="E4004" s="13"/>
      <c r="F4004" s="14"/>
      <c r="G4004" s="8" t="str">
        <f>IF(OR(B4004="",E4004=""),"",IF(E4004="No","Missed",IF(F4004="","",IF(F4004&lt;=Settings!$B$7,"On time","Late"))))</f>
        <v/>
      </c>
      <c r="H4004" s="15"/>
      <c r="I4004" s="16"/>
      <c r="J4004" s="16"/>
      <c r="K4004" s="17" t="str">
        <f>IF(J4004="","",ROUND(J4004*Settings!$B$8,2))</f>
        <v/>
      </c>
      <c r="L4004" s="16"/>
      <c r="M4004" s="8" t="str">
        <f t="shared" si="62"/>
        <v/>
      </c>
      <c r="N4004" s="9"/>
    </row>
  </sheetData>
  <autoFilter ref="A4:N4004" xr:uid="{00000000-0009-0000-0000-000002000000}"/>
  <conditionalFormatting sqref="C5:C4004">
    <cfRule type="cellIs" dxfId="11" priority="7" operator="equal">
      <formula>"Not on roster"</formula>
    </cfRule>
  </conditionalFormatting>
  <conditionalFormatting sqref="G5:G4004">
    <cfRule type="cellIs" dxfId="10" priority="2" operator="equal">
      <formula>"On time"</formula>
    </cfRule>
    <cfRule type="cellIs" dxfId="9" priority="3" operator="equal">
      <formula>"Late"</formula>
    </cfRule>
    <cfRule type="cellIs" dxfId="8" priority="4" operator="equal">
      <formula>"Missed"</formula>
    </cfRule>
  </conditionalFormatting>
  <conditionalFormatting sqref="M5:M4004">
    <cfRule type="cellIs" dxfId="7" priority="5" operator="equal">
      <formula>"No"</formula>
    </cfRule>
    <cfRule type="cellIs" dxfId="6" priority="6" operator="equal">
      <formula>"Yes"</formula>
    </cfRule>
  </conditionalFormatting>
  <dataValidations count="5">
    <dataValidation type="list" allowBlank="1" sqref="E5:E4004" xr:uid="{00000000-0002-0000-0200-000001000000}">
      <formula1>"Yes,No"</formula1>
      <formula2>0</formula2>
    </dataValidation>
    <dataValidation type="time" allowBlank="1" error="Enter a time, e.g. 17:45" sqref="F5:F4004" xr:uid="{00000000-0002-0000-0200-000002000000}">
      <formula1>0</formula1>
      <formula2>0.999988</formula2>
    </dataValidation>
    <dataValidation type="date" operator="greaterThan" allowBlank="1" error="Enter a date, e.g. 20/10/2026" sqref="A5:A4004" xr:uid="{00000000-0002-0000-0200-000003000000}">
      <formula1>45658</formula1>
      <formula2>0</formula2>
    </dataValidation>
    <dataValidation type="decimal" operator="greaterThanOrEqual" allowBlank="1" error="Enter an amount (numbers only)." sqref="H5:I4004" xr:uid="{00000000-0002-0000-0200-000004000000}">
      <formula1>0</formula1>
      <formula2>0</formula2>
    </dataValidation>
    <dataValidation type="custom" allowBlank="1" error="NKCG amount cannot be more than the total collected." sqref="J5:J4004" xr:uid="{00000000-0002-0000-0200-000005000000}">
      <formula1>OR(J5="",J5&lt;=I5)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Pick a cashier from the roster (add new cashiers on the Cashier Roster tab)." xr:uid="{00000000-0002-0000-0200-000000000000}">
          <x14:formula1>
            <xm:f>'Cashier Roster'!$B$5:$B$64</xm:f>
          </x14:formula1>
          <x14:formula2>
            <xm:f>0</xm:f>
          </x14:formula2>
          <xm:sqref>B5:B4004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7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28" customWidth="1"/>
    <col min="2" max="2" width="11" customWidth="1"/>
    <col min="3" max="3" width="18" customWidth="1"/>
    <col min="4" max="4" width="11" customWidth="1"/>
    <col min="5" max="5" width="9" customWidth="1"/>
    <col min="6" max="6" width="10" customWidth="1"/>
    <col min="7" max="7" width="8" customWidth="1"/>
    <col min="8" max="8" width="10" customWidth="1"/>
    <col min="9" max="9" width="12" customWidth="1"/>
    <col min="10" max="10" width="16" customWidth="1"/>
    <col min="11" max="11" width="15" customWidth="1"/>
    <col min="12" max="12" width="13" customWidth="1"/>
    <col min="13" max="13" width="10" customWidth="1"/>
    <col min="14" max="14" width="12" customWidth="1"/>
    <col min="15" max="15" width="7" customWidth="1"/>
  </cols>
  <sheetData>
    <row r="1" spans="1:15" ht="20.25">
      <c r="A1" s="5" t="s">
        <v>130</v>
      </c>
    </row>
    <row r="2" spans="1:15" ht="15.75">
      <c r="A2" s="6" t="s">
        <v>131</v>
      </c>
    </row>
    <row r="3" spans="1:15">
      <c r="A3" s="19" t="str">
        <f>" Period: "&amp;TEXT(Settings!$B$5,"dd/mm/yyyy")&amp;" to "&amp;TEXT(Settings!$B$6,"dd/mm/yyyy")</f>
        <v xml:space="preserve"> Period: 01/10/2026 to 31/10/2026</v>
      </c>
    </row>
    <row r="5" spans="1:15" ht="36" customHeight="1">
      <c r="A5" s="7" t="s">
        <v>23</v>
      </c>
      <c r="B5" s="7" t="s">
        <v>24</v>
      </c>
      <c r="C5" s="7" t="s">
        <v>25</v>
      </c>
      <c r="D5" s="7" t="s">
        <v>132</v>
      </c>
      <c r="E5" s="7" t="s">
        <v>133</v>
      </c>
      <c r="F5" s="7" t="s">
        <v>134</v>
      </c>
      <c r="G5" s="7" t="s">
        <v>135</v>
      </c>
      <c r="H5" s="7" t="s">
        <v>136</v>
      </c>
      <c r="I5" s="7" t="s">
        <v>137</v>
      </c>
      <c r="J5" s="7" t="s">
        <v>123</v>
      </c>
      <c r="K5" s="7" t="s">
        <v>138</v>
      </c>
      <c r="L5" s="7" t="s">
        <v>139</v>
      </c>
      <c r="M5" s="7" t="s">
        <v>140</v>
      </c>
      <c r="N5" s="7" t="s">
        <v>141</v>
      </c>
      <c r="O5" s="7" t="s">
        <v>142</v>
      </c>
    </row>
    <row r="6" spans="1:15" ht="15.75">
      <c r="A6" s="12" t="str">
        <f>IF('Cashier Roster'!B5="","",'Cashier Roster'!B5)</f>
        <v>Augustine Oyathelemhi</v>
      </c>
      <c r="B6" s="12" t="str">
        <f>IF(A6="","",'Cashier Roster'!C5)</f>
        <v>Agbara</v>
      </c>
      <c r="C6" s="12" t="str">
        <f>IF(A6="","",'Cashier Roster'!D5)</f>
        <v>District cashier</v>
      </c>
      <c r="D6" s="12" t="str">
        <f>IF(A6="","",'Cashier Roster'!H5)</f>
        <v>Active</v>
      </c>
      <c r="E6" s="8">
        <f>IF(A6="","",COUNTIFS('Daily Log'!$B$5:$B$4004,A6,'Daily Log'!$A$5:$A$4004,"&gt;="&amp;Settings!$B$5,'Daily Log'!$A$5:$A$4004,"&lt;="&amp;Settings!$B$6))</f>
        <v>1</v>
      </c>
      <c r="F6" s="8">
        <f>IF(A6="","",COUNTIFS('Daily Log'!$B$5:$B$4004,A6,'Daily Log'!$A$5:$A$4004,"&gt;="&amp;Settings!$B$5,'Daily Log'!$A$5:$A$4004,"&lt;="&amp;Settings!$B$6,'Daily Log'!$E$5:$E$4004,"Yes"))</f>
        <v>0</v>
      </c>
      <c r="G6" s="8">
        <f>IF(A6="","",COUNTIFS('Daily Log'!$B$5:$B$4004,A6,'Daily Log'!$A$5:$A$4004,"&gt;="&amp;Settings!$B$5,'Daily Log'!$A$5:$A$4004,"&lt;="&amp;Settings!$B$6,'Daily Log'!$G$5:$G$4004,"On time"))</f>
        <v>0</v>
      </c>
      <c r="H6" s="20">
        <f t="shared" ref="H6:H37" si="0">IF(OR(A6="",E6=0),"",G6/E6)</f>
        <v>0</v>
      </c>
      <c r="I6" s="21">
        <f>IF(A6="","",SUMIFS('Daily Log'!$H$5:$H$4004,'Daily Log'!$B$5:$B$4004,A6,'Daily Log'!$A$5:$A$4004,"&gt;="&amp;Settings!$B$5,'Daily Log'!$A$5:$A$4004,"&lt;="&amp;Settings!$B$6,'Daily Log'!$E$5:$E$4004,"Yes"))</f>
        <v>0</v>
      </c>
      <c r="J6" s="17">
        <f>IF(A6="","",SUMIFS('Daily Log'!$I$5:$I$4004,'Daily Log'!$B$5:$B$4004,A6,'Daily Log'!$A$5:$A$4004,"&gt;="&amp;Settings!$B$5,'Daily Log'!$A$5:$A$4004,"&lt;="&amp;Settings!$B$6,'Daily Log'!$E$5:$E$4004,"Yes"))</f>
        <v>0</v>
      </c>
      <c r="K6" s="17">
        <f>IF(A6="","",SUMIFS('Daily Log'!$J$5:$J$4004,'Daily Log'!$B$5:$B$4004,A6,'Daily Log'!$A$5:$A$4004,"&gt;="&amp;Settings!$B$5,'Daily Log'!$A$5:$A$4004,"&lt;="&amp;Settings!$B$6,'Daily Log'!$E$5:$E$4004,"Yes"))</f>
        <v>0</v>
      </c>
      <c r="L6" s="17">
        <f>IF(A6="","",SUMIFS('Daily Log'!$K$5:$K$4004,'Daily Log'!$B$5:$B$4004,A6,'Daily Log'!$A$5:$A$4004,"&gt;="&amp;Settings!$B$5,'Daily Log'!$A$5:$A$4004,"&lt;="&amp;Settings!$B$6,'Daily Log'!$E$5:$E$4004,"Yes"))</f>
        <v>0</v>
      </c>
      <c r="M6" s="8">
        <f>IF(A6="","",COUNTIFS('Daily Log'!$B$5:$B$4004,A6,'Daily Log'!$A$5:$A$4004,"&gt;="&amp;Settings!$B$5,'Daily Log'!$A$5:$A$4004,"&lt;="&amp;Settings!$B$6,'Daily Log'!$M$5:$M$4004,"Yes"))</f>
        <v>0</v>
      </c>
      <c r="N6" s="20">
        <f t="shared" ref="N6:N37" si="1">IF(OR(A6="",E6=0),"",M6/E6)</f>
        <v>0</v>
      </c>
      <c r="O6" s="8" t="str">
        <f t="shared" ref="O6:O37" si="2">IF(OR(A6="",N(J6)=0),"",COUNTIF($J$6:$J$65,"&gt;"&amp;J6)+1)</f>
        <v/>
      </c>
    </row>
    <row r="7" spans="1:15" ht="15.75">
      <c r="A7" s="12" t="str">
        <f>IF('Cashier Roster'!B6="","",'Cashier Roster'!B6)</f>
        <v>Otun Fausat</v>
      </c>
      <c r="B7" s="12" t="str">
        <f>IF(A7="","",'Cashier Roster'!C6)</f>
        <v>Agbara</v>
      </c>
      <c r="C7" s="12" t="str">
        <f>IF(A7="","",'Cashier Roster'!D6)</f>
        <v>Zone cashier (new)</v>
      </c>
      <c r="D7" s="12" t="str">
        <f>IF(A7="","",'Cashier Roster'!H6)</f>
        <v>Active</v>
      </c>
      <c r="E7" s="8">
        <f>IF(A7="","",COUNTIFS('Daily Log'!$B$5:$B$4004,A7,'Daily Log'!$A$5:$A$4004,"&gt;="&amp;Settings!$B$5,'Daily Log'!$A$5:$A$4004,"&lt;="&amp;Settings!$B$6))</f>
        <v>1</v>
      </c>
      <c r="F7" s="8">
        <f>IF(A7="","",COUNTIFS('Daily Log'!$B$5:$B$4004,A7,'Daily Log'!$A$5:$A$4004,"&gt;="&amp;Settings!$B$5,'Daily Log'!$A$5:$A$4004,"&lt;="&amp;Settings!$B$6,'Daily Log'!$E$5:$E$4004,"Yes"))</f>
        <v>0</v>
      </c>
      <c r="G7" s="8">
        <f>IF(A7="","",COUNTIFS('Daily Log'!$B$5:$B$4004,A7,'Daily Log'!$A$5:$A$4004,"&gt;="&amp;Settings!$B$5,'Daily Log'!$A$5:$A$4004,"&lt;="&amp;Settings!$B$6,'Daily Log'!$G$5:$G$4004,"On time"))</f>
        <v>0</v>
      </c>
      <c r="H7" s="20">
        <f t="shared" si="0"/>
        <v>0</v>
      </c>
      <c r="I7" s="21">
        <f>IF(A7="","",SUMIFS('Daily Log'!$H$5:$H$4004,'Daily Log'!$B$5:$B$4004,A7,'Daily Log'!$A$5:$A$4004,"&gt;="&amp;Settings!$B$5,'Daily Log'!$A$5:$A$4004,"&lt;="&amp;Settings!$B$6,'Daily Log'!$E$5:$E$4004,"Yes"))</f>
        <v>0</v>
      </c>
      <c r="J7" s="17">
        <f>IF(A7="","",SUMIFS('Daily Log'!$I$5:$I$4004,'Daily Log'!$B$5:$B$4004,A7,'Daily Log'!$A$5:$A$4004,"&gt;="&amp;Settings!$B$5,'Daily Log'!$A$5:$A$4004,"&lt;="&amp;Settings!$B$6,'Daily Log'!$E$5:$E$4004,"Yes"))</f>
        <v>0</v>
      </c>
      <c r="K7" s="17">
        <f>IF(A7="","",SUMIFS('Daily Log'!$J$5:$J$4004,'Daily Log'!$B$5:$B$4004,A7,'Daily Log'!$A$5:$A$4004,"&gt;="&amp;Settings!$B$5,'Daily Log'!$A$5:$A$4004,"&lt;="&amp;Settings!$B$6,'Daily Log'!$E$5:$E$4004,"Yes"))</f>
        <v>0</v>
      </c>
      <c r="L7" s="17">
        <f>IF(A7="","",SUMIFS('Daily Log'!$K$5:$K$4004,'Daily Log'!$B$5:$B$4004,A7,'Daily Log'!$A$5:$A$4004,"&gt;="&amp;Settings!$B$5,'Daily Log'!$A$5:$A$4004,"&lt;="&amp;Settings!$B$6,'Daily Log'!$E$5:$E$4004,"Yes"))</f>
        <v>0</v>
      </c>
      <c r="M7" s="8">
        <f>IF(A7="","",COUNTIFS('Daily Log'!$B$5:$B$4004,A7,'Daily Log'!$A$5:$A$4004,"&gt;="&amp;Settings!$B$5,'Daily Log'!$A$5:$A$4004,"&lt;="&amp;Settings!$B$6,'Daily Log'!$M$5:$M$4004,"Yes"))</f>
        <v>0</v>
      </c>
      <c r="N7" s="20">
        <f t="shared" si="1"/>
        <v>0</v>
      </c>
      <c r="O7" s="8" t="str">
        <f t="shared" si="2"/>
        <v/>
      </c>
    </row>
    <row r="8" spans="1:15" ht="15.75">
      <c r="A8" s="12" t="str">
        <f>IF('Cashier Roster'!B7="","",'Cashier Roster'!B7)</f>
        <v>Taiwo Noimot</v>
      </c>
      <c r="B8" s="12" t="str">
        <f>IF(A8="","",'Cashier Roster'!C7)</f>
        <v>Ajah</v>
      </c>
      <c r="C8" s="12" t="str">
        <f>IF(A8="","",'Cashier Roster'!D7)</f>
        <v>District cashier</v>
      </c>
      <c r="D8" s="12" t="str">
        <f>IF(A8="","",'Cashier Roster'!H7)</f>
        <v>Active</v>
      </c>
      <c r="E8" s="8">
        <f>IF(A8="","",COUNTIFS('Daily Log'!$B$5:$B$4004,A8,'Daily Log'!$A$5:$A$4004,"&gt;="&amp;Settings!$B$5,'Daily Log'!$A$5:$A$4004,"&lt;="&amp;Settings!$B$6))</f>
        <v>1</v>
      </c>
      <c r="F8" s="8">
        <f>IF(A8="","",COUNTIFS('Daily Log'!$B$5:$B$4004,A8,'Daily Log'!$A$5:$A$4004,"&gt;="&amp;Settings!$B$5,'Daily Log'!$A$5:$A$4004,"&lt;="&amp;Settings!$B$6,'Daily Log'!$E$5:$E$4004,"Yes"))</f>
        <v>0</v>
      </c>
      <c r="G8" s="8">
        <f>IF(A8="","",COUNTIFS('Daily Log'!$B$5:$B$4004,A8,'Daily Log'!$A$5:$A$4004,"&gt;="&amp;Settings!$B$5,'Daily Log'!$A$5:$A$4004,"&lt;="&amp;Settings!$B$6,'Daily Log'!$G$5:$G$4004,"On time"))</f>
        <v>0</v>
      </c>
      <c r="H8" s="20">
        <f t="shared" si="0"/>
        <v>0</v>
      </c>
      <c r="I8" s="21">
        <f>IF(A8="","",SUMIFS('Daily Log'!$H$5:$H$4004,'Daily Log'!$B$5:$B$4004,A8,'Daily Log'!$A$5:$A$4004,"&gt;="&amp;Settings!$B$5,'Daily Log'!$A$5:$A$4004,"&lt;="&amp;Settings!$B$6,'Daily Log'!$E$5:$E$4004,"Yes"))</f>
        <v>0</v>
      </c>
      <c r="J8" s="17">
        <f>IF(A8="","",SUMIFS('Daily Log'!$I$5:$I$4004,'Daily Log'!$B$5:$B$4004,A8,'Daily Log'!$A$5:$A$4004,"&gt;="&amp;Settings!$B$5,'Daily Log'!$A$5:$A$4004,"&lt;="&amp;Settings!$B$6,'Daily Log'!$E$5:$E$4004,"Yes"))</f>
        <v>0</v>
      </c>
      <c r="K8" s="17">
        <f>IF(A8="","",SUMIFS('Daily Log'!$J$5:$J$4004,'Daily Log'!$B$5:$B$4004,A8,'Daily Log'!$A$5:$A$4004,"&gt;="&amp;Settings!$B$5,'Daily Log'!$A$5:$A$4004,"&lt;="&amp;Settings!$B$6,'Daily Log'!$E$5:$E$4004,"Yes"))</f>
        <v>0</v>
      </c>
      <c r="L8" s="17">
        <f>IF(A8="","",SUMIFS('Daily Log'!$K$5:$K$4004,'Daily Log'!$B$5:$B$4004,A8,'Daily Log'!$A$5:$A$4004,"&gt;="&amp;Settings!$B$5,'Daily Log'!$A$5:$A$4004,"&lt;="&amp;Settings!$B$6,'Daily Log'!$E$5:$E$4004,"Yes"))</f>
        <v>0</v>
      </c>
      <c r="M8" s="8">
        <f>IF(A8="","",COUNTIFS('Daily Log'!$B$5:$B$4004,A8,'Daily Log'!$A$5:$A$4004,"&gt;="&amp;Settings!$B$5,'Daily Log'!$A$5:$A$4004,"&lt;="&amp;Settings!$B$6,'Daily Log'!$M$5:$M$4004,"Yes"))</f>
        <v>0</v>
      </c>
      <c r="N8" s="20">
        <f t="shared" si="1"/>
        <v>0</v>
      </c>
      <c r="O8" s="8" t="str">
        <f t="shared" si="2"/>
        <v/>
      </c>
    </row>
    <row r="9" spans="1:15" ht="15.75">
      <c r="A9" s="12" t="str">
        <f>IF('Cashier Roster'!B8="","",'Cashier Roster'!B8)</f>
        <v>Taiwo Akintoye</v>
      </c>
      <c r="B9" s="12" t="str">
        <f>IF(A9="","",'Cashier Roster'!C8)</f>
        <v>Ajele</v>
      </c>
      <c r="C9" s="12" t="str">
        <f>IF(A9="","",'Cashier Roster'!D8)</f>
        <v>District cashier</v>
      </c>
      <c r="D9" s="12" t="str">
        <f>IF(A9="","",'Cashier Roster'!H8)</f>
        <v>Active</v>
      </c>
      <c r="E9" s="8">
        <f>IF(A9="","",COUNTIFS('Daily Log'!$B$5:$B$4004,A9,'Daily Log'!$A$5:$A$4004,"&gt;="&amp;Settings!$B$5,'Daily Log'!$A$5:$A$4004,"&lt;="&amp;Settings!$B$6))</f>
        <v>1</v>
      </c>
      <c r="F9" s="8">
        <f>IF(A9="","",COUNTIFS('Daily Log'!$B$5:$B$4004,A9,'Daily Log'!$A$5:$A$4004,"&gt;="&amp;Settings!$B$5,'Daily Log'!$A$5:$A$4004,"&lt;="&amp;Settings!$B$6,'Daily Log'!$E$5:$E$4004,"Yes"))</f>
        <v>0</v>
      </c>
      <c r="G9" s="8">
        <f>IF(A9="","",COUNTIFS('Daily Log'!$B$5:$B$4004,A9,'Daily Log'!$A$5:$A$4004,"&gt;="&amp;Settings!$B$5,'Daily Log'!$A$5:$A$4004,"&lt;="&amp;Settings!$B$6,'Daily Log'!$G$5:$G$4004,"On time"))</f>
        <v>0</v>
      </c>
      <c r="H9" s="20">
        <f t="shared" si="0"/>
        <v>0</v>
      </c>
      <c r="I9" s="21">
        <f>IF(A9="","",SUMIFS('Daily Log'!$H$5:$H$4004,'Daily Log'!$B$5:$B$4004,A9,'Daily Log'!$A$5:$A$4004,"&gt;="&amp;Settings!$B$5,'Daily Log'!$A$5:$A$4004,"&lt;="&amp;Settings!$B$6,'Daily Log'!$E$5:$E$4004,"Yes"))</f>
        <v>0</v>
      </c>
      <c r="J9" s="17">
        <f>IF(A9="","",SUMIFS('Daily Log'!$I$5:$I$4004,'Daily Log'!$B$5:$B$4004,A9,'Daily Log'!$A$5:$A$4004,"&gt;="&amp;Settings!$B$5,'Daily Log'!$A$5:$A$4004,"&lt;="&amp;Settings!$B$6,'Daily Log'!$E$5:$E$4004,"Yes"))</f>
        <v>0</v>
      </c>
      <c r="K9" s="17">
        <f>IF(A9="","",SUMIFS('Daily Log'!$J$5:$J$4004,'Daily Log'!$B$5:$B$4004,A9,'Daily Log'!$A$5:$A$4004,"&gt;="&amp;Settings!$B$5,'Daily Log'!$A$5:$A$4004,"&lt;="&amp;Settings!$B$6,'Daily Log'!$E$5:$E$4004,"Yes"))</f>
        <v>0</v>
      </c>
      <c r="L9" s="17">
        <f>IF(A9="","",SUMIFS('Daily Log'!$K$5:$K$4004,'Daily Log'!$B$5:$B$4004,A9,'Daily Log'!$A$5:$A$4004,"&gt;="&amp;Settings!$B$5,'Daily Log'!$A$5:$A$4004,"&lt;="&amp;Settings!$B$6,'Daily Log'!$E$5:$E$4004,"Yes"))</f>
        <v>0</v>
      </c>
      <c r="M9" s="8">
        <f>IF(A9="","",COUNTIFS('Daily Log'!$B$5:$B$4004,A9,'Daily Log'!$A$5:$A$4004,"&gt;="&amp;Settings!$B$5,'Daily Log'!$A$5:$A$4004,"&lt;="&amp;Settings!$B$6,'Daily Log'!$M$5:$M$4004,"Yes"))</f>
        <v>0</v>
      </c>
      <c r="N9" s="20">
        <f t="shared" si="1"/>
        <v>0</v>
      </c>
      <c r="O9" s="8" t="str">
        <f t="shared" si="2"/>
        <v/>
      </c>
    </row>
    <row r="10" spans="1:15" ht="15.75">
      <c r="A10" s="12" t="str">
        <f>IF('Cashier Roster'!B9="","",'Cashier Roster'!B9)</f>
        <v>Mary Agbim</v>
      </c>
      <c r="B10" s="12" t="str">
        <f>IF(A10="","",'Cashier Roster'!C9)</f>
        <v>Ajele</v>
      </c>
      <c r="C10" s="12" t="str">
        <f>IF(A10="","",'Cashier Roster'!D9)</f>
        <v>Zone cashier (new)</v>
      </c>
      <c r="D10" s="12" t="str">
        <f>IF(A10="","",'Cashier Roster'!H9)</f>
        <v>Active</v>
      </c>
      <c r="E10" s="8">
        <f>IF(A10="","",COUNTIFS('Daily Log'!$B$5:$B$4004,A10,'Daily Log'!$A$5:$A$4004,"&gt;="&amp;Settings!$B$5,'Daily Log'!$A$5:$A$4004,"&lt;="&amp;Settings!$B$6))</f>
        <v>1</v>
      </c>
      <c r="F10" s="8">
        <f>IF(A10="","",COUNTIFS('Daily Log'!$B$5:$B$4004,A10,'Daily Log'!$A$5:$A$4004,"&gt;="&amp;Settings!$B$5,'Daily Log'!$A$5:$A$4004,"&lt;="&amp;Settings!$B$6,'Daily Log'!$E$5:$E$4004,"Yes"))</f>
        <v>0</v>
      </c>
      <c r="G10" s="8">
        <f>IF(A10="","",COUNTIFS('Daily Log'!$B$5:$B$4004,A10,'Daily Log'!$A$5:$A$4004,"&gt;="&amp;Settings!$B$5,'Daily Log'!$A$5:$A$4004,"&lt;="&amp;Settings!$B$6,'Daily Log'!$G$5:$G$4004,"On time"))</f>
        <v>0</v>
      </c>
      <c r="H10" s="20">
        <f t="shared" si="0"/>
        <v>0</v>
      </c>
      <c r="I10" s="21">
        <f>IF(A10="","",SUMIFS('Daily Log'!$H$5:$H$4004,'Daily Log'!$B$5:$B$4004,A10,'Daily Log'!$A$5:$A$4004,"&gt;="&amp;Settings!$B$5,'Daily Log'!$A$5:$A$4004,"&lt;="&amp;Settings!$B$6,'Daily Log'!$E$5:$E$4004,"Yes"))</f>
        <v>0</v>
      </c>
      <c r="J10" s="17">
        <f>IF(A10="","",SUMIFS('Daily Log'!$I$5:$I$4004,'Daily Log'!$B$5:$B$4004,A10,'Daily Log'!$A$5:$A$4004,"&gt;="&amp;Settings!$B$5,'Daily Log'!$A$5:$A$4004,"&lt;="&amp;Settings!$B$6,'Daily Log'!$E$5:$E$4004,"Yes"))</f>
        <v>0</v>
      </c>
      <c r="K10" s="17">
        <f>IF(A10="","",SUMIFS('Daily Log'!$J$5:$J$4004,'Daily Log'!$B$5:$B$4004,A10,'Daily Log'!$A$5:$A$4004,"&gt;="&amp;Settings!$B$5,'Daily Log'!$A$5:$A$4004,"&lt;="&amp;Settings!$B$6,'Daily Log'!$E$5:$E$4004,"Yes"))</f>
        <v>0</v>
      </c>
      <c r="L10" s="17">
        <f>IF(A10="","",SUMIFS('Daily Log'!$K$5:$K$4004,'Daily Log'!$B$5:$B$4004,A10,'Daily Log'!$A$5:$A$4004,"&gt;="&amp;Settings!$B$5,'Daily Log'!$A$5:$A$4004,"&lt;="&amp;Settings!$B$6,'Daily Log'!$E$5:$E$4004,"Yes"))</f>
        <v>0</v>
      </c>
      <c r="M10" s="8">
        <f>IF(A10="","",COUNTIFS('Daily Log'!$B$5:$B$4004,A10,'Daily Log'!$A$5:$A$4004,"&gt;="&amp;Settings!$B$5,'Daily Log'!$A$5:$A$4004,"&lt;="&amp;Settings!$B$6,'Daily Log'!$M$5:$M$4004,"Yes"))</f>
        <v>0</v>
      </c>
      <c r="N10" s="20">
        <f t="shared" si="1"/>
        <v>0</v>
      </c>
      <c r="O10" s="8" t="str">
        <f t="shared" si="2"/>
        <v/>
      </c>
    </row>
    <row r="11" spans="1:15" ht="15.75">
      <c r="A11" s="12" t="str">
        <f>IF('Cashier Roster'!B10="","",'Cashier Roster'!B10)</f>
        <v>Ojulari Waheed</v>
      </c>
      <c r="B11" s="12" t="str">
        <f>IF(A11="","",'Cashier Roster'!C10)</f>
        <v>Apapa</v>
      </c>
      <c r="C11" s="12" t="str">
        <f>IF(A11="","",'Cashier Roster'!D10)</f>
        <v>District cashier</v>
      </c>
      <c r="D11" s="12" t="str">
        <f>IF(A11="","",'Cashier Roster'!H10)</f>
        <v>Active</v>
      </c>
      <c r="E11" s="8">
        <f>IF(A11="","",COUNTIFS('Daily Log'!$B$5:$B$4004,A11,'Daily Log'!$A$5:$A$4004,"&gt;="&amp;Settings!$B$5,'Daily Log'!$A$5:$A$4004,"&lt;="&amp;Settings!$B$6))</f>
        <v>1</v>
      </c>
      <c r="F11" s="8">
        <f>IF(A11="","",COUNTIFS('Daily Log'!$B$5:$B$4004,A11,'Daily Log'!$A$5:$A$4004,"&gt;="&amp;Settings!$B$5,'Daily Log'!$A$5:$A$4004,"&lt;="&amp;Settings!$B$6,'Daily Log'!$E$5:$E$4004,"Yes"))</f>
        <v>0</v>
      </c>
      <c r="G11" s="8">
        <f>IF(A11="","",COUNTIFS('Daily Log'!$B$5:$B$4004,A11,'Daily Log'!$A$5:$A$4004,"&gt;="&amp;Settings!$B$5,'Daily Log'!$A$5:$A$4004,"&lt;="&amp;Settings!$B$6,'Daily Log'!$G$5:$G$4004,"On time"))</f>
        <v>0</v>
      </c>
      <c r="H11" s="20">
        <f t="shared" si="0"/>
        <v>0</v>
      </c>
      <c r="I11" s="21">
        <f>IF(A11="","",SUMIFS('Daily Log'!$H$5:$H$4004,'Daily Log'!$B$5:$B$4004,A11,'Daily Log'!$A$5:$A$4004,"&gt;="&amp;Settings!$B$5,'Daily Log'!$A$5:$A$4004,"&lt;="&amp;Settings!$B$6,'Daily Log'!$E$5:$E$4004,"Yes"))</f>
        <v>0</v>
      </c>
      <c r="J11" s="17">
        <f>IF(A11="","",SUMIFS('Daily Log'!$I$5:$I$4004,'Daily Log'!$B$5:$B$4004,A11,'Daily Log'!$A$5:$A$4004,"&gt;="&amp;Settings!$B$5,'Daily Log'!$A$5:$A$4004,"&lt;="&amp;Settings!$B$6,'Daily Log'!$E$5:$E$4004,"Yes"))</f>
        <v>0</v>
      </c>
      <c r="K11" s="17">
        <f>IF(A11="","",SUMIFS('Daily Log'!$J$5:$J$4004,'Daily Log'!$B$5:$B$4004,A11,'Daily Log'!$A$5:$A$4004,"&gt;="&amp;Settings!$B$5,'Daily Log'!$A$5:$A$4004,"&lt;="&amp;Settings!$B$6,'Daily Log'!$E$5:$E$4004,"Yes"))</f>
        <v>0</v>
      </c>
      <c r="L11" s="17">
        <f>IF(A11="","",SUMIFS('Daily Log'!$K$5:$K$4004,'Daily Log'!$B$5:$B$4004,A11,'Daily Log'!$A$5:$A$4004,"&gt;="&amp;Settings!$B$5,'Daily Log'!$A$5:$A$4004,"&lt;="&amp;Settings!$B$6,'Daily Log'!$E$5:$E$4004,"Yes"))</f>
        <v>0</v>
      </c>
      <c r="M11" s="8">
        <f>IF(A11="","",COUNTIFS('Daily Log'!$B$5:$B$4004,A11,'Daily Log'!$A$5:$A$4004,"&gt;="&amp;Settings!$B$5,'Daily Log'!$A$5:$A$4004,"&lt;="&amp;Settings!$B$6,'Daily Log'!$M$5:$M$4004,"Yes"))</f>
        <v>0</v>
      </c>
      <c r="N11" s="20">
        <f t="shared" si="1"/>
        <v>0</v>
      </c>
      <c r="O11" s="8" t="str">
        <f t="shared" si="2"/>
        <v/>
      </c>
    </row>
    <row r="12" spans="1:15" ht="15.75">
      <c r="A12" s="12" t="str">
        <f>IF('Cashier Roster'!B11="","",'Cashier Roster'!B11)</f>
        <v>Ikudehinbo Oluwatosin</v>
      </c>
      <c r="B12" s="12" t="str">
        <f>IF(A12="","",'Cashier Roster'!C11)</f>
        <v>Apapa</v>
      </c>
      <c r="C12" s="12" t="str">
        <f>IF(A12="","",'Cashier Roster'!D11)</f>
        <v>Zone cashier (new)</v>
      </c>
      <c r="D12" s="12" t="str">
        <f>IF(A12="","",'Cashier Roster'!H11)</f>
        <v>Active</v>
      </c>
      <c r="E12" s="8">
        <f>IF(A12="","",COUNTIFS('Daily Log'!$B$5:$B$4004,A12,'Daily Log'!$A$5:$A$4004,"&gt;="&amp;Settings!$B$5,'Daily Log'!$A$5:$A$4004,"&lt;="&amp;Settings!$B$6))</f>
        <v>1</v>
      </c>
      <c r="F12" s="8">
        <f>IF(A12="","",COUNTIFS('Daily Log'!$B$5:$B$4004,A12,'Daily Log'!$A$5:$A$4004,"&gt;="&amp;Settings!$B$5,'Daily Log'!$A$5:$A$4004,"&lt;="&amp;Settings!$B$6,'Daily Log'!$E$5:$E$4004,"Yes"))</f>
        <v>0</v>
      </c>
      <c r="G12" s="8">
        <f>IF(A12="","",COUNTIFS('Daily Log'!$B$5:$B$4004,A12,'Daily Log'!$A$5:$A$4004,"&gt;="&amp;Settings!$B$5,'Daily Log'!$A$5:$A$4004,"&lt;="&amp;Settings!$B$6,'Daily Log'!$G$5:$G$4004,"On time"))</f>
        <v>0</v>
      </c>
      <c r="H12" s="20">
        <f t="shared" si="0"/>
        <v>0</v>
      </c>
      <c r="I12" s="21">
        <f>IF(A12="","",SUMIFS('Daily Log'!$H$5:$H$4004,'Daily Log'!$B$5:$B$4004,A12,'Daily Log'!$A$5:$A$4004,"&gt;="&amp;Settings!$B$5,'Daily Log'!$A$5:$A$4004,"&lt;="&amp;Settings!$B$6,'Daily Log'!$E$5:$E$4004,"Yes"))</f>
        <v>0</v>
      </c>
      <c r="J12" s="17">
        <f>IF(A12="","",SUMIFS('Daily Log'!$I$5:$I$4004,'Daily Log'!$B$5:$B$4004,A12,'Daily Log'!$A$5:$A$4004,"&gt;="&amp;Settings!$B$5,'Daily Log'!$A$5:$A$4004,"&lt;="&amp;Settings!$B$6,'Daily Log'!$E$5:$E$4004,"Yes"))</f>
        <v>0</v>
      </c>
      <c r="K12" s="17">
        <f>IF(A12="","",SUMIFS('Daily Log'!$J$5:$J$4004,'Daily Log'!$B$5:$B$4004,A12,'Daily Log'!$A$5:$A$4004,"&gt;="&amp;Settings!$B$5,'Daily Log'!$A$5:$A$4004,"&lt;="&amp;Settings!$B$6,'Daily Log'!$E$5:$E$4004,"Yes"))</f>
        <v>0</v>
      </c>
      <c r="L12" s="17">
        <f>IF(A12="","",SUMIFS('Daily Log'!$K$5:$K$4004,'Daily Log'!$B$5:$B$4004,A12,'Daily Log'!$A$5:$A$4004,"&gt;="&amp;Settings!$B$5,'Daily Log'!$A$5:$A$4004,"&lt;="&amp;Settings!$B$6,'Daily Log'!$E$5:$E$4004,"Yes"))</f>
        <v>0</v>
      </c>
      <c r="M12" s="8">
        <f>IF(A12="","",COUNTIFS('Daily Log'!$B$5:$B$4004,A12,'Daily Log'!$A$5:$A$4004,"&gt;="&amp;Settings!$B$5,'Daily Log'!$A$5:$A$4004,"&lt;="&amp;Settings!$B$6,'Daily Log'!$M$5:$M$4004,"Yes"))</f>
        <v>0</v>
      </c>
      <c r="N12" s="20">
        <f t="shared" si="1"/>
        <v>0</v>
      </c>
      <c r="O12" s="8" t="str">
        <f t="shared" si="2"/>
        <v/>
      </c>
    </row>
    <row r="13" spans="1:15" ht="15.75">
      <c r="A13" s="12" t="str">
        <f>IF('Cashier Roster'!B12="","",'Cashier Roster'!B12)</f>
        <v>Onileowo Victoria</v>
      </c>
      <c r="B13" s="12" t="str">
        <f>IF(A13="","",'Cashier Roster'!C12)</f>
        <v>Festac</v>
      </c>
      <c r="C13" s="12" t="str">
        <f>IF(A13="","",'Cashier Roster'!D12)</f>
        <v>District cashier</v>
      </c>
      <c r="D13" s="12" t="str">
        <f>IF(A13="","",'Cashier Roster'!H12)</f>
        <v>Active</v>
      </c>
      <c r="E13" s="8">
        <f>IF(A13="","",COUNTIFS('Daily Log'!$B$5:$B$4004,A13,'Daily Log'!$A$5:$A$4004,"&gt;="&amp;Settings!$B$5,'Daily Log'!$A$5:$A$4004,"&lt;="&amp;Settings!$B$6))</f>
        <v>1</v>
      </c>
      <c r="F13" s="8">
        <f>IF(A13="","",COUNTIFS('Daily Log'!$B$5:$B$4004,A13,'Daily Log'!$A$5:$A$4004,"&gt;="&amp;Settings!$B$5,'Daily Log'!$A$5:$A$4004,"&lt;="&amp;Settings!$B$6,'Daily Log'!$E$5:$E$4004,"Yes"))</f>
        <v>0</v>
      </c>
      <c r="G13" s="8">
        <f>IF(A13="","",COUNTIFS('Daily Log'!$B$5:$B$4004,A13,'Daily Log'!$A$5:$A$4004,"&gt;="&amp;Settings!$B$5,'Daily Log'!$A$5:$A$4004,"&lt;="&amp;Settings!$B$6,'Daily Log'!$G$5:$G$4004,"On time"))</f>
        <v>0</v>
      </c>
      <c r="H13" s="20">
        <f t="shared" si="0"/>
        <v>0</v>
      </c>
      <c r="I13" s="21">
        <f>IF(A13="","",SUMIFS('Daily Log'!$H$5:$H$4004,'Daily Log'!$B$5:$B$4004,A13,'Daily Log'!$A$5:$A$4004,"&gt;="&amp;Settings!$B$5,'Daily Log'!$A$5:$A$4004,"&lt;="&amp;Settings!$B$6,'Daily Log'!$E$5:$E$4004,"Yes"))</f>
        <v>0</v>
      </c>
      <c r="J13" s="17">
        <f>IF(A13="","",SUMIFS('Daily Log'!$I$5:$I$4004,'Daily Log'!$B$5:$B$4004,A13,'Daily Log'!$A$5:$A$4004,"&gt;="&amp;Settings!$B$5,'Daily Log'!$A$5:$A$4004,"&lt;="&amp;Settings!$B$6,'Daily Log'!$E$5:$E$4004,"Yes"))</f>
        <v>0</v>
      </c>
      <c r="K13" s="17">
        <f>IF(A13="","",SUMIFS('Daily Log'!$J$5:$J$4004,'Daily Log'!$B$5:$B$4004,A13,'Daily Log'!$A$5:$A$4004,"&gt;="&amp;Settings!$B$5,'Daily Log'!$A$5:$A$4004,"&lt;="&amp;Settings!$B$6,'Daily Log'!$E$5:$E$4004,"Yes"))</f>
        <v>0</v>
      </c>
      <c r="L13" s="17">
        <f>IF(A13="","",SUMIFS('Daily Log'!$K$5:$K$4004,'Daily Log'!$B$5:$B$4004,A13,'Daily Log'!$A$5:$A$4004,"&gt;="&amp;Settings!$B$5,'Daily Log'!$A$5:$A$4004,"&lt;="&amp;Settings!$B$6,'Daily Log'!$E$5:$E$4004,"Yes"))</f>
        <v>0</v>
      </c>
      <c r="M13" s="8">
        <f>IF(A13="","",COUNTIFS('Daily Log'!$B$5:$B$4004,A13,'Daily Log'!$A$5:$A$4004,"&gt;="&amp;Settings!$B$5,'Daily Log'!$A$5:$A$4004,"&lt;="&amp;Settings!$B$6,'Daily Log'!$M$5:$M$4004,"Yes"))</f>
        <v>0</v>
      </c>
      <c r="N13" s="20">
        <f t="shared" si="1"/>
        <v>0</v>
      </c>
      <c r="O13" s="8" t="str">
        <f t="shared" si="2"/>
        <v/>
      </c>
    </row>
    <row r="14" spans="1:15" ht="15.75">
      <c r="A14" s="12" t="str">
        <f>IF('Cashier Roster'!B13="","",'Cashier Roster'!B13)</f>
        <v>Oluwaseyi Ajayi</v>
      </c>
      <c r="B14" s="12" t="str">
        <f>IF(A14="","",'Cashier Roster'!C13)</f>
        <v>Festac</v>
      </c>
      <c r="C14" s="12" t="str">
        <f>IF(A14="","",'Cashier Roster'!D13)</f>
        <v>Zone cashier (new)</v>
      </c>
      <c r="D14" s="12" t="str">
        <f>IF(A14="","",'Cashier Roster'!H13)</f>
        <v>Active</v>
      </c>
      <c r="E14" s="8">
        <f>IF(A14="","",COUNTIFS('Daily Log'!$B$5:$B$4004,A14,'Daily Log'!$A$5:$A$4004,"&gt;="&amp;Settings!$B$5,'Daily Log'!$A$5:$A$4004,"&lt;="&amp;Settings!$B$6))</f>
        <v>1</v>
      </c>
      <c r="F14" s="8">
        <f>IF(A14="","",COUNTIFS('Daily Log'!$B$5:$B$4004,A14,'Daily Log'!$A$5:$A$4004,"&gt;="&amp;Settings!$B$5,'Daily Log'!$A$5:$A$4004,"&lt;="&amp;Settings!$B$6,'Daily Log'!$E$5:$E$4004,"Yes"))</f>
        <v>0</v>
      </c>
      <c r="G14" s="8">
        <f>IF(A14="","",COUNTIFS('Daily Log'!$B$5:$B$4004,A14,'Daily Log'!$A$5:$A$4004,"&gt;="&amp;Settings!$B$5,'Daily Log'!$A$5:$A$4004,"&lt;="&amp;Settings!$B$6,'Daily Log'!$G$5:$G$4004,"On time"))</f>
        <v>0</v>
      </c>
      <c r="H14" s="20">
        <f t="shared" si="0"/>
        <v>0</v>
      </c>
      <c r="I14" s="21">
        <f>IF(A14="","",SUMIFS('Daily Log'!$H$5:$H$4004,'Daily Log'!$B$5:$B$4004,A14,'Daily Log'!$A$5:$A$4004,"&gt;="&amp;Settings!$B$5,'Daily Log'!$A$5:$A$4004,"&lt;="&amp;Settings!$B$6,'Daily Log'!$E$5:$E$4004,"Yes"))</f>
        <v>0</v>
      </c>
      <c r="J14" s="17">
        <f>IF(A14="","",SUMIFS('Daily Log'!$I$5:$I$4004,'Daily Log'!$B$5:$B$4004,A14,'Daily Log'!$A$5:$A$4004,"&gt;="&amp;Settings!$B$5,'Daily Log'!$A$5:$A$4004,"&lt;="&amp;Settings!$B$6,'Daily Log'!$E$5:$E$4004,"Yes"))</f>
        <v>0</v>
      </c>
      <c r="K14" s="17">
        <f>IF(A14="","",SUMIFS('Daily Log'!$J$5:$J$4004,'Daily Log'!$B$5:$B$4004,A14,'Daily Log'!$A$5:$A$4004,"&gt;="&amp;Settings!$B$5,'Daily Log'!$A$5:$A$4004,"&lt;="&amp;Settings!$B$6,'Daily Log'!$E$5:$E$4004,"Yes"))</f>
        <v>0</v>
      </c>
      <c r="L14" s="17">
        <f>IF(A14="","",SUMIFS('Daily Log'!$K$5:$K$4004,'Daily Log'!$B$5:$B$4004,A14,'Daily Log'!$A$5:$A$4004,"&gt;="&amp;Settings!$B$5,'Daily Log'!$A$5:$A$4004,"&lt;="&amp;Settings!$B$6,'Daily Log'!$E$5:$E$4004,"Yes"))</f>
        <v>0</v>
      </c>
      <c r="M14" s="8">
        <f>IF(A14="","",COUNTIFS('Daily Log'!$B$5:$B$4004,A14,'Daily Log'!$A$5:$A$4004,"&gt;="&amp;Settings!$B$5,'Daily Log'!$A$5:$A$4004,"&lt;="&amp;Settings!$B$6,'Daily Log'!$M$5:$M$4004,"Yes"))</f>
        <v>0</v>
      </c>
      <c r="N14" s="20">
        <f t="shared" si="1"/>
        <v>0</v>
      </c>
      <c r="O14" s="8" t="str">
        <f t="shared" si="2"/>
        <v/>
      </c>
    </row>
    <row r="15" spans="1:15" ht="15.75">
      <c r="A15" s="12" t="str">
        <f>IF('Cashier Roster'!B14="","",'Cashier Roster'!B14)</f>
        <v>Okiji Olubunmi Jacob</v>
      </c>
      <c r="B15" s="12" t="str">
        <f>IF(A15="","",'Cashier Roster'!C14)</f>
        <v>Ibeju</v>
      </c>
      <c r="C15" s="12" t="str">
        <f>IF(A15="","",'Cashier Roster'!D14)</f>
        <v>District cashier</v>
      </c>
      <c r="D15" s="12" t="str">
        <f>IF(A15="","",'Cashier Roster'!H14)</f>
        <v>Active</v>
      </c>
      <c r="E15" s="8">
        <f>IF(A15="","",COUNTIFS('Daily Log'!$B$5:$B$4004,A15,'Daily Log'!$A$5:$A$4004,"&gt;="&amp;Settings!$B$5,'Daily Log'!$A$5:$A$4004,"&lt;="&amp;Settings!$B$6))</f>
        <v>1</v>
      </c>
      <c r="F15" s="8">
        <f>IF(A15="","",COUNTIFS('Daily Log'!$B$5:$B$4004,A15,'Daily Log'!$A$5:$A$4004,"&gt;="&amp;Settings!$B$5,'Daily Log'!$A$5:$A$4004,"&lt;="&amp;Settings!$B$6,'Daily Log'!$E$5:$E$4004,"Yes"))</f>
        <v>0</v>
      </c>
      <c r="G15" s="8">
        <f>IF(A15="","",COUNTIFS('Daily Log'!$B$5:$B$4004,A15,'Daily Log'!$A$5:$A$4004,"&gt;="&amp;Settings!$B$5,'Daily Log'!$A$5:$A$4004,"&lt;="&amp;Settings!$B$6,'Daily Log'!$G$5:$G$4004,"On time"))</f>
        <v>0</v>
      </c>
      <c r="H15" s="20">
        <f t="shared" si="0"/>
        <v>0</v>
      </c>
      <c r="I15" s="21">
        <f>IF(A15="","",SUMIFS('Daily Log'!$H$5:$H$4004,'Daily Log'!$B$5:$B$4004,A15,'Daily Log'!$A$5:$A$4004,"&gt;="&amp;Settings!$B$5,'Daily Log'!$A$5:$A$4004,"&lt;="&amp;Settings!$B$6,'Daily Log'!$E$5:$E$4004,"Yes"))</f>
        <v>0</v>
      </c>
      <c r="J15" s="17">
        <f>IF(A15="","",SUMIFS('Daily Log'!$I$5:$I$4004,'Daily Log'!$B$5:$B$4004,A15,'Daily Log'!$A$5:$A$4004,"&gt;="&amp;Settings!$B$5,'Daily Log'!$A$5:$A$4004,"&lt;="&amp;Settings!$B$6,'Daily Log'!$E$5:$E$4004,"Yes"))</f>
        <v>0</v>
      </c>
      <c r="K15" s="17">
        <f>IF(A15="","",SUMIFS('Daily Log'!$J$5:$J$4004,'Daily Log'!$B$5:$B$4004,A15,'Daily Log'!$A$5:$A$4004,"&gt;="&amp;Settings!$B$5,'Daily Log'!$A$5:$A$4004,"&lt;="&amp;Settings!$B$6,'Daily Log'!$E$5:$E$4004,"Yes"))</f>
        <v>0</v>
      </c>
      <c r="L15" s="17">
        <f>IF(A15="","",SUMIFS('Daily Log'!$K$5:$K$4004,'Daily Log'!$B$5:$B$4004,A15,'Daily Log'!$A$5:$A$4004,"&gt;="&amp;Settings!$B$5,'Daily Log'!$A$5:$A$4004,"&lt;="&amp;Settings!$B$6,'Daily Log'!$E$5:$E$4004,"Yes"))</f>
        <v>0</v>
      </c>
      <c r="M15" s="8">
        <f>IF(A15="","",COUNTIFS('Daily Log'!$B$5:$B$4004,A15,'Daily Log'!$A$5:$A$4004,"&gt;="&amp;Settings!$B$5,'Daily Log'!$A$5:$A$4004,"&lt;="&amp;Settings!$B$6,'Daily Log'!$M$5:$M$4004,"Yes"))</f>
        <v>0</v>
      </c>
      <c r="N15" s="20">
        <f t="shared" si="1"/>
        <v>0</v>
      </c>
      <c r="O15" s="8" t="str">
        <f t="shared" si="2"/>
        <v/>
      </c>
    </row>
    <row r="16" spans="1:15" ht="15.75">
      <c r="A16" s="12" t="str">
        <f>IF('Cashier Roster'!B15="","",'Cashier Roster'!B15)</f>
        <v>Adebari Temitayo</v>
      </c>
      <c r="B16" s="12" t="str">
        <f>IF(A16="","",'Cashier Roster'!C15)</f>
        <v>Ijora</v>
      </c>
      <c r="C16" s="12" t="str">
        <f>IF(A16="","",'Cashier Roster'!D15)</f>
        <v>District cashier</v>
      </c>
      <c r="D16" s="12" t="str">
        <f>IF(A16="","",'Cashier Roster'!H15)</f>
        <v>Active</v>
      </c>
      <c r="E16" s="8">
        <f>IF(A16="","",COUNTIFS('Daily Log'!$B$5:$B$4004,A16,'Daily Log'!$A$5:$A$4004,"&gt;="&amp;Settings!$B$5,'Daily Log'!$A$5:$A$4004,"&lt;="&amp;Settings!$B$6))</f>
        <v>1</v>
      </c>
      <c r="F16" s="8">
        <f>IF(A16="","",COUNTIFS('Daily Log'!$B$5:$B$4004,A16,'Daily Log'!$A$5:$A$4004,"&gt;="&amp;Settings!$B$5,'Daily Log'!$A$5:$A$4004,"&lt;="&amp;Settings!$B$6,'Daily Log'!$E$5:$E$4004,"Yes"))</f>
        <v>0</v>
      </c>
      <c r="G16" s="8">
        <f>IF(A16="","",COUNTIFS('Daily Log'!$B$5:$B$4004,A16,'Daily Log'!$A$5:$A$4004,"&gt;="&amp;Settings!$B$5,'Daily Log'!$A$5:$A$4004,"&lt;="&amp;Settings!$B$6,'Daily Log'!$G$5:$G$4004,"On time"))</f>
        <v>0</v>
      </c>
      <c r="H16" s="20">
        <f t="shared" si="0"/>
        <v>0</v>
      </c>
      <c r="I16" s="21">
        <f>IF(A16="","",SUMIFS('Daily Log'!$H$5:$H$4004,'Daily Log'!$B$5:$B$4004,A16,'Daily Log'!$A$5:$A$4004,"&gt;="&amp;Settings!$B$5,'Daily Log'!$A$5:$A$4004,"&lt;="&amp;Settings!$B$6,'Daily Log'!$E$5:$E$4004,"Yes"))</f>
        <v>0</v>
      </c>
      <c r="J16" s="17">
        <f>IF(A16="","",SUMIFS('Daily Log'!$I$5:$I$4004,'Daily Log'!$B$5:$B$4004,A16,'Daily Log'!$A$5:$A$4004,"&gt;="&amp;Settings!$B$5,'Daily Log'!$A$5:$A$4004,"&lt;="&amp;Settings!$B$6,'Daily Log'!$E$5:$E$4004,"Yes"))</f>
        <v>0</v>
      </c>
      <c r="K16" s="17">
        <f>IF(A16="","",SUMIFS('Daily Log'!$J$5:$J$4004,'Daily Log'!$B$5:$B$4004,A16,'Daily Log'!$A$5:$A$4004,"&gt;="&amp;Settings!$B$5,'Daily Log'!$A$5:$A$4004,"&lt;="&amp;Settings!$B$6,'Daily Log'!$E$5:$E$4004,"Yes"))</f>
        <v>0</v>
      </c>
      <c r="L16" s="17">
        <f>IF(A16="","",SUMIFS('Daily Log'!$K$5:$K$4004,'Daily Log'!$B$5:$B$4004,A16,'Daily Log'!$A$5:$A$4004,"&gt;="&amp;Settings!$B$5,'Daily Log'!$A$5:$A$4004,"&lt;="&amp;Settings!$B$6,'Daily Log'!$E$5:$E$4004,"Yes"))</f>
        <v>0</v>
      </c>
      <c r="M16" s="8">
        <f>IF(A16="","",COUNTIFS('Daily Log'!$B$5:$B$4004,A16,'Daily Log'!$A$5:$A$4004,"&gt;="&amp;Settings!$B$5,'Daily Log'!$A$5:$A$4004,"&lt;="&amp;Settings!$B$6,'Daily Log'!$M$5:$M$4004,"Yes"))</f>
        <v>0</v>
      </c>
      <c r="N16" s="20">
        <f t="shared" si="1"/>
        <v>0</v>
      </c>
      <c r="O16" s="8" t="str">
        <f t="shared" si="2"/>
        <v/>
      </c>
    </row>
    <row r="17" spans="1:15" ht="15.75">
      <c r="A17" s="12" t="str">
        <f>IF('Cashier Roster'!B16="","",'Cashier Roster'!B16)</f>
        <v>Ibeto Catherine</v>
      </c>
      <c r="B17" s="12" t="str">
        <f>IF(A17="","",'Cashier Roster'!C16)</f>
        <v>Ijora</v>
      </c>
      <c r="C17" s="12" t="str">
        <f>IF(A17="","",'Cashier Roster'!D16)</f>
        <v>Zone cashier (new)</v>
      </c>
      <c r="D17" s="12" t="str">
        <f>IF(A17="","",'Cashier Roster'!H16)</f>
        <v>Active</v>
      </c>
      <c r="E17" s="8">
        <f>IF(A17="","",COUNTIFS('Daily Log'!$B$5:$B$4004,A17,'Daily Log'!$A$5:$A$4004,"&gt;="&amp;Settings!$B$5,'Daily Log'!$A$5:$A$4004,"&lt;="&amp;Settings!$B$6))</f>
        <v>1</v>
      </c>
      <c r="F17" s="8">
        <f>IF(A17="","",COUNTIFS('Daily Log'!$B$5:$B$4004,A17,'Daily Log'!$A$5:$A$4004,"&gt;="&amp;Settings!$B$5,'Daily Log'!$A$5:$A$4004,"&lt;="&amp;Settings!$B$6,'Daily Log'!$E$5:$E$4004,"Yes"))</f>
        <v>0</v>
      </c>
      <c r="G17" s="8">
        <f>IF(A17="","",COUNTIFS('Daily Log'!$B$5:$B$4004,A17,'Daily Log'!$A$5:$A$4004,"&gt;="&amp;Settings!$B$5,'Daily Log'!$A$5:$A$4004,"&lt;="&amp;Settings!$B$6,'Daily Log'!$G$5:$G$4004,"On time"))</f>
        <v>0</v>
      </c>
      <c r="H17" s="20">
        <f t="shared" si="0"/>
        <v>0</v>
      </c>
      <c r="I17" s="21">
        <f>IF(A17="","",SUMIFS('Daily Log'!$H$5:$H$4004,'Daily Log'!$B$5:$B$4004,A17,'Daily Log'!$A$5:$A$4004,"&gt;="&amp;Settings!$B$5,'Daily Log'!$A$5:$A$4004,"&lt;="&amp;Settings!$B$6,'Daily Log'!$E$5:$E$4004,"Yes"))</f>
        <v>0</v>
      </c>
      <c r="J17" s="17">
        <f>IF(A17="","",SUMIFS('Daily Log'!$I$5:$I$4004,'Daily Log'!$B$5:$B$4004,A17,'Daily Log'!$A$5:$A$4004,"&gt;="&amp;Settings!$B$5,'Daily Log'!$A$5:$A$4004,"&lt;="&amp;Settings!$B$6,'Daily Log'!$E$5:$E$4004,"Yes"))</f>
        <v>0</v>
      </c>
      <c r="K17" s="17">
        <f>IF(A17="","",SUMIFS('Daily Log'!$J$5:$J$4004,'Daily Log'!$B$5:$B$4004,A17,'Daily Log'!$A$5:$A$4004,"&gt;="&amp;Settings!$B$5,'Daily Log'!$A$5:$A$4004,"&lt;="&amp;Settings!$B$6,'Daily Log'!$E$5:$E$4004,"Yes"))</f>
        <v>0</v>
      </c>
      <c r="L17" s="17">
        <f>IF(A17="","",SUMIFS('Daily Log'!$K$5:$K$4004,'Daily Log'!$B$5:$B$4004,A17,'Daily Log'!$A$5:$A$4004,"&gt;="&amp;Settings!$B$5,'Daily Log'!$A$5:$A$4004,"&lt;="&amp;Settings!$B$6,'Daily Log'!$E$5:$E$4004,"Yes"))</f>
        <v>0</v>
      </c>
      <c r="M17" s="8">
        <f>IF(A17="","",COUNTIFS('Daily Log'!$B$5:$B$4004,A17,'Daily Log'!$A$5:$A$4004,"&gt;="&amp;Settings!$B$5,'Daily Log'!$A$5:$A$4004,"&lt;="&amp;Settings!$B$6,'Daily Log'!$M$5:$M$4004,"Yes"))</f>
        <v>0</v>
      </c>
      <c r="N17" s="20">
        <f t="shared" si="1"/>
        <v>0</v>
      </c>
      <c r="O17" s="8" t="str">
        <f t="shared" si="2"/>
        <v/>
      </c>
    </row>
    <row r="18" spans="1:15" ht="15.75">
      <c r="A18" s="12" t="str">
        <f>IF('Cashier Roster'!B17="","",'Cashier Roster'!B17)</f>
        <v>Olukoya Olanrewaju</v>
      </c>
      <c r="B18" s="12" t="str">
        <f>IF(A18="","",'Cashier Roster'!C17)</f>
        <v>Island</v>
      </c>
      <c r="C18" s="12" t="str">
        <f>IF(A18="","",'Cashier Roster'!D17)</f>
        <v>District cashier</v>
      </c>
      <c r="D18" s="12" t="str">
        <f>IF(A18="","",'Cashier Roster'!H17)</f>
        <v>Active</v>
      </c>
      <c r="E18" s="8">
        <f>IF(A18="","",COUNTIFS('Daily Log'!$B$5:$B$4004,A18,'Daily Log'!$A$5:$A$4004,"&gt;="&amp;Settings!$B$5,'Daily Log'!$A$5:$A$4004,"&lt;="&amp;Settings!$B$6))</f>
        <v>1</v>
      </c>
      <c r="F18" s="8">
        <f>IF(A18="","",COUNTIFS('Daily Log'!$B$5:$B$4004,A18,'Daily Log'!$A$5:$A$4004,"&gt;="&amp;Settings!$B$5,'Daily Log'!$A$5:$A$4004,"&lt;="&amp;Settings!$B$6,'Daily Log'!$E$5:$E$4004,"Yes"))</f>
        <v>0</v>
      </c>
      <c r="G18" s="8">
        <f>IF(A18="","",COUNTIFS('Daily Log'!$B$5:$B$4004,A18,'Daily Log'!$A$5:$A$4004,"&gt;="&amp;Settings!$B$5,'Daily Log'!$A$5:$A$4004,"&lt;="&amp;Settings!$B$6,'Daily Log'!$G$5:$G$4004,"On time"))</f>
        <v>0</v>
      </c>
      <c r="H18" s="20">
        <f t="shared" si="0"/>
        <v>0</v>
      </c>
      <c r="I18" s="21">
        <f>IF(A18="","",SUMIFS('Daily Log'!$H$5:$H$4004,'Daily Log'!$B$5:$B$4004,A18,'Daily Log'!$A$5:$A$4004,"&gt;="&amp;Settings!$B$5,'Daily Log'!$A$5:$A$4004,"&lt;="&amp;Settings!$B$6,'Daily Log'!$E$5:$E$4004,"Yes"))</f>
        <v>0</v>
      </c>
      <c r="J18" s="17">
        <f>IF(A18="","",SUMIFS('Daily Log'!$I$5:$I$4004,'Daily Log'!$B$5:$B$4004,A18,'Daily Log'!$A$5:$A$4004,"&gt;="&amp;Settings!$B$5,'Daily Log'!$A$5:$A$4004,"&lt;="&amp;Settings!$B$6,'Daily Log'!$E$5:$E$4004,"Yes"))</f>
        <v>0</v>
      </c>
      <c r="K18" s="17">
        <f>IF(A18="","",SUMIFS('Daily Log'!$J$5:$J$4004,'Daily Log'!$B$5:$B$4004,A18,'Daily Log'!$A$5:$A$4004,"&gt;="&amp;Settings!$B$5,'Daily Log'!$A$5:$A$4004,"&lt;="&amp;Settings!$B$6,'Daily Log'!$E$5:$E$4004,"Yes"))</f>
        <v>0</v>
      </c>
      <c r="L18" s="17">
        <f>IF(A18="","",SUMIFS('Daily Log'!$K$5:$K$4004,'Daily Log'!$B$5:$B$4004,A18,'Daily Log'!$A$5:$A$4004,"&gt;="&amp;Settings!$B$5,'Daily Log'!$A$5:$A$4004,"&lt;="&amp;Settings!$B$6,'Daily Log'!$E$5:$E$4004,"Yes"))</f>
        <v>0</v>
      </c>
      <c r="M18" s="8">
        <f>IF(A18="","",COUNTIFS('Daily Log'!$B$5:$B$4004,A18,'Daily Log'!$A$5:$A$4004,"&gt;="&amp;Settings!$B$5,'Daily Log'!$A$5:$A$4004,"&lt;="&amp;Settings!$B$6,'Daily Log'!$M$5:$M$4004,"Yes"))</f>
        <v>0</v>
      </c>
      <c r="N18" s="20">
        <f t="shared" si="1"/>
        <v>0</v>
      </c>
      <c r="O18" s="8" t="str">
        <f t="shared" si="2"/>
        <v/>
      </c>
    </row>
    <row r="19" spans="1:15" ht="15.75">
      <c r="A19" s="12" t="str">
        <f>IF('Cashier Roster'!B18="","",'Cashier Roster'!B18)</f>
        <v>Aromire Olasumbo (Azizat)</v>
      </c>
      <c r="B19" s="12" t="str">
        <f>IF(A19="","",'Cashier Roster'!C18)</f>
        <v>Island</v>
      </c>
      <c r="C19" s="12" t="str">
        <f>IF(A19="","",'Cashier Roster'!D18)</f>
        <v>District cashier</v>
      </c>
      <c r="D19" s="12" t="str">
        <f>IF(A19="","",'Cashier Roster'!H18)</f>
        <v>Active</v>
      </c>
      <c r="E19" s="8">
        <f>IF(A19="","",COUNTIFS('Daily Log'!$B$5:$B$4004,A19,'Daily Log'!$A$5:$A$4004,"&gt;="&amp;Settings!$B$5,'Daily Log'!$A$5:$A$4004,"&lt;="&amp;Settings!$B$6))</f>
        <v>1</v>
      </c>
      <c r="F19" s="8">
        <f>IF(A19="","",COUNTIFS('Daily Log'!$B$5:$B$4004,A19,'Daily Log'!$A$5:$A$4004,"&gt;="&amp;Settings!$B$5,'Daily Log'!$A$5:$A$4004,"&lt;="&amp;Settings!$B$6,'Daily Log'!$E$5:$E$4004,"Yes"))</f>
        <v>0</v>
      </c>
      <c r="G19" s="8">
        <f>IF(A19="","",COUNTIFS('Daily Log'!$B$5:$B$4004,A19,'Daily Log'!$A$5:$A$4004,"&gt;="&amp;Settings!$B$5,'Daily Log'!$A$5:$A$4004,"&lt;="&amp;Settings!$B$6,'Daily Log'!$G$5:$G$4004,"On time"))</f>
        <v>0</v>
      </c>
      <c r="H19" s="20">
        <f t="shared" si="0"/>
        <v>0</v>
      </c>
      <c r="I19" s="21">
        <f>IF(A19="","",SUMIFS('Daily Log'!$H$5:$H$4004,'Daily Log'!$B$5:$B$4004,A19,'Daily Log'!$A$5:$A$4004,"&gt;="&amp;Settings!$B$5,'Daily Log'!$A$5:$A$4004,"&lt;="&amp;Settings!$B$6,'Daily Log'!$E$5:$E$4004,"Yes"))</f>
        <v>0</v>
      </c>
      <c r="J19" s="17">
        <f>IF(A19="","",SUMIFS('Daily Log'!$I$5:$I$4004,'Daily Log'!$B$5:$B$4004,A19,'Daily Log'!$A$5:$A$4004,"&gt;="&amp;Settings!$B$5,'Daily Log'!$A$5:$A$4004,"&lt;="&amp;Settings!$B$6,'Daily Log'!$E$5:$E$4004,"Yes"))</f>
        <v>0</v>
      </c>
      <c r="K19" s="17">
        <f>IF(A19="","",SUMIFS('Daily Log'!$J$5:$J$4004,'Daily Log'!$B$5:$B$4004,A19,'Daily Log'!$A$5:$A$4004,"&gt;="&amp;Settings!$B$5,'Daily Log'!$A$5:$A$4004,"&lt;="&amp;Settings!$B$6,'Daily Log'!$E$5:$E$4004,"Yes"))</f>
        <v>0</v>
      </c>
      <c r="L19" s="17">
        <f>IF(A19="","",SUMIFS('Daily Log'!$K$5:$K$4004,'Daily Log'!$B$5:$B$4004,A19,'Daily Log'!$A$5:$A$4004,"&gt;="&amp;Settings!$B$5,'Daily Log'!$A$5:$A$4004,"&lt;="&amp;Settings!$B$6,'Daily Log'!$E$5:$E$4004,"Yes"))</f>
        <v>0</v>
      </c>
      <c r="M19" s="8">
        <f>IF(A19="","",COUNTIFS('Daily Log'!$B$5:$B$4004,A19,'Daily Log'!$A$5:$A$4004,"&gt;="&amp;Settings!$B$5,'Daily Log'!$A$5:$A$4004,"&lt;="&amp;Settings!$B$6,'Daily Log'!$M$5:$M$4004,"Yes"))</f>
        <v>0</v>
      </c>
      <c r="N19" s="20">
        <f t="shared" si="1"/>
        <v>0</v>
      </c>
      <c r="O19" s="8" t="str">
        <f t="shared" si="2"/>
        <v/>
      </c>
    </row>
    <row r="20" spans="1:15" ht="15.75">
      <c r="A20" s="12" t="str">
        <f>IF('Cashier Roster'!B19="","",'Cashier Roster'!B19)</f>
        <v>Kareem Idowu</v>
      </c>
      <c r="B20" s="12" t="str">
        <f>IF(A20="","",'Cashier Roster'!C19)</f>
        <v>Lekki</v>
      </c>
      <c r="C20" s="12" t="str">
        <f>IF(A20="","",'Cashier Roster'!D19)</f>
        <v>District cashier</v>
      </c>
      <c r="D20" s="12" t="str">
        <f>IF(A20="","",'Cashier Roster'!H19)</f>
        <v>Active</v>
      </c>
      <c r="E20" s="8">
        <f>IF(A20="","",COUNTIFS('Daily Log'!$B$5:$B$4004,A20,'Daily Log'!$A$5:$A$4004,"&gt;="&amp;Settings!$B$5,'Daily Log'!$A$5:$A$4004,"&lt;="&amp;Settings!$B$6))</f>
        <v>1</v>
      </c>
      <c r="F20" s="8">
        <f>IF(A20="","",COUNTIFS('Daily Log'!$B$5:$B$4004,A20,'Daily Log'!$A$5:$A$4004,"&gt;="&amp;Settings!$B$5,'Daily Log'!$A$5:$A$4004,"&lt;="&amp;Settings!$B$6,'Daily Log'!$E$5:$E$4004,"Yes"))</f>
        <v>0</v>
      </c>
      <c r="G20" s="8">
        <f>IF(A20="","",COUNTIFS('Daily Log'!$B$5:$B$4004,A20,'Daily Log'!$A$5:$A$4004,"&gt;="&amp;Settings!$B$5,'Daily Log'!$A$5:$A$4004,"&lt;="&amp;Settings!$B$6,'Daily Log'!$G$5:$G$4004,"On time"))</f>
        <v>0</v>
      </c>
      <c r="H20" s="20">
        <f t="shared" si="0"/>
        <v>0</v>
      </c>
      <c r="I20" s="21">
        <f>IF(A20="","",SUMIFS('Daily Log'!$H$5:$H$4004,'Daily Log'!$B$5:$B$4004,A20,'Daily Log'!$A$5:$A$4004,"&gt;="&amp;Settings!$B$5,'Daily Log'!$A$5:$A$4004,"&lt;="&amp;Settings!$B$6,'Daily Log'!$E$5:$E$4004,"Yes"))</f>
        <v>0</v>
      </c>
      <c r="J20" s="17">
        <f>IF(A20="","",SUMIFS('Daily Log'!$I$5:$I$4004,'Daily Log'!$B$5:$B$4004,A20,'Daily Log'!$A$5:$A$4004,"&gt;="&amp;Settings!$B$5,'Daily Log'!$A$5:$A$4004,"&lt;="&amp;Settings!$B$6,'Daily Log'!$E$5:$E$4004,"Yes"))</f>
        <v>0</v>
      </c>
      <c r="K20" s="17">
        <f>IF(A20="","",SUMIFS('Daily Log'!$J$5:$J$4004,'Daily Log'!$B$5:$B$4004,A20,'Daily Log'!$A$5:$A$4004,"&gt;="&amp;Settings!$B$5,'Daily Log'!$A$5:$A$4004,"&lt;="&amp;Settings!$B$6,'Daily Log'!$E$5:$E$4004,"Yes"))</f>
        <v>0</v>
      </c>
      <c r="L20" s="17">
        <f>IF(A20="","",SUMIFS('Daily Log'!$K$5:$K$4004,'Daily Log'!$B$5:$B$4004,A20,'Daily Log'!$A$5:$A$4004,"&gt;="&amp;Settings!$B$5,'Daily Log'!$A$5:$A$4004,"&lt;="&amp;Settings!$B$6,'Daily Log'!$E$5:$E$4004,"Yes"))</f>
        <v>0</v>
      </c>
      <c r="M20" s="8">
        <f>IF(A20="","",COUNTIFS('Daily Log'!$B$5:$B$4004,A20,'Daily Log'!$A$5:$A$4004,"&gt;="&amp;Settings!$B$5,'Daily Log'!$A$5:$A$4004,"&lt;="&amp;Settings!$B$6,'Daily Log'!$M$5:$M$4004,"Yes"))</f>
        <v>0</v>
      </c>
      <c r="N20" s="20">
        <f t="shared" si="1"/>
        <v>0</v>
      </c>
      <c r="O20" s="8" t="str">
        <f t="shared" si="2"/>
        <v/>
      </c>
    </row>
    <row r="21" spans="1:15" ht="15.75">
      <c r="A21" s="12" t="str">
        <f>IF('Cashier Roster'!B20="","",'Cashier Roster'!B20)</f>
        <v>Caroline Francis</v>
      </c>
      <c r="B21" s="12" t="str">
        <f>IF(A21="","",'Cashier Roster'!C20)</f>
        <v>Mushin</v>
      </c>
      <c r="C21" s="12" t="str">
        <f>IF(A21="","",'Cashier Roster'!D20)</f>
        <v>District cashier</v>
      </c>
      <c r="D21" s="12" t="str">
        <f>IF(A21="","",'Cashier Roster'!H20)</f>
        <v>Active</v>
      </c>
      <c r="E21" s="8">
        <f>IF(A21="","",COUNTIFS('Daily Log'!$B$5:$B$4004,A21,'Daily Log'!$A$5:$A$4004,"&gt;="&amp;Settings!$B$5,'Daily Log'!$A$5:$A$4004,"&lt;="&amp;Settings!$B$6))</f>
        <v>1</v>
      </c>
      <c r="F21" s="8">
        <f>IF(A21="","",COUNTIFS('Daily Log'!$B$5:$B$4004,A21,'Daily Log'!$A$5:$A$4004,"&gt;="&amp;Settings!$B$5,'Daily Log'!$A$5:$A$4004,"&lt;="&amp;Settings!$B$6,'Daily Log'!$E$5:$E$4004,"Yes"))</f>
        <v>0</v>
      </c>
      <c r="G21" s="8">
        <f>IF(A21="","",COUNTIFS('Daily Log'!$B$5:$B$4004,A21,'Daily Log'!$A$5:$A$4004,"&gt;="&amp;Settings!$B$5,'Daily Log'!$A$5:$A$4004,"&lt;="&amp;Settings!$B$6,'Daily Log'!$G$5:$G$4004,"On time"))</f>
        <v>0</v>
      </c>
      <c r="H21" s="20">
        <f t="shared" si="0"/>
        <v>0</v>
      </c>
      <c r="I21" s="21">
        <f>IF(A21="","",SUMIFS('Daily Log'!$H$5:$H$4004,'Daily Log'!$B$5:$B$4004,A21,'Daily Log'!$A$5:$A$4004,"&gt;="&amp;Settings!$B$5,'Daily Log'!$A$5:$A$4004,"&lt;="&amp;Settings!$B$6,'Daily Log'!$E$5:$E$4004,"Yes"))</f>
        <v>0</v>
      </c>
      <c r="J21" s="17">
        <f>IF(A21="","",SUMIFS('Daily Log'!$I$5:$I$4004,'Daily Log'!$B$5:$B$4004,A21,'Daily Log'!$A$5:$A$4004,"&gt;="&amp;Settings!$B$5,'Daily Log'!$A$5:$A$4004,"&lt;="&amp;Settings!$B$6,'Daily Log'!$E$5:$E$4004,"Yes"))</f>
        <v>0</v>
      </c>
      <c r="K21" s="17">
        <f>IF(A21="","",SUMIFS('Daily Log'!$J$5:$J$4004,'Daily Log'!$B$5:$B$4004,A21,'Daily Log'!$A$5:$A$4004,"&gt;="&amp;Settings!$B$5,'Daily Log'!$A$5:$A$4004,"&lt;="&amp;Settings!$B$6,'Daily Log'!$E$5:$E$4004,"Yes"))</f>
        <v>0</v>
      </c>
      <c r="L21" s="17">
        <f>IF(A21="","",SUMIFS('Daily Log'!$K$5:$K$4004,'Daily Log'!$B$5:$B$4004,A21,'Daily Log'!$A$5:$A$4004,"&gt;="&amp;Settings!$B$5,'Daily Log'!$A$5:$A$4004,"&lt;="&amp;Settings!$B$6,'Daily Log'!$E$5:$E$4004,"Yes"))</f>
        <v>0</v>
      </c>
      <c r="M21" s="8">
        <f>IF(A21="","",COUNTIFS('Daily Log'!$B$5:$B$4004,A21,'Daily Log'!$A$5:$A$4004,"&gt;="&amp;Settings!$B$5,'Daily Log'!$A$5:$A$4004,"&lt;="&amp;Settings!$B$6,'Daily Log'!$M$5:$M$4004,"Yes"))</f>
        <v>0</v>
      </c>
      <c r="N21" s="20">
        <f t="shared" si="1"/>
        <v>0</v>
      </c>
      <c r="O21" s="8" t="str">
        <f t="shared" si="2"/>
        <v/>
      </c>
    </row>
    <row r="22" spans="1:15" ht="15.75">
      <c r="A22" s="12" t="str">
        <f>IF('Cashier Roster'!B21="","",'Cashier Roster'!B21)</f>
        <v>Siyanbola Abosede</v>
      </c>
      <c r="B22" s="12" t="str">
        <f>IF(A22="","",'Cashier Roster'!C21)</f>
        <v>Mushin</v>
      </c>
      <c r="C22" s="12" t="str">
        <f>IF(A22="","",'Cashier Roster'!D21)</f>
        <v>Zone cashier (new)</v>
      </c>
      <c r="D22" s="12" t="str">
        <f>IF(A22="","",'Cashier Roster'!H21)</f>
        <v>Active</v>
      </c>
      <c r="E22" s="8">
        <f>IF(A22="","",COUNTIFS('Daily Log'!$B$5:$B$4004,A22,'Daily Log'!$A$5:$A$4004,"&gt;="&amp;Settings!$B$5,'Daily Log'!$A$5:$A$4004,"&lt;="&amp;Settings!$B$6))</f>
        <v>1</v>
      </c>
      <c r="F22" s="8">
        <f>IF(A22="","",COUNTIFS('Daily Log'!$B$5:$B$4004,A22,'Daily Log'!$A$5:$A$4004,"&gt;="&amp;Settings!$B$5,'Daily Log'!$A$5:$A$4004,"&lt;="&amp;Settings!$B$6,'Daily Log'!$E$5:$E$4004,"Yes"))</f>
        <v>0</v>
      </c>
      <c r="G22" s="8">
        <f>IF(A22="","",COUNTIFS('Daily Log'!$B$5:$B$4004,A22,'Daily Log'!$A$5:$A$4004,"&gt;="&amp;Settings!$B$5,'Daily Log'!$A$5:$A$4004,"&lt;="&amp;Settings!$B$6,'Daily Log'!$G$5:$G$4004,"On time"))</f>
        <v>0</v>
      </c>
      <c r="H22" s="20">
        <f t="shared" si="0"/>
        <v>0</v>
      </c>
      <c r="I22" s="21">
        <f>IF(A22="","",SUMIFS('Daily Log'!$H$5:$H$4004,'Daily Log'!$B$5:$B$4004,A22,'Daily Log'!$A$5:$A$4004,"&gt;="&amp;Settings!$B$5,'Daily Log'!$A$5:$A$4004,"&lt;="&amp;Settings!$B$6,'Daily Log'!$E$5:$E$4004,"Yes"))</f>
        <v>0</v>
      </c>
      <c r="J22" s="17">
        <f>IF(A22="","",SUMIFS('Daily Log'!$I$5:$I$4004,'Daily Log'!$B$5:$B$4004,A22,'Daily Log'!$A$5:$A$4004,"&gt;="&amp;Settings!$B$5,'Daily Log'!$A$5:$A$4004,"&lt;="&amp;Settings!$B$6,'Daily Log'!$E$5:$E$4004,"Yes"))</f>
        <v>0</v>
      </c>
      <c r="K22" s="17">
        <f>IF(A22="","",SUMIFS('Daily Log'!$J$5:$J$4004,'Daily Log'!$B$5:$B$4004,A22,'Daily Log'!$A$5:$A$4004,"&gt;="&amp;Settings!$B$5,'Daily Log'!$A$5:$A$4004,"&lt;="&amp;Settings!$B$6,'Daily Log'!$E$5:$E$4004,"Yes"))</f>
        <v>0</v>
      </c>
      <c r="L22" s="17">
        <f>IF(A22="","",SUMIFS('Daily Log'!$K$5:$K$4004,'Daily Log'!$B$5:$B$4004,A22,'Daily Log'!$A$5:$A$4004,"&gt;="&amp;Settings!$B$5,'Daily Log'!$A$5:$A$4004,"&lt;="&amp;Settings!$B$6,'Daily Log'!$E$5:$E$4004,"Yes"))</f>
        <v>0</v>
      </c>
      <c r="M22" s="8">
        <f>IF(A22="","",COUNTIFS('Daily Log'!$B$5:$B$4004,A22,'Daily Log'!$A$5:$A$4004,"&gt;="&amp;Settings!$B$5,'Daily Log'!$A$5:$A$4004,"&lt;="&amp;Settings!$B$6,'Daily Log'!$M$5:$M$4004,"Yes"))</f>
        <v>0</v>
      </c>
      <c r="N22" s="20">
        <f t="shared" si="1"/>
        <v>0</v>
      </c>
      <c r="O22" s="8" t="str">
        <f t="shared" si="2"/>
        <v/>
      </c>
    </row>
    <row r="23" spans="1:15" ht="15.75">
      <c r="A23" s="12" t="str">
        <f>IF('Cashier Roster'!B22="","",'Cashier Roster'!B22)</f>
        <v>Oke James</v>
      </c>
      <c r="B23" s="12" t="str">
        <f>IF(A23="","",'Cashier Roster'!C22)</f>
        <v>Ojo</v>
      </c>
      <c r="C23" s="12" t="str">
        <f>IF(A23="","",'Cashier Roster'!D22)</f>
        <v>District cashier</v>
      </c>
      <c r="D23" s="12" t="str">
        <f>IF(A23="","",'Cashier Roster'!H22)</f>
        <v>Active</v>
      </c>
      <c r="E23" s="8">
        <f>IF(A23="","",COUNTIFS('Daily Log'!$B$5:$B$4004,A23,'Daily Log'!$A$5:$A$4004,"&gt;="&amp;Settings!$B$5,'Daily Log'!$A$5:$A$4004,"&lt;="&amp;Settings!$B$6))</f>
        <v>1</v>
      </c>
      <c r="F23" s="8">
        <f>IF(A23="","",COUNTIFS('Daily Log'!$B$5:$B$4004,A23,'Daily Log'!$A$5:$A$4004,"&gt;="&amp;Settings!$B$5,'Daily Log'!$A$5:$A$4004,"&lt;="&amp;Settings!$B$6,'Daily Log'!$E$5:$E$4004,"Yes"))</f>
        <v>0</v>
      </c>
      <c r="G23" s="8">
        <f>IF(A23="","",COUNTIFS('Daily Log'!$B$5:$B$4004,A23,'Daily Log'!$A$5:$A$4004,"&gt;="&amp;Settings!$B$5,'Daily Log'!$A$5:$A$4004,"&lt;="&amp;Settings!$B$6,'Daily Log'!$G$5:$G$4004,"On time"))</f>
        <v>0</v>
      </c>
      <c r="H23" s="20">
        <f t="shared" si="0"/>
        <v>0</v>
      </c>
      <c r="I23" s="21">
        <f>IF(A23="","",SUMIFS('Daily Log'!$H$5:$H$4004,'Daily Log'!$B$5:$B$4004,A23,'Daily Log'!$A$5:$A$4004,"&gt;="&amp;Settings!$B$5,'Daily Log'!$A$5:$A$4004,"&lt;="&amp;Settings!$B$6,'Daily Log'!$E$5:$E$4004,"Yes"))</f>
        <v>0</v>
      </c>
      <c r="J23" s="17">
        <f>IF(A23="","",SUMIFS('Daily Log'!$I$5:$I$4004,'Daily Log'!$B$5:$B$4004,A23,'Daily Log'!$A$5:$A$4004,"&gt;="&amp;Settings!$B$5,'Daily Log'!$A$5:$A$4004,"&lt;="&amp;Settings!$B$6,'Daily Log'!$E$5:$E$4004,"Yes"))</f>
        <v>0</v>
      </c>
      <c r="K23" s="17">
        <f>IF(A23="","",SUMIFS('Daily Log'!$J$5:$J$4004,'Daily Log'!$B$5:$B$4004,A23,'Daily Log'!$A$5:$A$4004,"&gt;="&amp;Settings!$B$5,'Daily Log'!$A$5:$A$4004,"&lt;="&amp;Settings!$B$6,'Daily Log'!$E$5:$E$4004,"Yes"))</f>
        <v>0</v>
      </c>
      <c r="L23" s="17">
        <f>IF(A23="","",SUMIFS('Daily Log'!$K$5:$K$4004,'Daily Log'!$B$5:$B$4004,A23,'Daily Log'!$A$5:$A$4004,"&gt;="&amp;Settings!$B$5,'Daily Log'!$A$5:$A$4004,"&lt;="&amp;Settings!$B$6,'Daily Log'!$E$5:$E$4004,"Yes"))</f>
        <v>0</v>
      </c>
      <c r="M23" s="8">
        <f>IF(A23="","",COUNTIFS('Daily Log'!$B$5:$B$4004,A23,'Daily Log'!$A$5:$A$4004,"&gt;="&amp;Settings!$B$5,'Daily Log'!$A$5:$A$4004,"&lt;="&amp;Settings!$B$6,'Daily Log'!$M$5:$M$4004,"Yes"))</f>
        <v>0</v>
      </c>
      <c r="N23" s="20">
        <f t="shared" si="1"/>
        <v>0</v>
      </c>
      <c r="O23" s="8" t="str">
        <f t="shared" si="2"/>
        <v/>
      </c>
    </row>
    <row r="24" spans="1:15" ht="15.75">
      <c r="A24" s="12" t="str">
        <f>IF('Cashier Roster'!B23="","",'Cashier Roster'!B23)</f>
        <v>Tosin Onadele</v>
      </c>
      <c r="B24" s="12" t="str">
        <f>IF(A24="","",'Cashier Roster'!C23)</f>
        <v>Ojo</v>
      </c>
      <c r="C24" s="12" t="str">
        <f>IF(A24="","",'Cashier Roster'!D23)</f>
        <v>Zone cashier (new)</v>
      </c>
      <c r="D24" s="12" t="str">
        <f>IF(A24="","",'Cashier Roster'!H23)</f>
        <v>Active</v>
      </c>
      <c r="E24" s="8">
        <f>IF(A24="","",COUNTIFS('Daily Log'!$B$5:$B$4004,A24,'Daily Log'!$A$5:$A$4004,"&gt;="&amp;Settings!$B$5,'Daily Log'!$A$5:$A$4004,"&lt;="&amp;Settings!$B$6))</f>
        <v>1</v>
      </c>
      <c r="F24" s="8">
        <f>IF(A24="","",COUNTIFS('Daily Log'!$B$5:$B$4004,A24,'Daily Log'!$A$5:$A$4004,"&gt;="&amp;Settings!$B$5,'Daily Log'!$A$5:$A$4004,"&lt;="&amp;Settings!$B$6,'Daily Log'!$E$5:$E$4004,"Yes"))</f>
        <v>0</v>
      </c>
      <c r="G24" s="8">
        <f>IF(A24="","",COUNTIFS('Daily Log'!$B$5:$B$4004,A24,'Daily Log'!$A$5:$A$4004,"&gt;="&amp;Settings!$B$5,'Daily Log'!$A$5:$A$4004,"&lt;="&amp;Settings!$B$6,'Daily Log'!$G$5:$G$4004,"On time"))</f>
        <v>0</v>
      </c>
      <c r="H24" s="20">
        <f t="shared" si="0"/>
        <v>0</v>
      </c>
      <c r="I24" s="21">
        <f>IF(A24="","",SUMIFS('Daily Log'!$H$5:$H$4004,'Daily Log'!$B$5:$B$4004,A24,'Daily Log'!$A$5:$A$4004,"&gt;="&amp;Settings!$B$5,'Daily Log'!$A$5:$A$4004,"&lt;="&amp;Settings!$B$6,'Daily Log'!$E$5:$E$4004,"Yes"))</f>
        <v>0</v>
      </c>
      <c r="J24" s="17">
        <f>IF(A24="","",SUMIFS('Daily Log'!$I$5:$I$4004,'Daily Log'!$B$5:$B$4004,A24,'Daily Log'!$A$5:$A$4004,"&gt;="&amp;Settings!$B$5,'Daily Log'!$A$5:$A$4004,"&lt;="&amp;Settings!$B$6,'Daily Log'!$E$5:$E$4004,"Yes"))</f>
        <v>0</v>
      </c>
      <c r="K24" s="17">
        <f>IF(A24="","",SUMIFS('Daily Log'!$J$5:$J$4004,'Daily Log'!$B$5:$B$4004,A24,'Daily Log'!$A$5:$A$4004,"&gt;="&amp;Settings!$B$5,'Daily Log'!$A$5:$A$4004,"&lt;="&amp;Settings!$B$6,'Daily Log'!$E$5:$E$4004,"Yes"))</f>
        <v>0</v>
      </c>
      <c r="L24" s="17">
        <f>IF(A24="","",SUMIFS('Daily Log'!$K$5:$K$4004,'Daily Log'!$B$5:$B$4004,A24,'Daily Log'!$A$5:$A$4004,"&gt;="&amp;Settings!$B$5,'Daily Log'!$A$5:$A$4004,"&lt;="&amp;Settings!$B$6,'Daily Log'!$E$5:$E$4004,"Yes"))</f>
        <v>0</v>
      </c>
      <c r="M24" s="8">
        <f>IF(A24="","",COUNTIFS('Daily Log'!$B$5:$B$4004,A24,'Daily Log'!$A$5:$A$4004,"&gt;="&amp;Settings!$B$5,'Daily Log'!$A$5:$A$4004,"&lt;="&amp;Settings!$B$6,'Daily Log'!$M$5:$M$4004,"Yes"))</f>
        <v>0</v>
      </c>
      <c r="N24" s="20">
        <f t="shared" si="1"/>
        <v>0</v>
      </c>
      <c r="O24" s="8" t="str">
        <f t="shared" si="2"/>
        <v/>
      </c>
    </row>
    <row r="25" spans="1:15" ht="15.75">
      <c r="A25" s="12" t="str">
        <f>IF('Cashier Roster'!B24="","",'Cashier Roster'!B24)</f>
        <v>Shodeke Oluwabanke</v>
      </c>
      <c r="B25" s="12" t="str">
        <f>IF(A25="","",'Cashier Roster'!C24)</f>
        <v>Orile</v>
      </c>
      <c r="C25" s="12" t="str">
        <f>IF(A25="","",'Cashier Roster'!D24)</f>
        <v>District cashier</v>
      </c>
      <c r="D25" s="12" t="str">
        <f>IF(A25="","",'Cashier Roster'!H24)</f>
        <v>Active</v>
      </c>
      <c r="E25" s="8">
        <f>IF(A25="","",COUNTIFS('Daily Log'!$B$5:$B$4004,A25,'Daily Log'!$A$5:$A$4004,"&gt;="&amp;Settings!$B$5,'Daily Log'!$A$5:$A$4004,"&lt;="&amp;Settings!$B$6))</f>
        <v>1</v>
      </c>
      <c r="F25" s="8">
        <f>IF(A25="","",COUNTIFS('Daily Log'!$B$5:$B$4004,A25,'Daily Log'!$A$5:$A$4004,"&gt;="&amp;Settings!$B$5,'Daily Log'!$A$5:$A$4004,"&lt;="&amp;Settings!$B$6,'Daily Log'!$E$5:$E$4004,"Yes"))</f>
        <v>0</v>
      </c>
      <c r="G25" s="8">
        <f>IF(A25="","",COUNTIFS('Daily Log'!$B$5:$B$4004,A25,'Daily Log'!$A$5:$A$4004,"&gt;="&amp;Settings!$B$5,'Daily Log'!$A$5:$A$4004,"&lt;="&amp;Settings!$B$6,'Daily Log'!$G$5:$G$4004,"On time"))</f>
        <v>0</v>
      </c>
      <c r="H25" s="20">
        <f t="shared" si="0"/>
        <v>0</v>
      </c>
      <c r="I25" s="21">
        <f>IF(A25="","",SUMIFS('Daily Log'!$H$5:$H$4004,'Daily Log'!$B$5:$B$4004,A25,'Daily Log'!$A$5:$A$4004,"&gt;="&amp;Settings!$B$5,'Daily Log'!$A$5:$A$4004,"&lt;="&amp;Settings!$B$6,'Daily Log'!$E$5:$E$4004,"Yes"))</f>
        <v>0</v>
      </c>
      <c r="J25" s="17">
        <f>IF(A25="","",SUMIFS('Daily Log'!$I$5:$I$4004,'Daily Log'!$B$5:$B$4004,A25,'Daily Log'!$A$5:$A$4004,"&gt;="&amp;Settings!$B$5,'Daily Log'!$A$5:$A$4004,"&lt;="&amp;Settings!$B$6,'Daily Log'!$E$5:$E$4004,"Yes"))</f>
        <v>0</v>
      </c>
      <c r="K25" s="17">
        <f>IF(A25="","",SUMIFS('Daily Log'!$J$5:$J$4004,'Daily Log'!$B$5:$B$4004,A25,'Daily Log'!$A$5:$A$4004,"&gt;="&amp;Settings!$B$5,'Daily Log'!$A$5:$A$4004,"&lt;="&amp;Settings!$B$6,'Daily Log'!$E$5:$E$4004,"Yes"))</f>
        <v>0</v>
      </c>
      <c r="L25" s="17">
        <f>IF(A25="","",SUMIFS('Daily Log'!$K$5:$K$4004,'Daily Log'!$B$5:$B$4004,A25,'Daily Log'!$A$5:$A$4004,"&gt;="&amp;Settings!$B$5,'Daily Log'!$A$5:$A$4004,"&lt;="&amp;Settings!$B$6,'Daily Log'!$E$5:$E$4004,"Yes"))</f>
        <v>0</v>
      </c>
      <c r="M25" s="8">
        <f>IF(A25="","",COUNTIFS('Daily Log'!$B$5:$B$4004,A25,'Daily Log'!$A$5:$A$4004,"&gt;="&amp;Settings!$B$5,'Daily Log'!$A$5:$A$4004,"&lt;="&amp;Settings!$B$6,'Daily Log'!$M$5:$M$4004,"Yes"))</f>
        <v>0</v>
      </c>
      <c r="N25" s="20">
        <f t="shared" si="1"/>
        <v>0</v>
      </c>
      <c r="O25" s="8" t="str">
        <f t="shared" si="2"/>
        <v/>
      </c>
    </row>
    <row r="26" spans="1:15" ht="15.75">
      <c r="A26" s="12" t="str">
        <f>IF('Cashier Roster'!B25="","",'Cashier Roster'!B25)</f>
        <v>Maryjane (Lekki cover)</v>
      </c>
      <c r="B26" s="12" t="str">
        <f>IF(A26="","",'Cashier Roster'!C25)</f>
        <v>Lekki</v>
      </c>
      <c r="C26" s="12" t="str">
        <f>IF(A26="","",'Cashier Roster'!D25)</f>
        <v>District cashier</v>
      </c>
      <c r="D26" s="12" t="str">
        <f>IF(A26="","",'Cashier Roster'!H25)</f>
        <v>To confirm</v>
      </c>
      <c r="E26" s="8">
        <f>IF(A26="","",COUNTIFS('Daily Log'!$B$5:$B$4004,A26,'Daily Log'!$A$5:$A$4004,"&gt;="&amp;Settings!$B$5,'Daily Log'!$A$5:$A$4004,"&lt;="&amp;Settings!$B$6))</f>
        <v>0</v>
      </c>
      <c r="F26" s="8">
        <f>IF(A26="","",COUNTIFS('Daily Log'!$B$5:$B$4004,A26,'Daily Log'!$A$5:$A$4004,"&gt;="&amp;Settings!$B$5,'Daily Log'!$A$5:$A$4004,"&lt;="&amp;Settings!$B$6,'Daily Log'!$E$5:$E$4004,"Yes"))</f>
        <v>0</v>
      </c>
      <c r="G26" s="8">
        <f>IF(A26="","",COUNTIFS('Daily Log'!$B$5:$B$4004,A26,'Daily Log'!$A$5:$A$4004,"&gt;="&amp;Settings!$B$5,'Daily Log'!$A$5:$A$4004,"&lt;="&amp;Settings!$B$6,'Daily Log'!$G$5:$G$4004,"On time"))</f>
        <v>0</v>
      </c>
      <c r="H26" s="20" t="str">
        <f t="shared" si="0"/>
        <v/>
      </c>
      <c r="I26" s="21">
        <f>IF(A26="","",SUMIFS('Daily Log'!$H$5:$H$4004,'Daily Log'!$B$5:$B$4004,A26,'Daily Log'!$A$5:$A$4004,"&gt;="&amp;Settings!$B$5,'Daily Log'!$A$5:$A$4004,"&lt;="&amp;Settings!$B$6,'Daily Log'!$E$5:$E$4004,"Yes"))</f>
        <v>0</v>
      </c>
      <c r="J26" s="17">
        <f>IF(A26="","",SUMIFS('Daily Log'!$I$5:$I$4004,'Daily Log'!$B$5:$B$4004,A26,'Daily Log'!$A$5:$A$4004,"&gt;="&amp;Settings!$B$5,'Daily Log'!$A$5:$A$4004,"&lt;="&amp;Settings!$B$6,'Daily Log'!$E$5:$E$4004,"Yes"))</f>
        <v>0</v>
      </c>
      <c r="K26" s="17">
        <f>IF(A26="","",SUMIFS('Daily Log'!$J$5:$J$4004,'Daily Log'!$B$5:$B$4004,A26,'Daily Log'!$A$5:$A$4004,"&gt;="&amp;Settings!$B$5,'Daily Log'!$A$5:$A$4004,"&lt;="&amp;Settings!$B$6,'Daily Log'!$E$5:$E$4004,"Yes"))</f>
        <v>0</v>
      </c>
      <c r="L26" s="17">
        <f>IF(A26="","",SUMIFS('Daily Log'!$K$5:$K$4004,'Daily Log'!$B$5:$B$4004,A26,'Daily Log'!$A$5:$A$4004,"&gt;="&amp;Settings!$B$5,'Daily Log'!$A$5:$A$4004,"&lt;="&amp;Settings!$B$6,'Daily Log'!$E$5:$E$4004,"Yes"))</f>
        <v>0</v>
      </c>
      <c r="M26" s="8">
        <f>IF(A26="","",COUNTIFS('Daily Log'!$B$5:$B$4004,A26,'Daily Log'!$A$5:$A$4004,"&gt;="&amp;Settings!$B$5,'Daily Log'!$A$5:$A$4004,"&lt;="&amp;Settings!$B$6,'Daily Log'!$M$5:$M$4004,"Yes"))</f>
        <v>0</v>
      </c>
      <c r="N26" s="20" t="str">
        <f t="shared" si="1"/>
        <v/>
      </c>
      <c r="O26" s="8" t="str">
        <f t="shared" si="2"/>
        <v/>
      </c>
    </row>
    <row r="27" spans="1:15" ht="15.75">
      <c r="A27" s="12" t="str">
        <f>IF('Cashier Roster'!B26="","",'Cashier Roster'!B26)</f>
        <v>Amaegwu Chioma Precious</v>
      </c>
      <c r="B27" s="12" t="str">
        <f>IF(A27="","",'Cashier Roster'!C26)</f>
        <v>Orile</v>
      </c>
      <c r="C27" s="12" t="str">
        <f>IF(A27="","",'Cashier Roster'!D26)</f>
        <v>District cashier</v>
      </c>
      <c r="D27" s="12" t="str">
        <f>IF(A27="","",'Cashier Roster'!H26)</f>
        <v>Pending</v>
      </c>
      <c r="E27" s="8">
        <f>IF(A27="","",COUNTIFS('Daily Log'!$B$5:$B$4004,A27,'Daily Log'!$A$5:$A$4004,"&gt;="&amp;Settings!$B$5,'Daily Log'!$A$5:$A$4004,"&lt;="&amp;Settings!$B$6))</f>
        <v>0</v>
      </c>
      <c r="F27" s="8">
        <f>IF(A27="","",COUNTIFS('Daily Log'!$B$5:$B$4004,A27,'Daily Log'!$A$5:$A$4004,"&gt;="&amp;Settings!$B$5,'Daily Log'!$A$5:$A$4004,"&lt;="&amp;Settings!$B$6,'Daily Log'!$E$5:$E$4004,"Yes"))</f>
        <v>0</v>
      </c>
      <c r="G27" s="8">
        <f>IF(A27="","",COUNTIFS('Daily Log'!$B$5:$B$4004,A27,'Daily Log'!$A$5:$A$4004,"&gt;="&amp;Settings!$B$5,'Daily Log'!$A$5:$A$4004,"&lt;="&amp;Settings!$B$6,'Daily Log'!$G$5:$G$4004,"On time"))</f>
        <v>0</v>
      </c>
      <c r="H27" s="20" t="str">
        <f t="shared" si="0"/>
        <v/>
      </c>
      <c r="I27" s="21">
        <f>IF(A27="","",SUMIFS('Daily Log'!$H$5:$H$4004,'Daily Log'!$B$5:$B$4004,A27,'Daily Log'!$A$5:$A$4004,"&gt;="&amp;Settings!$B$5,'Daily Log'!$A$5:$A$4004,"&lt;="&amp;Settings!$B$6,'Daily Log'!$E$5:$E$4004,"Yes"))</f>
        <v>0</v>
      </c>
      <c r="J27" s="17">
        <f>IF(A27="","",SUMIFS('Daily Log'!$I$5:$I$4004,'Daily Log'!$B$5:$B$4004,A27,'Daily Log'!$A$5:$A$4004,"&gt;="&amp;Settings!$B$5,'Daily Log'!$A$5:$A$4004,"&lt;="&amp;Settings!$B$6,'Daily Log'!$E$5:$E$4004,"Yes"))</f>
        <v>0</v>
      </c>
      <c r="K27" s="17">
        <f>IF(A27="","",SUMIFS('Daily Log'!$J$5:$J$4004,'Daily Log'!$B$5:$B$4004,A27,'Daily Log'!$A$5:$A$4004,"&gt;="&amp;Settings!$B$5,'Daily Log'!$A$5:$A$4004,"&lt;="&amp;Settings!$B$6,'Daily Log'!$E$5:$E$4004,"Yes"))</f>
        <v>0</v>
      </c>
      <c r="L27" s="17">
        <f>IF(A27="","",SUMIFS('Daily Log'!$K$5:$K$4004,'Daily Log'!$B$5:$B$4004,A27,'Daily Log'!$A$5:$A$4004,"&gt;="&amp;Settings!$B$5,'Daily Log'!$A$5:$A$4004,"&lt;="&amp;Settings!$B$6,'Daily Log'!$E$5:$E$4004,"Yes"))</f>
        <v>0</v>
      </c>
      <c r="M27" s="8">
        <f>IF(A27="","",COUNTIFS('Daily Log'!$B$5:$B$4004,A27,'Daily Log'!$A$5:$A$4004,"&gt;="&amp;Settings!$B$5,'Daily Log'!$A$5:$A$4004,"&lt;="&amp;Settings!$B$6,'Daily Log'!$M$5:$M$4004,"Yes"))</f>
        <v>0</v>
      </c>
      <c r="N27" s="20" t="str">
        <f t="shared" si="1"/>
        <v/>
      </c>
      <c r="O27" s="8" t="str">
        <f t="shared" si="2"/>
        <v/>
      </c>
    </row>
    <row r="28" spans="1:15" ht="15.75">
      <c r="A28" s="12" t="str">
        <f>IF('Cashier Roster'!B27="","",'Cashier Roster'!B27)</f>
        <v/>
      </c>
      <c r="B28" s="12" t="str">
        <f>IF(A28="","",'Cashier Roster'!C27)</f>
        <v/>
      </c>
      <c r="C28" s="12" t="str">
        <f>IF(A28="","",'Cashier Roster'!D27)</f>
        <v/>
      </c>
      <c r="D28" s="12" t="str">
        <f>IF(A28="","",'Cashier Roster'!H27)</f>
        <v/>
      </c>
      <c r="E28" s="8" t="str">
        <f>IF(A28="","",COUNTIFS('Daily Log'!$B$5:$B$4004,A28,'Daily Log'!$A$5:$A$4004,"&gt;="&amp;Settings!$B$5,'Daily Log'!$A$5:$A$4004,"&lt;="&amp;Settings!$B$6))</f>
        <v/>
      </c>
      <c r="F28" s="8" t="str">
        <f>IF(A28="","",COUNTIFS('Daily Log'!$B$5:$B$4004,A28,'Daily Log'!$A$5:$A$4004,"&gt;="&amp;Settings!$B$5,'Daily Log'!$A$5:$A$4004,"&lt;="&amp;Settings!$B$6,'Daily Log'!$E$5:$E$4004,"Yes"))</f>
        <v/>
      </c>
      <c r="G28" s="8" t="str">
        <f>IF(A28="","",COUNTIFS('Daily Log'!$B$5:$B$4004,A28,'Daily Log'!$A$5:$A$4004,"&gt;="&amp;Settings!$B$5,'Daily Log'!$A$5:$A$4004,"&lt;="&amp;Settings!$B$6,'Daily Log'!$G$5:$G$4004,"On time"))</f>
        <v/>
      </c>
      <c r="H28" s="20" t="str">
        <f t="shared" si="0"/>
        <v/>
      </c>
      <c r="I28" s="21" t="str">
        <f>IF(A28="","",SUMIFS('Daily Log'!$H$5:$H$4004,'Daily Log'!$B$5:$B$4004,A28,'Daily Log'!$A$5:$A$4004,"&gt;="&amp;Settings!$B$5,'Daily Log'!$A$5:$A$4004,"&lt;="&amp;Settings!$B$6,'Daily Log'!$E$5:$E$4004,"Yes"))</f>
        <v/>
      </c>
      <c r="J28" s="17" t="str">
        <f>IF(A28="","",SUMIFS('Daily Log'!$I$5:$I$4004,'Daily Log'!$B$5:$B$4004,A28,'Daily Log'!$A$5:$A$4004,"&gt;="&amp;Settings!$B$5,'Daily Log'!$A$5:$A$4004,"&lt;="&amp;Settings!$B$6,'Daily Log'!$E$5:$E$4004,"Yes"))</f>
        <v/>
      </c>
      <c r="K28" s="17" t="str">
        <f>IF(A28="","",SUMIFS('Daily Log'!$J$5:$J$4004,'Daily Log'!$B$5:$B$4004,A28,'Daily Log'!$A$5:$A$4004,"&gt;="&amp;Settings!$B$5,'Daily Log'!$A$5:$A$4004,"&lt;="&amp;Settings!$B$6,'Daily Log'!$E$5:$E$4004,"Yes"))</f>
        <v/>
      </c>
      <c r="L28" s="17" t="str">
        <f>IF(A28="","",SUMIFS('Daily Log'!$K$5:$K$4004,'Daily Log'!$B$5:$B$4004,A28,'Daily Log'!$A$5:$A$4004,"&gt;="&amp;Settings!$B$5,'Daily Log'!$A$5:$A$4004,"&lt;="&amp;Settings!$B$6,'Daily Log'!$E$5:$E$4004,"Yes"))</f>
        <v/>
      </c>
      <c r="M28" s="8" t="str">
        <f>IF(A28="","",COUNTIFS('Daily Log'!$B$5:$B$4004,A28,'Daily Log'!$A$5:$A$4004,"&gt;="&amp;Settings!$B$5,'Daily Log'!$A$5:$A$4004,"&lt;="&amp;Settings!$B$6,'Daily Log'!$M$5:$M$4004,"Yes"))</f>
        <v/>
      </c>
      <c r="N28" s="20" t="str">
        <f t="shared" si="1"/>
        <v/>
      </c>
      <c r="O28" s="8" t="str">
        <f t="shared" si="2"/>
        <v/>
      </c>
    </row>
    <row r="29" spans="1:15" ht="15.75">
      <c r="A29" s="12" t="str">
        <f>IF('Cashier Roster'!B28="","",'Cashier Roster'!B28)</f>
        <v/>
      </c>
      <c r="B29" s="12" t="str">
        <f>IF(A29="","",'Cashier Roster'!C28)</f>
        <v/>
      </c>
      <c r="C29" s="12" t="str">
        <f>IF(A29="","",'Cashier Roster'!D28)</f>
        <v/>
      </c>
      <c r="D29" s="12" t="str">
        <f>IF(A29="","",'Cashier Roster'!H28)</f>
        <v/>
      </c>
      <c r="E29" s="8" t="str">
        <f>IF(A29="","",COUNTIFS('Daily Log'!$B$5:$B$4004,A29,'Daily Log'!$A$5:$A$4004,"&gt;="&amp;Settings!$B$5,'Daily Log'!$A$5:$A$4004,"&lt;="&amp;Settings!$B$6))</f>
        <v/>
      </c>
      <c r="F29" s="8" t="str">
        <f>IF(A29="","",COUNTIFS('Daily Log'!$B$5:$B$4004,A29,'Daily Log'!$A$5:$A$4004,"&gt;="&amp;Settings!$B$5,'Daily Log'!$A$5:$A$4004,"&lt;="&amp;Settings!$B$6,'Daily Log'!$E$5:$E$4004,"Yes"))</f>
        <v/>
      </c>
      <c r="G29" s="8" t="str">
        <f>IF(A29="","",COUNTIFS('Daily Log'!$B$5:$B$4004,A29,'Daily Log'!$A$5:$A$4004,"&gt;="&amp;Settings!$B$5,'Daily Log'!$A$5:$A$4004,"&lt;="&amp;Settings!$B$6,'Daily Log'!$G$5:$G$4004,"On time"))</f>
        <v/>
      </c>
      <c r="H29" s="20" t="str">
        <f t="shared" si="0"/>
        <v/>
      </c>
      <c r="I29" s="21" t="str">
        <f>IF(A29="","",SUMIFS('Daily Log'!$H$5:$H$4004,'Daily Log'!$B$5:$B$4004,A29,'Daily Log'!$A$5:$A$4004,"&gt;="&amp;Settings!$B$5,'Daily Log'!$A$5:$A$4004,"&lt;="&amp;Settings!$B$6,'Daily Log'!$E$5:$E$4004,"Yes"))</f>
        <v/>
      </c>
      <c r="J29" s="17" t="str">
        <f>IF(A29="","",SUMIFS('Daily Log'!$I$5:$I$4004,'Daily Log'!$B$5:$B$4004,A29,'Daily Log'!$A$5:$A$4004,"&gt;="&amp;Settings!$B$5,'Daily Log'!$A$5:$A$4004,"&lt;="&amp;Settings!$B$6,'Daily Log'!$E$5:$E$4004,"Yes"))</f>
        <v/>
      </c>
      <c r="K29" s="17" t="str">
        <f>IF(A29="","",SUMIFS('Daily Log'!$J$5:$J$4004,'Daily Log'!$B$5:$B$4004,A29,'Daily Log'!$A$5:$A$4004,"&gt;="&amp;Settings!$B$5,'Daily Log'!$A$5:$A$4004,"&lt;="&amp;Settings!$B$6,'Daily Log'!$E$5:$E$4004,"Yes"))</f>
        <v/>
      </c>
      <c r="L29" s="17" t="str">
        <f>IF(A29="","",SUMIFS('Daily Log'!$K$5:$K$4004,'Daily Log'!$B$5:$B$4004,A29,'Daily Log'!$A$5:$A$4004,"&gt;="&amp;Settings!$B$5,'Daily Log'!$A$5:$A$4004,"&lt;="&amp;Settings!$B$6,'Daily Log'!$E$5:$E$4004,"Yes"))</f>
        <v/>
      </c>
      <c r="M29" s="8" t="str">
        <f>IF(A29="","",COUNTIFS('Daily Log'!$B$5:$B$4004,A29,'Daily Log'!$A$5:$A$4004,"&gt;="&amp;Settings!$B$5,'Daily Log'!$A$5:$A$4004,"&lt;="&amp;Settings!$B$6,'Daily Log'!$M$5:$M$4004,"Yes"))</f>
        <v/>
      </c>
      <c r="N29" s="20" t="str">
        <f t="shared" si="1"/>
        <v/>
      </c>
      <c r="O29" s="8" t="str">
        <f t="shared" si="2"/>
        <v/>
      </c>
    </row>
    <row r="30" spans="1:15" ht="15.75">
      <c r="A30" s="12" t="str">
        <f>IF('Cashier Roster'!B29="","",'Cashier Roster'!B29)</f>
        <v/>
      </c>
      <c r="B30" s="12" t="str">
        <f>IF(A30="","",'Cashier Roster'!C29)</f>
        <v/>
      </c>
      <c r="C30" s="12" t="str">
        <f>IF(A30="","",'Cashier Roster'!D29)</f>
        <v/>
      </c>
      <c r="D30" s="12" t="str">
        <f>IF(A30="","",'Cashier Roster'!H29)</f>
        <v/>
      </c>
      <c r="E30" s="8" t="str">
        <f>IF(A30="","",COUNTIFS('Daily Log'!$B$5:$B$4004,A30,'Daily Log'!$A$5:$A$4004,"&gt;="&amp;Settings!$B$5,'Daily Log'!$A$5:$A$4004,"&lt;="&amp;Settings!$B$6))</f>
        <v/>
      </c>
      <c r="F30" s="8" t="str">
        <f>IF(A30="","",COUNTIFS('Daily Log'!$B$5:$B$4004,A30,'Daily Log'!$A$5:$A$4004,"&gt;="&amp;Settings!$B$5,'Daily Log'!$A$5:$A$4004,"&lt;="&amp;Settings!$B$6,'Daily Log'!$E$5:$E$4004,"Yes"))</f>
        <v/>
      </c>
      <c r="G30" s="8" t="str">
        <f>IF(A30="","",COUNTIFS('Daily Log'!$B$5:$B$4004,A30,'Daily Log'!$A$5:$A$4004,"&gt;="&amp;Settings!$B$5,'Daily Log'!$A$5:$A$4004,"&lt;="&amp;Settings!$B$6,'Daily Log'!$G$5:$G$4004,"On time"))</f>
        <v/>
      </c>
      <c r="H30" s="20" t="str">
        <f t="shared" si="0"/>
        <v/>
      </c>
      <c r="I30" s="21" t="str">
        <f>IF(A30="","",SUMIFS('Daily Log'!$H$5:$H$4004,'Daily Log'!$B$5:$B$4004,A30,'Daily Log'!$A$5:$A$4004,"&gt;="&amp;Settings!$B$5,'Daily Log'!$A$5:$A$4004,"&lt;="&amp;Settings!$B$6,'Daily Log'!$E$5:$E$4004,"Yes"))</f>
        <v/>
      </c>
      <c r="J30" s="17" t="str">
        <f>IF(A30="","",SUMIFS('Daily Log'!$I$5:$I$4004,'Daily Log'!$B$5:$B$4004,A30,'Daily Log'!$A$5:$A$4004,"&gt;="&amp;Settings!$B$5,'Daily Log'!$A$5:$A$4004,"&lt;="&amp;Settings!$B$6,'Daily Log'!$E$5:$E$4004,"Yes"))</f>
        <v/>
      </c>
      <c r="K30" s="17" t="str">
        <f>IF(A30="","",SUMIFS('Daily Log'!$J$5:$J$4004,'Daily Log'!$B$5:$B$4004,A30,'Daily Log'!$A$5:$A$4004,"&gt;="&amp;Settings!$B$5,'Daily Log'!$A$5:$A$4004,"&lt;="&amp;Settings!$B$6,'Daily Log'!$E$5:$E$4004,"Yes"))</f>
        <v/>
      </c>
      <c r="L30" s="17" t="str">
        <f>IF(A30="","",SUMIFS('Daily Log'!$K$5:$K$4004,'Daily Log'!$B$5:$B$4004,A30,'Daily Log'!$A$5:$A$4004,"&gt;="&amp;Settings!$B$5,'Daily Log'!$A$5:$A$4004,"&lt;="&amp;Settings!$B$6,'Daily Log'!$E$5:$E$4004,"Yes"))</f>
        <v/>
      </c>
      <c r="M30" s="8" t="str">
        <f>IF(A30="","",COUNTIFS('Daily Log'!$B$5:$B$4004,A30,'Daily Log'!$A$5:$A$4004,"&gt;="&amp;Settings!$B$5,'Daily Log'!$A$5:$A$4004,"&lt;="&amp;Settings!$B$6,'Daily Log'!$M$5:$M$4004,"Yes"))</f>
        <v/>
      </c>
      <c r="N30" s="20" t="str">
        <f t="shared" si="1"/>
        <v/>
      </c>
      <c r="O30" s="8" t="str">
        <f t="shared" si="2"/>
        <v/>
      </c>
    </row>
    <row r="31" spans="1:15" ht="15.75">
      <c r="A31" s="12" t="str">
        <f>IF('Cashier Roster'!B30="","",'Cashier Roster'!B30)</f>
        <v/>
      </c>
      <c r="B31" s="12" t="str">
        <f>IF(A31="","",'Cashier Roster'!C30)</f>
        <v/>
      </c>
      <c r="C31" s="12" t="str">
        <f>IF(A31="","",'Cashier Roster'!D30)</f>
        <v/>
      </c>
      <c r="D31" s="12" t="str">
        <f>IF(A31="","",'Cashier Roster'!H30)</f>
        <v/>
      </c>
      <c r="E31" s="8" t="str">
        <f>IF(A31="","",COUNTIFS('Daily Log'!$B$5:$B$4004,A31,'Daily Log'!$A$5:$A$4004,"&gt;="&amp;Settings!$B$5,'Daily Log'!$A$5:$A$4004,"&lt;="&amp;Settings!$B$6))</f>
        <v/>
      </c>
      <c r="F31" s="8" t="str">
        <f>IF(A31="","",COUNTIFS('Daily Log'!$B$5:$B$4004,A31,'Daily Log'!$A$5:$A$4004,"&gt;="&amp;Settings!$B$5,'Daily Log'!$A$5:$A$4004,"&lt;="&amp;Settings!$B$6,'Daily Log'!$E$5:$E$4004,"Yes"))</f>
        <v/>
      </c>
      <c r="G31" s="8" t="str">
        <f>IF(A31="","",COUNTIFS('Daily Log'!$B$5:$B$4004,A31,'Daily Log'!$A$5:$A$4004,"&gt;="&amp;Settings!$B$5,'Daily Log'!$A$5:$A$4004,"&lt;="&amp;Settings!$B$6,'Daily Log'!$G$5:$G$4004,"On time"))</f>
        <v/>
      </c>
      <c r="H31" s="20" t="str">
        <f t="shared" si="0"/>
        <v/>
      </c>
      <c r="I31" s="21" t="str">
        <f>IF(A31="","",SUMIFS('Daily Log'!$H$5:$H$4004,'Daily Log'!$B$5:$B$4004,A31,'Daily Log'!$A$5:$A$4004,"&gt;="&amp;Settings!$B$5,'Daily Log'!$A$5:$A$4004,"&lt;="&amp;Settings!$B$6,'Daily Log'!$E$5:$E$4004,"Yes"))</f>
        <v/>
      </c>
      <c r="J31" s="17" t="str">
        <f>IF(A31="","",SUMIFS('Daily Log'!$I$5:$I$4004,'Daily Log'!$B$5:$B$4004,A31,'Daily Log'!$A$5:$A$4004,"&gt;="&amp;Settings!$B$5,'Daily Log'!$A$5:$A$4004,"&lt;="&amp;Settings!$B$6,'Daily Log'!$E$5:$E$4004,"Yes"))</f>
        <v/>
      </c>
      <c r="K31" s="17" t="str">
        <f>IF(A31="","",SUMIFS('Daily Log'!$J$5:$J$4004,'Daily Log'!$B$5:$B$4004,A31,'Daily Log'!$A$5:$A$4004,"&gt;="&amp;Settings!$B$5,'Daily Log'!$A$5:$A$4004,"&lt;="&amp;Settings!$B$6,'Daily Log'!$E$5:$E$4004,"Yes"))</f>
        <v/>
      </c>
      <c r="L31" s="17" t="str">
        <f>IF(A31="","",SUMIFS('Daily Log'!$K$5:$K$4004,'Daily Log'!$B$5:$B$4004,A31,'Daily Log'!$A$5:$A$4004,"&gt;="&amp;Settings!$B$5,'Daily Log'!$A$5:$A$4004,"&lt;="&amp;Settings!$B$6,'Daily Log'!$E$5:$E$4004,"Yes"))</f>
        <v/>
      </c>
      <c r="M31" s="8" t="str">
        <f>IF(A31="","",COUNTIFS('Daily Log'!$B$5:$B$4004,A31,'Daily Log'!$A$5:$A$4004,"&gt;="&amp;Settings!$B$5,'Daily Log'!$A$5:$A$4004,"&lt;="&amp;Settings!$B$6,'Daily Log'!$M$5:$M$4004,"Yes"))</f>
        <v/>
      </c>
      <c r="N31" s="20" t="str">
        <f t="shared" si="1"/>
        <v/>
      </c>
      <c r="O31" s="8" t="str">
        <f t="shared" si="2"/>
        <v/>
      </c>
    </row>
    <row r="32" spans="1:15" ht="15.75">
      <c r="A32" s="12" t="str">
        <f>IF('Cashier Roster'!B31="","",'Cashier Roster'!B31)</f>
        <v/>
      </c>
      <c r="B32" s="12" t="str">
        <f>IF(A32="","",'Cashier Roster'!C31)</f>
        <v/>
      </c>
      <c r="C32" s="12" t="str">
        <f>IF(A32="","",'Cashier Roster'!D31)</f>
        <v/>
      </c>
      <c r="D32" s="12" t="str">
        <f>IF(A32="","",'Cashier Roster'!H31)</f>
        <v/>
      </c>
      <c r="E32" s="8" t="str">
        <f>IF(A32="","",COUNTIFS('Daily Log'!$B$5:$B$4004,A32,'Daily Log'!$A$5:$A$4004,"&gt;="&amp;Settings!$B$5,'Daily Log'!$A$5:$A$4004,"&lt;="&amp;Settings!$B$6))</f>
        <v/>
      </c>
      <c r="F32" s="8" t="str">
        <f>IF(A32="","",COUNTIFS('Daily Log'!$B$5:$B$4004,A32,'Daily Log'!$A$5:$A$4004,"&gt;="&amp;Settings!$B$5,'Daily Log'!$A$5:$A$4004,"&lt;="&amp;Settings!$B$6,'Daily Log'!$E$5:$E$4004,"Yes"))</f>
        <v/>
      </c>
      <c r="G32" s="8" t="str">
        <f>IF(A32="","",COUNTIFS('Daily Log'!$B$5:$B$4004,A32,'Daily Log'!$A$5:$A$4004,"&gt;="&amp;Settings!$B$5,'Daily Log'!$A$5:$A$4004,"&lt;="&amp;Settings!$B$6,'Daily Log'!$G$5:$G$4004,"On time"))</f>
        <v/>
      </c>
      <c r="H32" s="20" t="str">
        <f t="shared" si="0"/>
        <v/>
      </c>
      <c r="I32" s="21" t="str">
        <f>IF(A32="","",SUMIFS('Daily Log'!$H$5:$H$4004,'Daily Log'!$B$5:$B$4004,A32,'Daily Log'!$A$5:$A$4004,"&gt;="&amp;Settings!$B$5,'Daily Log'!$A$5:$A$4004,"&lt;="&amp;Settings!$B$6,'Daily Log'!$E$5:$E$4004,"Yes"))</f>
        <v/>
      </c>
      <c r="J32" s="17" t="str">
        <f>IF(A32="","",SUMIFS('Daily Log'!$I$5:$I$4004,'Daily Log'!$B$5:$B$4004,A32,'Daily Log'!$A$5:$A$4004,"&gt;="&amp;Settings!$B$5,'Daily Log'!$A$5:$A$4004,"&lt;="&amp;Settings!$B$6,'Daily Log'!$E$5:$E$4004,"Yes"))</f>
        <v/>
      </c>
      <c r="K32" s="17" t="str">
        <f>IF(A32="","",SUMIFS('Daily Log'!$J$5:$J$4004,'Daily Log'!$B$5:$B$4004,A32,'Daily Log'!$A$5:$A$4004,"&gt;="&amp;Settings!$B$5,'Daily Log'!$A$5:$A$4004,"&lt;="&amp;Settings!$B$6,'Daily Log'!$E$5:$E$4004,"Yes"))</f>
        <v/>
      </c>
      <c r="L32" s="17" t="str">
        <f>IF(A32="","",SUMIFS('Daily Log'!$K$5:$K$4004,'Daily Log'!$B$5:$B$4004,A32,'Daily Log'!$A$5:$A$4004,"&gt;="&amp;Settings!$B$5,'Daily Log'!$A$5:$A$4004,"&lt;="&amp;Settings!$B$6,'Daily Log'!$E$5:$E$4004,"Yes"))</f>
        <v/>
      </c>
      <c r="M32" s="8" t="str">
        <f>IF(A32="","",COUNTIFS('Daily Log'!$B$5:$B$4004,A32,'Daily Log'!$A$5:$A$4004,"&gt;="&amp;Settings!$B$5,'Daily Log'!$A$5:$A$4004,"&lt;="&amp;Settings!$B$6,'Daily Log'!$M$5:$M$4004,"Yes"))</f>
        <v/>
      </c>
      <c r="N32" s="20" t="str">
        <f t="shared" si="1"/>
        <v/>
      </c>
      <c r="O32" s="8" t="str">
        <f t="shared" si="2"/>
        <v/>
      </c>
    </row>
    <row r="33" spans="1:15" ht="15.75">
      <c r="A33" s="12" t="str">
        <f>IF('Cashier Roster'!B32="","",'Cashier Roster'!B32)</f>
        <v/>
      </c>
      <c r="B33" s="12" t="str">
        <f>IF(A33="","",'Cashier Roster'!C32)</f>
        <v/>
      </c>
      <c r="C33" s="12" t="str">
        <f>IF(A33="","",'Cashier Roster'!D32)</f>
        <v/>
      </c>
      <c r="D33" s="12" t="str">
        <f>IF(A33="","",'Cashier Roster'!H32)</f>
        <v/>
      </c>
      <c r="E33" s="8" t="str">
        <f>IF(A33="","",COUNTIFS('Daily Log'!$B$5:$B$4004,A33,'Daily Log'!$A$5:$A$4004,"&gt;="&amp;Settings!$B$5,'Daily Log'!$A$5:$A$4004,"&lt;="&amp;Settings!$B$6))</f>
        <v/>
      </c>
      <c r="F33" s="8" t="str">
        <f>IF(A33="","",COUNTIFS('Daily Log'!$B$5:$B$4004,A33,'Daily Log'!$A$5:$A$4004,"&gt;="&amp;Settings!$B$5,'Daily Log'!$A$5:$A$4004,"&lt;="&amp;Settings!$B$6,'Daily Log'!$E$5:$E$4004,"Yes"))</f>
        <v/>
      </c>
      <c r="G33" s="8" t="str">
        <f>IF(A33="","",COUNTIFS('Daily Log'!$B$5:$B$4004,A33,'Daily Log'!$A$5:$A$4004,"&gt;="&amp;Settings!$B$5,'Daily Log'!$A$5:$A$4004,"&lt;="&amp;Settings!$B$6,'Daily Log'!$G$5:$G$4004,"On time"))</f>
        <v/>
      </c>
      <c r="H33" s="20" t="str">
        <f t="shared" si="0"/>
        <v/>
      </c>
      <c r="I33" s="21" t="str">
        <f>IF(A33="","",SUMIFS('Daily Log'!$H$5:$H$4004,'Daily Log'!$B$5:$B$4004,A33,'Daily Log'!$A$5:$A$4004,"&gt;="&amp;Settings!$B$5,'Daily Log'!$A$5:$A$4004,"&lt;="&amp;Settings!$B$6,'Daily Log'!$E$5:$E$4004,"Yes"))</f>
        <v/>
      </c>
      <c r="J33" s="17" t="str">
        <f>IF(A33="","",SUMIFS('Daily Log'!$I$5:$I$4004,'Daily Log'!$B$5:$B$4004,A33,'Daily Log'!$A$5:$A$4004,"&gt;="&amp;Settings!$B$5,'Daily Log'!$A$5:$A$4004,"&lt;="&amp;Settings!$B$6,'Daily Log'!$E$5:$E$4004,"Yes"))</f>
        <v/>
      </c>
      <c r="K33" s="17" t="str">
        <f>IF(A33="","",SUMIFS('Daily Log'!$J$5:$J$4004,'Daily Log'!$B$5:$B$4004,A33,'Daily Log'!$A$5:$A$4004,"&gt;="&amp;Settings!$B$5,'Daily Log'!$A$5:$A$4004,"&lt;="&amp;Settings!$B$6,'Daily Log'!$E$5:$E$4004,"Yes"))</f>
        <v/>
      </c>
      <c r="L33" s="17" t="str">
        <f>IF(A33="","",SUMIFS('Daily Log'!$K$5:$K$4004,'Daily Log'!$B$5:$B$4004,A33,'Daily Log'!$A$5:$A$4004,"&gt;="&amp;Settings!$B$5,'Daily Log'!$A$5:$A$4004,"&lt;="&amp;Settings!$B$6,'Daily Log'!$E$5:$E$4004,"Yes"))</f>
        <v/>
      </c>
      <c r="M33" s="8" t="str">
        <f>IF(A33="","",COUNTIFS('Daily Log'!$B$5:$B$4004,A33,'Daily Log'!$A$5:$A$4004,"&gt;="&amp;Settings!$B$5,'Daily Log'!$A$5:$A$4004,"&lt;="&amp;Settings!$B$6,'Daily Log'!$M$5:$M$4004,"Yes"))</f>
        <v/>
      </c>
      <c r="N33" s="20" t="str">
        <f t="shared" si="1"/>
        <v/>
      </c>
      <c r="O33" s="8" t="str">
        <f t="shared" si="2"/>
        <v/>
      </c>
    </row>
    <row r="34" spans="1:15" ht="15.75">
      <c r="A34" s="12" t="str">
        <f>IF('Cashier Roster'!B33="","",'Cashier Roster'!B33)</f>
        <v/>
      </c>
      <c r="B34" s="12" t="str">
        <f>IF(A34="","",'Cashier Roster'!C33)</f>
        <v/>
      </c>
      <c r="C34" s="12" t="str">
        <f>IF(A34="","",'Cashier Roster'!D33)</f>
        <v/>
      </c>
      <c r="D34" s="12" t="str">
        <f>IF(A34="","",'Cashier Roster'!H33)</f>
        <v/>
      </c>
      <c r="E34" s="8" t="str">
        <f>IF(A34="","",COUNTIFS('Daily Log'!$B$5:$B$4004,A34,'Daily Log'!$A$5:$A$4004,"&gt;="&amp;Settings!$B$5,'Daily Log'!$A$5:$A$4004,"&lt;="&amp;Settings!$B$6))</f>
        <v/>
      </c>
      <c r="F34" s="8" t="str">
        <f>IF(A34="","",COUNTIFS('Daily Log'!$B$5:$B$4004,A34,'Daily Log'!$A$5:$A$4004,"&gt;="&amp;Settings!$B$5,'Daily Log'!$A$5:$A$4004,"&lt;="&amp;Settings!$B$6,'Daily Log'!$E$5:$E$4004,"Yes"))</f>
        <v/>
      </c>
      <c r="G34" s="8" t="str">
        <f>IF(A34="","",COUNTIFS('Daily Log'!$B$5:$B$4004,A34,'Daily Log'!$A$5:$A$4004,"&gt;="&amp;Settings!$B$5,'Daily Log'!$A$5:$A$4004,"&lt;="&amp;Settings!$B$6,'Daily Log'!$G$5:$G$4004,"On time"))</f>
        <v/>
      </c>
      <c r="H34" s="20" t="str">
        <f t="shared" si="0"/>
        <v/>
      </c>
      <c r="I34" s="21" t="str">
        <f>IF(A34="","",SUMIFS('Daily Log'!$H$5:$H$4004,'Daily Log'!$B$5:$B$4004,A34,'Daily Log'!$A$5:$A$4004,"&gt;="&amp;Settings!$B$5,'Daily Log'!$A$5:$A$4004,"&lt;="&amp;Settings!$B$6,'Daily Log'!$E$5:$E$4004,"Yes"))</f>
        <v/>
      </c>
      <c r="J34" s="17" t="str">
        <f>IF(A34="","",SUMIFS('Daily Log'!$I$5:$I$4004,'Daily Log'!$B$5:$B$4004,A34,'Daily Log'!$A$5:$A$4004,"&gt;="&amp;Settings!$B$5,'Daily Log'!$A$5:$A$4004,"&lt;="&amp;Settings!$B$6,'Daily Log'!$E$5:$E$4004,"Yes"))</f>
        <v/>
      </c>
      <c r="K34" s="17" t="str">
        <f>IF(A34="","",SUMIFS('Daily Log'!$J$5:$J$4004,'Daily Log'!$B$5:$B$4004,A34,'Daily Log'!$A$5:$A$4004,"&gt;="&amp;Settings!$B$5,'Daily Log'!$A$5:$A$4004,"&lt;="&amp;Settings!$B$6,'Daily Log'!$E$5:$E$4004,"Yes"))</f>
        <v/>
      </c>
      <c r="L34" s="17" t="str">
        <f>IF(A34="","",SUMIFS('Daily Log'!$K$5:$K$4004,'Daily Log'!$B$5:$B$4004,A34,'Daily Log'!$A$5:$A$4004,"&gt;="&amp;Settings!$B$5,'Daily Log'!$A$5:$A$4004,"&lt;="&amp;Settings!$B$6,'Daily Log'!$E$5:$E$4004,"Yes"))</f>
        <v/>
      </c>
      <c r="M34" s="8" t="str">
        <f>IF(A34="","",COUNTIFS('Daily Log'!$B$5:$B$4004,A34,'Daily Log'!$A$5:$A$4004,"&gt;="&amp;Settings!$B$5,'Daily Log'!$A$5:$A$4004,"&lt;="&amp;Settings!$B$6,'Daily Log'!$M$5:$M$4004,"Yes"))</f>
        <v/>
      </c>
      <c r="N34" s="20" t="str">
        <f t="shared" si="1"/>
        <v/>
      </c>
      <c r="O34" s="8" t="str">
        <f t="shared" si="2"/>
        <v/>
      </c>
    </row>
    <row r="35" spans="1:15" ht="15.75">
      <c r="A35" s="12" t="str">
        <f>IF('Cashier Roster'!B34="","",'Cashier Roster'!B34)</f>
        <v/>
      </c>
      <c r="B35" s="12" t="str">
        <f>IF(A35="","",'Cashier Roster'!C34)</f>
        <v/>
      </c>
      <c r="C35" s="12" t="str">
        <f>IF(A35="","",'Cashier Roster'!D34)</f>
        <v/>
      </c>
      <c r="D35" s="12" t="str">
        <f>IF(A35="","",'Cashier Roster'!H34)</f>
        <v/>
      </c>
      <c r="E35" s="8" t="str">
        <f>IF(A35="","",COUNTIFS('Daily Log'!$B$5:$B$4004,A35,'Daily Log'!$A$5:$A$4004,"&gt;="&amp;Settings!$B$5,'Daily Log'!$A$5:$A$4004,"&lt;="&amp;Settings!$B$6))</f>
        <v/>
      </c>
      <c r="F35" s="8" t="str">
        <f>IF(A35="","",COUNTIFS('Daily Log'!$B$5:$B$4004,A35,'Daily Log'!$A$5:$A$4004,"&gt;="&amp;Settings!$B$5,'Daily Log'!$A$5:$A$4004,"&lt;="&amp;Settings!$B$6,'Daily Log'!$E$5:$E$4004,"Yes"))</f>
        <v/>
      </c>
      <c r="G35" s="8" t="str">
        <f>IF(A35="","",COUNTIFS('Daily Log'!$B$5:$B$4004,A35,'Daily Log'!$A$5:$A$4004,"&gt;="&amp;Settings!$B$5,'Daily Log'!$A$5:$A$4004,"&lt;="&amp;Settings!$B$6,'Daily Log'!$G$5:$G$4004,"On time"))</f>
        <v/>
      </c>
      <c r="H35" s="20" t="str">
        <f t="shared" si="0"/>
        <v/>
      </c>
      <c r="I35" s="21" t="str">
        <f>IF(A35="","",SUMIFS('Daily Log'!$H$5:$H$4004,'Daily Log'!$B$5:$B$4004,A35,'Daily Log'!$A$5:$A$4004,"&gt;="&amp;Settings!$B$5,'Daily Log'!$A$5:$A$4004,"&lt;="&amp;Settings!$B$6,'Daily Log'!$E$5:$E$4004,"Yes"))</f>
        <v/>
      </c>
      <c r="J35" s="17" t="str">
        <f>IF(A35="","",SUMIFS('Daily Log'!$I$5:$I$4004,'Daily Log'!$B$5:$B$4004,A35,'Daily Log'!$A$5:$A$4004,"&gt;="&amp;Settings!$B$5,'Daily Log'!$A$5:$A$4004,"&lt;="&amp;Settings!$B$6,'Daily Log'!$E$5:$E$4004,"Yes"))</f>
        <v/>
      </c>
      <c r="K35" s="17" t="str">
        <f>IF(A35="","",SUMIFS('Daily Log'!$J$5:$J$4004,'Daily Log'!$B$5:$B$4004,A35,'Daily Log'!$A$5:$A$4004,"&gt;="&amp;Settings!$B$5,'Daily Log'!$A$5:$A$4004,"&lt;="&amp;Settings!$B$6,'Daily Log'!$E$5:$E$4004,"Yes"))</f>
        <v/>
      </c>
      <c r="L35" s="17" t="str">
        <f>IF(A35="","",SUMIFS('Daily Log'!$K$5:$K$4004,'Daily Log'!$B$5:$B$4004,A35,'Daily Log'!$A$5:$A$4004,"&gt;="&amp;Settings!$B$5,'Daily Log'!$A$5:$A$4004,"&lt;="&amp;Settings!$B$6,'Daily Log'!$E$5:$E$4004,"Yes"))</f>
        <v/>
      </c>
      <c r="M35" s="8" t="str">
        <f>IF(A35="","",COUNTIFS('Daily Log'!$B$5:$B$4004,A35,'Daily Log'!$A$5:$A$4004,"&gt;="&amp;Settings!$B$5,'Daily Log'!$A$5:$A$4004,"&lt;="&amp;Settings!$B$6,'Daily Log'!$M$5:$M$4004,"Yes"))</f>
        <v/>
      </c>
      <c r="N35" s="20" t="str">
        <f t="shared" si="1"/>
        <v/>
      </c>
      <c r="O35" s="8" t="str">
        <f t="shared" si="2"/>
        <v/>
      </c>
    </row>
    <row r="36" spans="1:15" ht="15.75">
      <c r="A36" s="12" t="str">
        <f>IF('Cashier Roster'!B35="","",'Cashier Roster'!B35)</f>
        <v/>
      </c>
      <c r="B36" s="12" t="str">
        <f>IF(A36="","",'Cashier Roster'!C35)</f>
        <v/>
      </c>
      <c r="C36" s="12" t="str">
        <f>IF(A36="","",'Cashier Roster'!D35)</f>
        <v/>
      </c>
      <c r="D36" s="12" t="str">
        <f>IF(A36="","",'Cashier Roster'!H35)</f>
        <v/>
      </c>
      <c r="E36" s="8" t="str">
        <f>IF(A36="","",COUNTIFS('Daily Log'!$B$5:$B$4004,A36,'Daily Log'!$A$5:$A$4004,"&gt;="&amp;Settings!$B$5,'Daily Log'!$A$5:$A$4004,"&lt;="&amp;Settings!$B$6))</f>
        <v/>
      </c>
      <c r="F36" s="8" t="str">
        <f>IF(A36="","",COUNTIFS('Daily Log'!$B$5:$B$4004,A36,'Daily Log'!$A$5:$A$4004,"&gt;="&amp;Settings!$B$5,'Daily Log'!$A$5:$A$4004,"&lt;="&amp;Settings!$B$6,'Daily Log'!$E$5:$E$4004,"Yes"))</f>
        <v/>
      </c>
      <c r="G36" s="8" t="str">
        <f>IF(A36="","",COUNTIFS('Daily Log'!$B$5:$B$4004,A36,'Daily Log'!$A$5:$A$4004,"&gt;="&amp;Settings!$B$5,'Daily Log'!$A$5:$A$4004,"&lt;="&amp;Settings!$B$6,'Daily Log'!$G$5:$G$4004,"On time"))</f>
        <v/>
      </c>
      <c r="H36" s="20" t="str">
        <f t="shared" si="0"/>
        <v/>
      </c>
      <c r="I36" s="21" t="str">
        <f>IF(A36="","",SUMIFS('Daily Log'!$H$5:$H$4004,'Daily Log'!$B$5:$B$4004,A36,'Daily Log'!$A$5:$A$4004,"&gt;="&amp;Settings!$B$5,'Daily Log'!$A$5:$A$4004,"&lt;="&amp;Settings!$B$6,'Daily Log'!$E$5:$E$4004,"Yes"))</f>
        <v/>
      </c>
      <c r="J36" s="17" t="str">
        <f>IF(A36="","",SUMIFS('Daily Log'!$I$5:$I$4004,'Daily Log'!$B$5:$B$4004,A36,'Daily Log'!$A$5:$A$4004,"&gt;="&amp;Settings!$B$5,'Daily Log'!$A$5:$A$4004,"&lt;="&amp;Settings!$B$6,'Daily Log'!$E$5:$E$4004,"Yes"))</f>
        <v/>
      </c>
      <c r="K36" s="17" t="str">
        <f>IF(A36="","",SUMIFS('Daily Log'!$J$5:$J$4004,'Daily Log'!$B$5:$B$4004,A36,'Daily Log'!$A$5:$A$4004,"&gt;="&amp;Settings!$B$5,'Daily Log'!$A$5:$A$4004,"&lt;="&amp;Settings!$B$6,'Daily Log'!$E$5:$E$4004,"Yes"))</f>
        <v/>
      </c>
      <c r="L36" s="17" t="str">
        <f>IF(A36="","",SUMIFS('Daily Log'!$K$5:$K$4004,'Daily Log'!$B$5:$B$4004,A36,'Daily Log'!$A$5:$A$4004,"&gt;="&amp;Settings!$B$5,'Daily Log'!$A$5:$A$4004,"&lt;="&amp;Settings!$B$6,'Daily Log'!$E$5:$E$4004,"Yes"))</f>
        <v/>
      </c>
      <c r="M36" s="8" t="str">
        <f>IF(A36="","",COUNTIFS('Daily Log'!$B$5:$B$4004,A36,'Daily Log'!$A$5:$A$4004,"&gt;="&amp;Settings!$B$5,'Daily Log'!$A$5:$A$4004,"&lt;="&amp;Settings!$B$6,'Daily Log'!$M$5:$M$4004,"Yes"))</f>
        <v/>
      </c>
      <c r="N36" s="20" t="str">
        <f t="shared" si="1"/>
        <v/>
      </c>
      <c r="O36" s="8" t="str">
        <f t="shared" si="2"/>
        <v/>
      </c>
    </row>
    <row r="37" spans="1:15" ht="15.75">
      <c r="A37" s="12" t="str">
        <f>IF('Cashier Roster'!B36="","",'Cashier Roster'!B36)</f>
        <v/>
      </c>
      <c r="B37" s="12" t="str">
        <f>IF(A37="","",'Cashier Roster'!C36)</f>
        <v/>
      </c>
      <c r="C37" s="12" t="str">
        <f>IF(A37="","",'Cashier Roster'!D36)</f>
        <v/>
      </c>
      <c r="D37" s="12" t="str">
        <f>IF(A37="","",'Cashier Roster'!H36)</f>
        <v/>
      </c>
      <c r="E37" s="8" t="str">
        <f>IF(A37="","",COUNTIFS('Daily Log'!$B$5:$B$4004,A37,'Daily Log'!$A$5:$A$4004,"&gt;="&amp;Settings!$B$5,'Daily Log'!$A$5:$A$4004,"&lt;="&amp;Settings!$B$6))</f>
        <v/>
      </c>
      <c r="F37" s="8" t="str">
        <f>IF(A37="","",COUNTIFS('Daily Log'!$B$5:$B$4004,A37,'Daily Log'!$A$5:$A$4004,"&gt;="&amp;Settings!$B$5,'Daily Log'!$A$5:$A$4004,"&lt;="&amp;Settings!$B$6,'Daily Log'!$E$5:$E$4004,"Yes"))</f>
        <v/>
      </c>
      <c r="G37" s="8" t="str">
        <f>IF(A37="","",COUNTIFS('Daily Log'!$B$5:$B$4004,A37,'Daily Log'!$A$5:$A$4004,"&gt;="&amp;Settings!$B$5,'Daily Log'!$A$5:$A$4004,"&lt;="&amp;Settings!$B$6,'Daily Log'!$G$5:$G$4004,"On time"))</f>
        <v/>
      </c>
      <c r="H37" s="20" t="str">
        <f t="shared" si="0"/>
        <v/>
      </c>
      <c r="I37" s="21" t="str">
        <f>IF(A37="","",SUMIFS('Daily Log'!$H$5:$H$4004,'Daily Log'!$B$5:$B$4004,A37,'Daily Log'!$A$5:$A$4004,"&gt;="&amp;Settings!$B$5,'Daily Log'!$A$5:$A$4004,"&lt;="&amp;Settings!$B$6,'Daily Log'!$E$5:$E$4004,"Yes"))</f>
        <v/>
      </c>
      <c r="J37" s="17" t="str">
        <f>IF(A37="","",SUMIFS('Daily Log'!$I$5:$I$4004,'Daily Log'!$B$5:$B$4004,A37,'Daily Log'!$A$5:$A$4004,"&gt;="&amp;Settings!$B$5,'Daily Log'!$A$5:$A$4004,"&lt;="&amp;Settings!$B$6,'Daily Log'!$E$5:$E$4004,"Yes"))</f>
        <v/>
      </c>
      <c r="K37" s="17" t="str">
        <f>IF(A37="","",SUMIFS('Daily Log'!$J$5:$J$4004,'Daily Log'!$B$5:$B$4004,A37,'Daily Log'!$A$5:$A$4004,"&gt;="&amp;Settings!$B$5,'Daily Log'!$A$5:$A$4004,"&lt;="&amp;Settings!$B$6,'Daily Log'!$E$5:$E$4004,"Yes"))</f>
        <v/>
      </c>
      <c r="L37" s="17" t="str">
        <f>IF(A37="","",SUMIFS('Daily Log'!$K$5:$K$4004,'Daily Log'!$B$5:$B$4004,A37,'Daily Log'!$A$5:$A$4004,"&gt;="&amp;Settings!$B$5,'Daily Log'!$A$5:$A$4004,"&lt;="&amp;Settings!$B$6,'Daily Log'!$E$5:$E$4004,"Yes"))</f>
        <v/>
      </c>
      <c r="M37" s="8" t="str">
        <f>IF(A37="","",COUNTIFS('Daily Log'!$B$5:$B$4004,A37,'Daily Log'!$A$5:$A$4004,"&gt;="&amp;Settings!$B$5,'Daily Log'!$A$5:$A$4004,"&lt;="&amp;Settings!$B$6,'Daily Log'!$M$5:$M$4004,"Yes"))</f>
        <v/>
      </c>
      <c r="N37" s="20" t="str">
        <f t="shared" si="1"/>
        <v/>
      </c>
      <c r="O37" s="8" t="str">
        <f t="shared" si="2"/>
        <v/>
      </c>
    </row>
    <row r="38" spans="1:15" ht="15.75">
      <c r="A38" s="12" t="str">
        <f>IF('Cashier Roster'!B37="","",'Cashier Roster'!B37)</f>
        <v/>
      </c>
      <c r="B38" s="12" t="str">
        <f>IF(A38="","",'Cashier Roster'!C37)</f>
        <v/>
      </c>
      <c r="C38" s="12" t="str">
        <f>IF(A38="","",'Cashier Roster'!D37)</f>
        <v/>
      </c>
      <c r="D38" s="12" t="str">
        <f>IF(A38="","",'Cashier Roster'!H37)</f>
        <v/>
      </c>
      <c r="E38" s="8" t="str">
        <f>IF(A38="","",COUNTIFS('Daily Log'!$B$5:$B$4004,A38,'Daily Log'!$A$5:$A$4004,"&gt;="&amp;Settings!$B$5,'Daily Log'!$A$5:$A$4004,"&lt;="&amp;Settings!$B$6))</f>
        <v/>
      </c>
      <c r="F38" s="8" t="str">
        <f>IF(A38="","",COUNTIFS('Daily Log'!$B$5:$B$4004,A38,'Daily Log'!$A$5:$A$4004,"&gt;="&amp;Settings!$B$5,'Daily Log'!$A$5:$A$4004,"&lt;="&amp;Settings!$B$6,'Daily Log'!$E$5:$E$4004,"Yes"))</f>
        <v/>
      </c>
      <c r="G38" s="8" t="str">
        <f>IF(A38="","",COUNTIFS('Daily Log'!$B$5:$B$4004,A38,'Daily Log'!$A$5:$A$4004,"&gt;="&amp;Settings!$B$5,'Daily Log'!$A$5:$A$4004,"&lt;="&amp;Settings!$B$6,'Daily Log'!$G$5:$G$4004,"On time"))</f>
        <v/>
      </c>
      <c r="H38" s="20" t="str">
        <f t="shared" ref="H38:H69" si="3">IF(OR(A38="",E38=0),"",G38/E38)</f>
        <v/>
      </c>
      <c r="I38" s="21" t="str">
        <f>IF(A38="","",SUMIFS('Daily Log'!$H$5:$H$4004,'Daily Log'!$B$5:$B$4004,A38,'Daily Log'!$A$5:$A$4004,"&gt;="&amp;Settings!$B$5,'Daily Log'!$A$5:$A$4004,"&lt;="&amp;Settings!$B$6,'Daily Log'!$E$5:$E$4004,"Yes"))</f>
        <v/>
      </c>
      <c r="J38" s="17" t="str">
        <f>IF(A38="","",SUMIFS('Daily Log'!$I$5:$I$4004,'Daily Log'!$B$5:$B$4004,A38,'Daily Log'!$A$5:$A$4004,"&gt;="&amp;Settings!$B$5,'Daily Log'!$A$5:$A$4004,"&lt;="&amp;Settings!$B$6,'Daily Log'!$E$5:$E$4004,"Yes"))</f>
        <v/>
      </c>
      <c r="K38" s="17" t="str">
        <f>IF(A38="","",SUMIFS('Daily Log'!$J$5:$J$4004,'Daily Log'!$B$5:$B$4004,A38,'Daily Log'!$A$5:$A$4004,"&gt;="&amp;Settings!$B$5,'Daily Log'!$A$5:$A$4004,"&lt;="&amp;Settings!$B$6,'Daily Log'!$E$5:$E$4004,"Yes"))</f>
        <v/>
      </c>
      <c r="L38" s="17" t="str">
        <f>IF(A38="","",SUMIFS('Daily Log'!$K$5:$K$4004,'Daily Log'!$B$5:$B$4004,A38,'Daily Log'!$A$5:$A$4004,"&gt;="&amp;Settings!$B$5,'Daily Log'!$A$5:$A$4004,"&lt;="&amp;Settings!$B$6,'Daily Log'!$E$5:$E$4004,"Yes"))</f>
        <v/>
      </c>
      <c r="M38" s="8" t="str">
        <f>IF(A38="","",COUNTIFS('Daily Log'!$B$5:$B$4004,A38,'Daily Log'!$A$5:$A$4004,"&gt;="&amp;Settings!$B$5,'Daily Log'!$A$5:$A$4004,"&lt;="&amp;Settings!$B$6,'Daily Log'!$M$5:$M$4004,"Yes"))</f>
        <v/>
      </c>
      <c r="N38" s="20" t="str">
        <f t="shared" ref="N38:N69" si="4">IF(OR(A38="",E38=0),"",M38/E38)</f>
        <v/>
      </c>
      <c r="O38" s="8" t="str">
        <f t="shared" ref="O38:O65" si="5">IF(OR(A38="",N(J38)=0),"",COUNTIF($J$6:$J$65,"&gt;"&amp;J38)+1)</f>
        <v/>
      </c>
    </row>
    <row r="39" spans="1:15" ht="15.75">
      <c r="A39" s="12" t="str">
        <f>IF('Cashier Roster'!B38="","",'Cashier Roster'!B38)</f>
        <v/>
      </c>
      <c r="B39" s="12" t="str">
        <f>IF(A39="","",'Cashier Roster'!C38)</f>
        <v/>
      </c>
      <c r="C39" s="12" t="str">
        <f>IF(A39="","",'Cashier Roster'!D38)</f>
        <v/>
      </c>
      <c r="D39" s="12" t="str">
        <f>IF(A39="","",'Cashier Roster'!H38)</f>
        <v/>
      </c>
      <c r="E39" s="8" t="str">
        <f>IF(A39="","",COUNTIFS('Daily Log'!$B$5:$B$4004,A39,'Daily Log'!$A$5:$A$4004,"&gt;="&amp;Settings!$B$5,'Daily Log'!$A$5:$A$4004,"&lt;="&amp;Settings!$B$6))</f>
        <v/>
      </c>
      <c r="F39" s="8" t="str">
        <f>IF(A39="","",COUNTIFS('Daily Log'!$B$5:$B$4004,A39,'Daily Log'!$A$5:$A$4004,"&gt;="&amp;Settings!$B$5,'Daily Log'!$A$5:$A$4004,"&lt;="&amp;Settings!$B$6,'Daily Log'!$E$5:$E$4004,"Yes"))</f>
        <v/>
      </c>
      <c r="G39" s="8" t="str">
        <f>IF(A39="","",COUNTIFS('Daily Log'!$B$5:$B$4004,A39,'Daily Log'!$A$5:$A$4004,"&gt;="&amp;Settings!$B$5,'Daily Log'!$A$5:$A$4004,"&lt;="&amp;Settings!$B$6,'Daily Log'!$G$5:$G$4004,"On time"))</f>
        <v/>
      </c>
      <c r="H39" s="20" t="str">
        <f t="shared" si="3"/>
        <v/>
      </c>
      <c r="I39" s="21" t="str">
        <f>IF(A39="","",SUMIFS('Daily Log'!$H$5:$H$4004,'Daily Log'!$B$5:$B$4004,A39,'Daily Log'!$A$5:$A$4004,"&gt;="&amp;Settings!$B$5,'Daily Log'!$A$5:$A$4004,"&lt;="&amp;Settings!$B$6,'Daily Log'!$E$5:$E$4004,"Yes"))</f>
        <v/>
      </c>
      <c r="J39" s="17" t="str">
        <f>IF(A39="","",SUMIFS('Daily Log'!$I$5:$I$4004,'Daily Log'!$B$5:$B$4004,A39,'Daily Log'!$A$5:$A$4004,"&gt;="&amp;Settings!$B$5,'Daily Log'!$A$5:$A$4004,"&lt;="&amp;Settings!$B$6,'Daily Log'!$E$5:$E$4004,"Yes"))</f>
        <v/>
      </c>
      <c r="K39" s="17" t="str">
        <f>IF(A39="","",SUMIFS('Daily Log'!$J$5:$J$4004,'Daily Log'!$B$5:$B$4004,A39,'Daily Log'!$A$5:$A$4004,"&gt;="&amp;Settings!$B$5,'Daily Log'!$A$5:$A$4004,"&lt;="&amp;Settings!$B$6,'Daily Log'!$E$5:$E$4004,"Yes"))</f>
        <v/>
      </c>
      <c r="L39" s="17" t="str">
        <f>IF(A39="","",SUMIFS('Daily Log'!$K$5:$K$4004,'Daily Log'!$B$5:$B$4004,A39,'Daily Log'!$A$5:$A$4004,"&gt;="&amp;Settings!$B$5,'Daily Log'!$A$5:$A$4004,"&lt;="&amp;Settings!$B$6,'Daily Log'!$E$5:$E$4004,"Yes"))</f>
        <v/>
      </c>
      <c r="M39" s="8" t="str">
        <f>IF(A39="","",COUNTIFS('Daily Log'!$B$5:$B$4004,A39,'Daily Log'!$A$5:$A$4004,"&gt;="&amp;Settings!$B$5,'Daily Log'!$A$5:$A$4004,"&lt;="&amp;Settings!$B$6,'Daily Log'!$M$5:$M$4004,"Yes"))</f>
        <v/>
      </c>
      <c r="N39" s="20" t="str">
        <f t="shared" si="4"/>
        <v/>
      </c>
      <c r="O39" s="8" t="str">
        <f t="shared" si="5"/>
        <v/>
      </c>
    </row>
    <row r="40" spans="1:15" ht="15.75">
      <c r="A40" s="12" t="str">
        <f>IF('Cashier Roster'!B39="","",'Cashier Roster'!B39)</f>
        <v/>
      </c>
      <c r="B40" s="12" t="str">
        <f>IF(A40="","",'Cashier Roster'!C39)</f>
        <v/>
      </c>
      <c r="C40" s="12" t="str">
        <f>IF(A40="","",'Cashier Roster'!D39)</f>
        <v/>
      </c>
      <c r="D40" s="12" t="str">
        <f>IF(A40="","",'Cashier Roster'!H39)</f>
        <v/>
      </c>
      <c r="E40" s="8" t="str">
        <f>IF(A40="","",COUNTIFS('Daily Log'!$B$5:$B$4004,A40,'Daily Log'!$A$5:$A$4004,"&gt;="&amp;Settings!$B$5,'Daily Log'!$A$5:$A$4004,"&lt;="&amp;Settings!$B$6))</f>
        <v/>
      </c>
      <c r="F40" s="8" t="str">
        <f>IF(A40="","",COUNTIFS('Daily Log'!$B$5:$B$4004,A40,'Daily Log'!$A$5:$A$4004,"&gt;="&amp;Settings!$B$5,'Daily Log'!$A$5:$A$4004,"&lt;="&amp;Settings!$B$6,'Daily Log'!$E$5:$E$4004,"Yes"))</f>
        <v/>
      </c>
      <c r="G40" s="8" t="str">
        <f>IF(A40="","",COUNTIFS('Daily Log'!$B$5:$B$4004,A40,'Daily Log'!$A$5:$A$4004,"&gt;="&amp;Settings!$B$5,'Daily Log'!$A$5:$A$4004,"&lt;="&amp;Settings!$B$6,'Daily Log'!$G$5:$G$4004,"On time"))</f>
        <v/>
      </c>
      <c r="H40" s="20" t="str">
        <f t="shared" si="3"/>
        <v/>
      </c>
      <c r="I40" s="21" t="str">
        <f>IF(A40="","",SUMIFS('Daily Log'!$H$5:$H$4004,'Daily Log'!$B$5:$B$4004,A40,'Daily Log'!$A$5:$A$4004,"&gt;="&amp;Settings!$B$5,'Daily Log'!$A$5:$A$4004,"&lt;="&amp;Settings!$B$6,'Daily Log'!$E$5:$E$4004,"Yes"))</f>
        <v/>
      </c>
      <c r="J40" s="17" t="str">
        <f>IF(A40="","",SUMIFS('Daily Log'!$I$5:$I$4004,'Daily Log'!$B$5:$B$4004,A40,'Daily Log'!$A$5:$A$4004,"&gt;="&amp;Settings!$B$5,'Daily Log'!$A$5:$A$4004,"&lt;="&amp;Settings!$B$6,'Daily Log'!$E$5:$E$4004,"Yes"))</f>
        <v/>
      </c>
      <c r="K40" s="17" t="str">
        <f>IF(A40="","",SUMIFS('Daily Log'!$J$5:$J$4004,'Daily Log'!$B$5:$B$4004,A40,'Daily Log'!$A$5:$A$4004,"&gt;="&amp;Settings!$B$5,'Daily Log'!$A$5:$A$4004,"&lt;="&amp;Settings!$B$6,'Daily Log'!$E$5:$E$4004,"Yes"))</f>
        <v/>
      </c>
      <c r="L40" s="17" t="str">
        <f>IF(A40="","",SUMIFS('Daily Log'!$K$5:$K$4004,'Daily Log'!$B$5:$B$4004,A40,'Daily Log'!$A$5:$A$4004,"&gt;="&amp;Settings!$B$5,'Daily Log'!$A$5:$A$4004,"&lt;="&amp;Settings!$B$6,'Daily Log'!$E$5:$E$4004,"Yes"))</f>
        <v/>
      </c>
      <c r="M40" s="8" t="str">
        <f>IF(A40="","",COUNTIFS('Daily Log'!$B$5:$B$4004,A40,'Daily Log'!$A$5:$A$4004,"&gt;="&amp;Settings!$B$5,'Daily Log'!$A$5:$A$4004,"&lt;="&amp;Settings!$B$6,'Daily Log'!$M$5:$M$4004,"Yes"))</f>
        <v/>
      </c>
      <c r="N40" s="20" t="str">
        <f t="shared" si="4"/>
        <v/>
      </c>
      <c r="O40" s="8" t="str">
        <f t="shared" si="5"/>
        <v/>
      </c>
    </row>
    <row r="41" spans="1:15" ht="15.75">
      <c r="A41" s="12" t="str">
        <f>IF('Cashier Roster'!B40="","",'Cashier Roster'!B40)</f>
        <v/>
      </c>
      <c r="B41" s="12" t="str">
        <f>IF(A41="","",'Cashier Roster'!C40)</f>
        <v/>
      </c>
      <c r="C41" s="12" t="str">
        <f>IF(A41="","",'Cashier Roster'!D40)</f>
        <v/>
      </c>
      <c r="D41" s="12" t="str">
        <f>IF(A41="","",'Cashier Roster'!H40)</f>
        <v/>
      </c>
      <c r="E41" s="8" t="str">
        <f>IF(A41="","",COUNTIFS('Daily Log'!$B$5:$B$4004,A41,'Daily Log'!$A$5:$A$4004,"&gt;="&amp;Settings!$B$5,'Daily Log'!$A$5:$A$4004,"&lt;="&amp;Settings!$B$6))</f>
        <v/>
      </c>
      <c r="F41" s="8" t="str">
        <f>IF(A41="","",COUNTIFS('Daily Log'!$B$5:$B$4004,A41,'Daily Log'!$A$5:$A$4004,"&gt;="&amp;Settings!$B$5,'Daily Log'!$A$5:$A$4004,"&lt;="&amp;Settings!$B$6,'Daily Log'!$E$5:$E$4004,"Yes"))</f>
        <v/>
      </c>
      <c r="G41" s="8" t="str">
        <f>IF(A41="","",COUNTIFS('Daily Log'!$B$5:$B$4004,A41,'Daily Log'!$A$5:$A$4004,"&gt;="&amp;Settings!$B$5,'Daily Log'!$A$5:$A$4004,"&lt;="&amp;Settings!$B$6,'Daily Log'!$G$5:$G$4004,"On time"))</f>
        <v/>
      </c>
      <c r="H41" s="20" t="str">
        <f t="shared" si="3"/>
        <v/>
      </c>
      <c r="I41" s="21" t="str">
        <f>IF(A41="","",SUMIFS('Daily Log'!$H$5:$H$4004,'Daily Log'!$B$5:$B$4004,A41,'Daily Log'!$A$5:$A$4004,"&gt;="&amp;Settings!$B$5,'Daily Log'!$A$5:$A$4004,"&lt;="&amp;Settings!$B$6,'Daily Log'!$E$5:$E$4004,"Yes"))</f>
        <v/>
      </c>
      <c r="J41" s="17" t="str">
        <f>IF(A41="","",SUMIFS('Daily Log'!$I$5:$I$4004,'Daily Log'!$B$5:$B$4004,A41,'Daily Log'!$A$5:$A$4004,"&gt;="&amp;Settings!$B$5,'Daily Log'!$A$5:$A$4004,"&lt;="&amp;Settings!$B$6,'Daily Log'!$E$5:$E$4004,"Yes"))</f>
        <v/>
      </c>
      <c r="K41" s="17" t="str">
        <f>IF(A41="","",SUMIFS('Daily Log'!$J$5:$J$4004,'Daily Log'!$B$5:$B$4004,A41,'Daily Log'!$A$5:$A$4004,"&gt;="&amp;Settings!$B$5,'Daily Log'!$A$5:$A$4004,"&lt;="&amp;Settings!$B$6,'Daily Log'!$E$5:$E$4004,"Yes"))</f>
        <v/>
      </c>
      <c r="L41" s="17" t="str">
        <f>IF(A41="","",SUMIFS('Daily Log'!$K$5:$K$4004,'Daily Log'!$B$5:$B$4004,A41,'Daily Log'!$A$5:$A$4004,"&gt;="&amp;Settings!$B$5,'Daily Log'!$A$5:$A$4004,"&lt;="&amp;Settings!$B$6,'Daily Log'!$E$5:$E$4004,"Yes"))</f>
        <v/>
      </c>
      <c r="M41" s="8" t="str">
        <f>IF(A41="","",COUNTIFS('Daily Log'!$B$5:$B$4004,A41,'Daily Log'!$A$5:$A$4004,"&gt;="&amp;Settings!$B$5,'Daily Log'!$A$5:$A$4004,"&lt;="&amp;Settings!$B$6,'Daily Log'!$M$5:$M$4004,"Yes"))</f>
        <v/>
      </c>
      <c r="N41" s="20" t="str">
        <f t="shared" si="4"/>
        <v/>
      </c>
      <c r="O41" s="8" t="str">
        <f t="shared" si="5"/>
        <v/>
      </c>
    </row>
    <row r="42" spans="1:15" ht="15.75">
      <c r="A42" s="12" t="str">
        <f>IF('Cashier Roster'!B41="","",'Cashier Roster'!B41)</f>
        <v/>
      </c>
      <c r="B42" s="12" t="str">
        <f>IF(A42="","",'Cashier Roster'!C41)</f>
        <v/>
      </c>
      <c r="C42" s="12" t="str">
        <f>IF(A42="","",'Cashier Roster'!D41)</f>
        <v/>
      </c>
      <c r="D42" s="12" t="str">
        <f>IF(A42="","",'Cashier Roster'!H41)</f>
        <v/>
      </c>
      <c r="E42" s="8" t="str">
        <f>IF(A42="","",COUNTIFS('Daily Log'!$B$5:$B$4004,A42,'Daily Log'!$A$5:$A$4004,"&gt;="&amp;Settings!$B$5,'Daily Log'!$A$5:$A$4004,"&lt;="&amp;Settings!$B$6))</f>
        <v/>
      </c>
      <c r="F42" s="8" t="str">
        <f>IF(A42="","",COUNTIFS('Daily Log'!$B$5:$B$4004,A42,'Daily Log'!$A$5:$A$4004,"&gt;="&amp;Settings!$B$5,'Daily Log'!$A$5:$A$4004,"&lt;="&amp;Settings!$B$6,'Daily Log'!$E$5:$E$4004,"Yes"))</f>
        <v/>
      </c>
      <c r="G42" s="8" t="str">
        <f>IF(A42="","",COUNTIFS('Daily Log'!$B$5:$B$4004,A42,'Daily Log'!$A$5:$A$4004,"&gt;="&amp;Settings!$B$5,'Daily Log'!$A$5:$A$4004,"&lt;="&amp;Settings!$B$6,'Daily Log'!$G$5:$G$4004,"On time"))</f>
        <v/>
      </c>
      <c r="H42" s="20" t="str">
        <f t="shared" si="3"/>
        <v/>
      </c>
      <c r="I42" s="21" t="str">
        <f>IF(A42="","",SUMIFS('Daily Log'!$H$5:$H$4004,'Daily Log'!$B$5:$B$4004,A42,'Daily Log'!$A$5:$A$4004,"&gt;="&amp;Settings!$B$5,'Daily Log'!$A$5:$A$4004,"&lt;="&amp;Settings!$B$6,'Daily Log'!$E$5:$E$4004,"Yes"))</f>
        <v/>
      </c>
      <c r="J42" s="17" t="str">
        <f>IF(A42="","",SUMIFS('Daily Log'!$I$5:$I$4004,'Daily Log'!$B$5:$B$4004,A42,'Daily Log'!$A$5:$A$4004,"&gt;="&amp;Settings!$B$5,'Daily Log'!$A$5:$A$4004,"&lt;="&amp;Settings!$B$6,'Daily Log'!$E$5:$E$4004,"Yes"))</f>
        <v/>
      </c>
      <c r="K42" s="17" t="str">
        <f>IF(A42="","",SUMIFS('Daily Log'!$J$5:$J$4004,'Daily Log'!$B$5:$B$4004,A42,'Daily Log'!$A$5:$A$4004,"&gt;="&amp;Settings!$B$5,'Daily Log'!$A$5:$A$4004,"&lt;="&amp;Settings!$B$6,'Daily Log'!$E$5:$E$4004,"Yes"))</f>
        <v/>
      </c>
      <c r="L42" s="17" t="str">
        <f>IF(A42="","",SUMIFS('Daily Log'!$K$5:$K$4004,'Daily Log'!$B$5:$B$4004,A42,'Daily Log'!$A$5:$A$4004,"&gt;="&amp;Settings!$B$5,'Daily Log'!$A$5:$A$4004,"&lt;="&amp;Settings!$B$6,'Daily Log'!$E$5:$E$4004,"Yes"))</f>
        <v/>
      </c>
      <c r="M42" s="8" t="str">
        <f>IF(A42="","",COUNTIFS('Daily Log'!$B$5:$B$4004,A42,'Daily Log'!$A$5:$A$4004,"&gt;="&amp;Settings!$B$5,'Daily Log'!$A$5:$A$4004,"&lt;="&amp;Settings!$B$6,'Daily Log'!$M$5:$M$4004,"Yes"))</f>
        <v/>
      </c>
      <c r="N42" s="20" t="str">
        <f t="shared" si="4"/>
        <v/>
      </c>
      <c r="O42" s="8" t="str">
        <f t="shared" si="5"/>
        <v/>
      </c>
    </row>
    <row r="43" spans="1:15" ht="15.75">
      <c r="A43" s="12" t="str">
        <f>IF('Cashier Roster'!B42="","",'Cashier Roster'!B42)</f>
        <v/>
      </c>
      <c r="B43" s="12" t="str">
        <f>IF(A43="","",'Cashier Roster'!C42)</f>
        <v/>
      </c>
      <c r="C43" s="12" t="str">
        <f>IF(A43="","",'Cashier Roster'!D42)</f>
        <v/>
      </c>
      <c r="D43" s="12" t="str">
        <f>IF(A43="","",'Cashier Roster'!H42)</f>
        <v/>
      </c>
      <c r="E43" s="8" t="str">
        <f>IF(A43="","",COUNTIFS('Daily Log'!$B$5:$B$4004,A43,'Daily Log'!$A$5:$A$4004,"&gt;="&amp;Settings!$B$5,'Daily Log'!$A$5:$A$4004,"&lt;="&amp;Settings!$B$6))</f>
        <v/>
      </c>
      <c r="F43" s="8" t="str">
        <f>IF(A43="","",COUNTIFS('Daily Log'!$B$5:$B$4004,A43,'Daily Log'!$A$5:$A$4004,"&gt;="&amp;Settings!$B$5,'Daily Log'!$A$5:$A$4004,"&lt;="&amp;Settings!$B$6,'Daily Log'!$E$5:$E$4004,"Yes"))</f>
        <v/>
      </c>
      <c r="G43" s="8" t="str">
        <f>IF(A43="","",COUNTIFS('Daily Log'!$B$5:$B$4004,A43,'Daily Log'!$A$5:$A$4004,"&gt;="&amp;Settings!$B$5,'Daily Log'!$A$5:$A$4004,"&lt;="&amp;Settings!$B$6,'Daily Log'!$G$5:$G$4004,"On time"))</f>
        <v/>
      </c>
      <c r="H43" s="20" t="str">
        <f t="shared" si="3"/>
        <v/>
      </c>
      <c r="I43" s="21" t="str">
        <f>IF(A43="","",SUMIFS('Daily Log'!$H$5:$H$4004,'Daily Log'!$B$5:$B$4004,A43,'Daily Log'!$A$5:$A$4004,"&gt;="&amp;Settings!$B$5,'Daily Log'!$A$5:$A$4004,"&lt;="&amp;Settings!$B$6,'Daily Log'!$E$5:$E$4004,"Yes"))</f>
        <v/>
      </c>
      <c r="J43" s="17" t="str">
        <f>IF(A43="","",SUMIFS('Daily Log'!$I$5:$I$4004,'Daily Log'!$B$5:$B$4004,A43,'Daily Log'!$A$5:$A$4004,"&gt;="&amp;Settings!$B$5,'Daily Log'!$A$5:$A$4004,"&lt;="&amp;Settings!$B$6,'Daily Log'!$E$5:$E$4004,"Yes"))</f>
        <v/>
      </c>
      <c r="K43" s="17" t="str">
        <f>IF(A43="","",SUMIFS('Daily Log'!$J$5:$J$4004,'Daily Log'!$B$5:$B$4004,A43,'Daily Log'!$A$5:$A$4004,"&gt;="&amp;Settings!$B$5,'Daily Log'!$A$5:$A$4004,"&lt;="&amp;Settings!$B$6,'Daily Log'!$E$5:$E$4004,"Yes"))</f>
        <v/>
      </c>
      <c r="L43" s="17" t="str">
        <f>IF(A43="","",SUMIFS('Daily Log'!$K$5:$K$4004,'Daily Log'!$B$5:$B$4004,A43,'Daily Log'!$A$5:$A$4004,"&gt;="&amp;Settings!$B$5,'Daily Log'!$A$5:$A$4004,"&lt;="&amp;Settings!$B$6,'Daily Log'!$E$5:$E$4004,"Yes"))</f>
        <v/>
      </c>
      <c r="M43" s="8" t="str">
        <f>IF(A43="","",COUNTIFS('Daily Log'!$B$5:$B$4004,A43,'Daily Log'!$A$5:$A$4004,"&gt;="&amp;Settings!$B$5,'Daily Log'!$A$5:$A$4004,"&lt;="&amp;Settings!$B$6,'Daily Log'!$M$5:$M$4004,"Yes"))</f>
        <v/>
      </c>
      <c r="N43" s="20" t="str">
        <f t="shared" si="4"/>
        <v/>
      </c>
      <c r="O43" s="8" t="str">
        <f t="shared" si="5"/>
        <v/>
      </c>
    </row>
    <row r="44" spans="1:15" ht="15.75">
      <c r="A44" s="12" t="str">
        <f>IF('Cashier Roster'!B43="","",'Cashier Roster'!B43)</f>
        <v/>
      </c>
      <c r="B44" s="12" t="str">
        <f>IF(A44="","",'Cashier Roster'!C43)</f>
        <v/>
      </c>
      <c r="C44" s="12" t="str">
        <f>IF(A44="","",'Cashier Roster'!D43)</f>
        <v/>
      </c>
      <c r="D44" s="12" t="str">
        <f>IF(A44="","",'Cashier Roster'!H43)</f>
        <v/>
      </c>
      <c r="E44" s="8" t="str">
        <f>IF(A44="","",COUNTIFS('Daily Log'!$B$5:$B$4004,A44,'Daily Log'!$A$5:$A$4004,"&gt;="&amp;Settings!$B$5,'Daily Log'!$A$5:$A$4004,"&lt;="&amp;Settings!$B$6))</f>
        <v/>
      </c>
      <c r="F44" s="8" t="str">
        <f>IF(A44="","",COUNTIFS('Daily Log'!$B$5:$B$4004,A44,'Daily Log'!$A$5:$A$4004,"&gt;="&amp;Settings!$B$5,'Daily Log'!$A$5:$A$4004,"&lt;="&amp;Settings!$B$6,'Daily Log'!$E$5:$E$4004,"Yes"))</f>
        <v/>
      </c>
      <c r="G44" s="8" t="str">
        <f>IF(A44="","",COUNTIFS('Daily Log'!$B$5:$B$4004,A44,'Daily Log'!$A$5:$A$4004,"&gt;="&amp;Settings!$B$5,'Daily Log'!$A$5:$A$4004,"&lt;="&amp;Settings!$B$6,'Daily Log'!$G$5:$G$4004,"On time"))</f>
        <v/>
      </c>
      <c r="H44" s="20" t="str">
        <f t="shared" si="3"/>
        <v/>
      </c>
      <c r="I44" s="21" t="str">
        <f>IF(A44="","",SUMIFS('Daily Log'!$H$5:$H$4004,'Daily Log'!$B$5:$B$4004,A44,'Daily Log'!$A$5:$A$4004,"&gt;="&amp;Settings!$B$5,'Daily Log'!$A$5:$A$4004,"&lt;="&amp;Settings!$B$6,'Daily Log'!$E$5:$E$4004,"Yes"))</f>
        <v/>
      </c>
      <c r="J44" s="17" t="str">
        <f>IF(A44="","",SUMIFS('Daily Log'!$I$5:$I$4004,'Daily Log'!$B$5:$B$4004,A44,'Daily Log'!$A$5:$A$4004,"&gt;="&amp;Settings!$B$5,'Daily Log'!$A$5:$A$4004,"&lt;="&amp;Settings!$B$6,'Daily Log'!$E$5:$E$4004,"Yes"))</f>
        <v/>
      </c>
      <c r="K44" s="17" t="str">
        <f>IF(A44="","",SUMIFS('Daily Log'!$J$5:$J$4004,'Daily Log'!$B$5:$B$4004,A44,'Daily Log'!$A$5:$A$4004,"&gt;="&amp;Settings!$B$5,'Daily Log'!$A$5:$A$4004,"&lt;="&amp;Settings!$B$6,'Daily Log'!$E$5:$E$4004,"Yes"))</f>
        <v/>
      </c>
      <c r="L44" s="17" t="str">
        <f>IF(A44="","",SUMIFS('Daily Log'!$K$5:$K$4004,'Daily Log'!$B$5:$B$4004,A44,'Daily Log'!$A$5:$A$4004,"&gt;="&amp;Settings!$B$5,'Daily Log'!$A$5:$A$4004,"&lt;="&amp;Settings!$B$6,'Daily Log'!$E$5:$E$4004,"Yes"))</f>
        <v/>
      </c>
      <c r="M44" s="8" t="str">
        <f>IF(A44="","",COUNTIFS('Daily Log'!$B$5:$B$4004,A44,'Daily Log'!$A$5:$A$4004,"&gt;="&amp;Settings!$B$5,'Daily Log'!$A$5:$A$4004,"&lt;="&amp;Settings!$B$6,'Daily Log'!$M$5:$M$4004,"Yes"))</f>
        <v/>
      </c>
      <c r="N44" s="20" t="str">
        <f t="shared" si="4"/>
        <v/>
      </c>
      <c r="O44" s="8" t="str">
        <f t="shared" si="5"/>
        <v/>
      </c>
    </row>
    <row r="45" spans="1:15" ht="15.75">
      <c r="A45" s="12" t="str">
        <f>IF('Cashier Roster'!B44="","",'Cashier Roster'!B44)</f>
        <v/>
      </c>
      <c r="B45" s="12" t="str">
        <f>IF(A45="","",'Cashier Roster'!C44)</f>
        <v/>
      </c>
      <c r="C45" s="12" t="str">
        <f>IF(A45="","",'Cashier Roster'!D44)</f>
        <v/>
      </c>
      <c r="D45" s="12" t="str">
        <f>IF(A45="","",'Cashier Roster'!H44)</f>
        <v/>
      </c>
      <c r="E45" s="8" t="str">
        <f>IF(A45="","",COUNTIFS('Daily Log'!$B$5:$B$4004,A45,'Daily Log'!$A$5:$A$4004,"&gt;="&amp;Settings!$B$5,'Daily Log'!$A$5:$A$4004,"&lt;="&amp;Settings!$B$6))</f>
        <v/>
      </c>
      <c r="F45" s="8" t="str">
        <f>IF(A45="","",COUNTIFS('Daily Log'!$B$5:$B$4004,A45,'Daily Log'!$A$5:$A$4004,"&gt;="&amp;Settings!$B$5,'Daily Log'!$A$5:$A$4004,"&lt;="&amp;Settings!$B$6,'Daily Log'!$E$5:$E$4004,"Yes"))</f>
        <v/>
      </c>
      <c r="G45" s="8" t="str">
        <f>IF(A45="","",COUNTIFS('Daily Log'!$B$5:$B$4004,A45,'Daily Log'!$A$5:$A$4004,"&gt;="&amp;Settings!$B$5,'Daily Log'!$A$5:$A$4004,"&lt;="&amp;Settings!$B$6,'Daily Log'!$G$5:$G$4004,"On time"))</f>
        <v/>
      </c>
      <c r="H45" s="20" t="str">
        <f t="shared" si="3"/>
        <v/>
      </c>
      <c r="I45" s="21" t="str">
        <f>IF(A45="","",SUMIFS('Daily Log'!$H$5:$H$4004,'Daily Log'!$B$5:$B$4004,A45,'Daily Log'!$A$5:$A$4004,"&gt;="&amp;Settings!$B$5,'Daily Log'!$A$5:$A$4004,"&lt;="&amp;Settings!$B$6,'Daily Log'!$E$5:$E$4004,"Yes"))</f>
        <v/>
      </c>
      <c r="J45" s="17" t="str">
        <f>IF(A45="","",SUMIFS('Daily Log'!$I$5:$I$4004,'Daily Log'!$B$5:$B$4004,A45,'Daily Log'!$A$5:$A$4004,"&gt;="&amp;Settings!$B$5,'Daily Log'!$A$5:$A$4004,"&lt;="&amp;Settings!$B$6,'Daily Log'!$E$5:$E$4004,"Yes"))</f>
        <v/>
      </c>
      <c r="K45" s="17" t="str">
        <f>IF(A45="","",SUMIFS('Daily Log'!$J$5:$J$4004,'Daily Log'!$B$5:$B$4004,A45,'Daily Log'!$A$5:$A$4004,"&gt;="&amp;Settings!$B$5,'Daily Log'!$A$5:$A$4004,"&lt;="&amp;Settings!$B$6,'Daily Log'!$E$5:$E$4004,"Yes"))</f>
        <v/>
      </c>
      <c r="L45" s="17" t="str">
        <f>IF(A45="","",SUMIFS('Daily Log'!$K$5:$K$4004,'Daily Log'!$B$5:$B$4004,A45,'Daily Log'!$A$5:$A$4004,"&gt;="&amp;Settings!$B$5,'Daily Log'!$A$5:$A$4004,"&lt;="&amp;Settings!$B$6,'Daily Log'!$E$5:$E$4004,"Yes"))</f>
        <v/>
      </c>
      <c r="M45" s="8" t="str">
        <f>IF(A45="","",COUNTIFS('Daily Log'!$B$5:$B$4004,A45,'Daily Log'!$A$5:$A$4004,"&gt;="&amp;Settings!$B$5,'Daily Log'!$A$5:$A$4004,"&lt;="&amp;Settings!$B$6,'Daily Log'!$M$5:$M$4004,"Yes"))</f>
        <v/>
      </c>
      <c r="N45" s="20" t="str">
        <f t="shared" si="4"/>
        <v/>
      </c>
      <c r="O45" s="8" t="str">
        <f t="shared" si="5"/>
        <v/>
      </c>
    </row>
    <row r="46" spans="1:15" ht="15.75">
      <c r="A46" s="12" t="str">
        <f>IF('Cashier Roster'!B45="","",'Cashier Roster'!B45)</f>
        <v/>
      </c>
      <c r="B46" s="12" t="str">
        <f>IF(A46="","",'Cashier Roster'!C45)</f>
        <v/>
      </c>
      <c r="C46" s="12" t="str">
        <f>IF(A46="","",'Cashier Roster'!D45)</f>
        <v/>
      </c>
      <c r="D46" s="12" t="str">
        <f>IF(A46="","",'Cashier Roster'!H45)</f>
        <v/>
      </c>
      <c r="E46" s="8" t="str">
        <f>IF(A46="","",COUNTIFS('Daily Log'!$B$5:$B$4004,A46,'Daily Log'!$A$5:$A$4004,"&gt;="&amp;Settings!$B$5,'Daily Log'!$A$5:$A$4004,"&lt;="&amp;Settings!$B$6))</f>
        <v/>
      </c>
      <c r="F46" s="8" t="str">
        <f>IF(A46="","",COUNTIFS('Daily Log'!$B$5:$B$4004,A46,'Daily Log'!$A$5:$A$4004,"&gt;="&amp;Settings!$B$5,'Daily Log'!$A$5:$A$4004,"&lt;="&amp;Settings!$B$6,'Daily Log'!$E$5:$E$4004,"Yes"))</f>
        <v/>
      </c>
      <c r="G46" s="8" t="str">
        <f>IF(A46="","",COUNTIFS('Daily Log'!$B$5:$B$4004,A46,'Daily Log'!$A$5:$A$4004,"&gt;="&amp;Settings!$B$5,'Daily Log'!$A$5:$A$4004,"&lt;="&amp;Settings!$B$6,'Daily Log'!$G$5:$G$4004,"On time"))</f>
        <v/>
      </c>
      <c r="H46" s="20" t="str">
        <f t="shared" si="3"/>
        <v/>
      </c>
      <c r="I46" s="21" t="str">
        <f>IF(A46="","",SUMIFS('Daily Log'!$H$5:$H$4004,'Daily Log'!$B$5:$B$4004,A46,'Daily Log'!$A$5:$A$4004,"&gt;="&amp;Settings!$B$5,'Daily Log'!$A$5:$A$4004,"&lt;="&amp;Settings!$B$6,'Daily Log'!$E$5:$E$4004,"Yes"))</f>
        <v/>
      </c>
      <c r="J46" s="17" t="str">
        <f>IF(A46="","",SUMIFS('Daily Log'!$I$5:$I$4004,'Daily Log'!$B$5:$B$4004,A46,'Daily Log'!$A$5:$A$4004,"&gt;="&amp;Settings!$B$5,'Daily Log'!$A$5:$A$4004,"&lt;="&amp;Settings!$B$6,'Daily Log'!$E$5:$E$4004,"Yes"))</f>
        <v/>
      </c>
      <c r="K46" s="17" t="str">
        <f>IF(A46="","",SUMIFS('Daily Log'!$J$5:$J$4004,'Daily Log'!$B$5:$B$4004,A46,'Daily Log'!$A$5:$A$4004,"&gt;="&amp;Settings!$B$5,'Daily Log'!$A$5:$A$4004,"&lt;="&amp;Settings!$B$6,'Daily Log'!$E$5:$E$4004,"Yes"))</f>
        <v/>
      </c>
      <c r="L46" s="17" t="str">
        <f>IF(A46="","",SUMIFS('Daily Log'!$K$5:$K$4004,'Daily Log'!$B$5:$B$4004,A46,'Daily Log'!$A$5:$A$4004,"&gt;="&amp;Settings!$B$5,'Daily Log'!$A$5:$A$4004,"&lt;="&amp;Settings!$B$6,'Daily Log'!$E$5:$E$4004,"Yes"))</f>
        <v/>
      </c>
      <c r="M46" s="8" t="str">
        <f>IF(A46="","",COUNTIFS('Daily Log'!$B$5:$B$4004,A46,'Daily Log'!$A$5:$A$4004,"&gt;="&amp;Settings!$B$5,'Daily Log'!$A$5:$A$4004,"&lt;="&amp;Settings!$B$6,'Daily Log'!$M$5:$M$4004,"Yes"))</f>
        <v/>
      </c>
      <c r="N46" s="20" t="str">
        <f t="shared" si="4"/>
        <v/>
      </c>
      <c r="O46" s="8" t="str">
        <f t="shared" si="5"/>
        <v/>
      </c>
    </row>
    <row r="47" spans="1:15" ht="15.75">
      <c r="A47" s="12" t="str">
        <f>IF('Cashier Roster'!B46="","",'Cashier Roster'!B46)</f>
        <v/>
      </c>
      <c r="B47" s="12" t="str">
        <f>IF(A47="","",'Cashier Roster'!C46)</f>
        <v/>
      </c>
      <c r="C47" s="12" t="str">
        <f>IF(A47="","",'Cashier Roster'!D46)</f>
        <v/>
      </c>
      <c r="D47" s="12" t="str">
        <f>IF(A47="","",'Cashier Roster'!H46)</f>
        <v/>
      </c>
      <c r="E47" s="8" t="str">
        <f>IF(A47="","",COUNTIFS('Daily Log'!$B$5:$B$4004,A47,'Daily Log'!$A$5:$A$4004,"&gt;="&amp;Settings!$B$5,'Daily Log'!$A$5:$A$4004,"&lt;="&amp;Settings!$B$6))</f>
        <v/>
      </c>
      <c r="F47" s="8" t="str">
        <f>IF(A47="","",COUNTIFS('Daily Log'!$B$5:$B$4004,A47,'Daily Log'!$A$5:$A$4004,"&gt;="&amp;Settings!$B$5,'Daily Log'!$A$5:$A$4004,"&lt;="&amp;Settings!$B$6,'Daily Log'!$E$5:$E$4004,"Yes"))</f>
        <v/>
      </c>
      <c r="G47" s="8" t="str">
        <f>IF(A47="","",COUNTIFS('Daily Log'!$B$5:$B$4004,A47,'Daily Log'!$A$5:$A$4004,"&gt;="&amp;Settings!$B$5,'Daily Log'!$A$5:$A$4004,"&lt;="&amp;Settings!$B$6,'Daily Log'!$G$5:$G$4004,"On time"))</f>
        <v/>
      </c>
      <c r="H47" s="20" t="str">
        <f t="shared" si="3"/>
        <v/>
      </c>
      <c r="I47" s="21" t="str">
        <f>IF(A47="","",SUMIFS('Daily Log'!$H$5:$H$4004,'Daily Log'!$B$5:$B$4004,A47,'Daily Log'!$A$5:$A$4004,"&gt;="&amp;Settings!$B$5,'Daily Log'!$A$5:$A$4004,"&lt;="&amp;Settings!$B$6,'Daily Log'!$E$5:$E$4004,"Yes"))</f>
        <v/>
      </c>
      <c r="J47" s="17" t="str">
        <f>IF(A47="","",SUMIFS('Daily Log'!$I$5:$I$4004,'Daily Log'!$B$5:$B$4004,A47,'Daily Log'!$A$5:$A$4004,"&gt;="&amp;Settings!$B$5,'Daily Log'!$A$5:$A$4004,"&lt;="&amp;Settings!$B$6,'Daily Log'!$E$5:$E$4004,"Yes"))</f>
        <v/>
      </c>
      <c r="K47" s="17" t="str">
        <f>IF(A47="","",SUMIFS('Daily Log'!$J$5:$J$4004,'Daily Log'!$B$5:$B$4004,A47,'Daily Log'!$A$5:$A$4004,"&gt;="&amp;Settings!$B$5,'Daily Log'!$A$5:$A$4004,"&lt;="&amp;Settings!$B$6,'Daily Log'!$E$5:$E$4004,"Yes"))</f>
        <v/>
      </c>
      <c r="L47" s="17" t="str">
        <f>IF(A47="","",SUMIFS('Daily Log'!$K$5:$K$4004,'Daily Log'!$B$5:$B$4004,A47,'Daily Log'!$A$5:$A$4004,"&gt;="&amp;Settings!$B$5,'Daily Log'!$A$5:$A$4004,"&lt;="&amp;Settings!$B$6,'Daily Log'!$E$5:$E$4004,"Yes"))</f>
        <v/>
      </c>
      <c r="M47" s="8" t="str">
        <f>IF(A47="","",COUNTIFS('Daily Log'!$B$5:$B$4004,A47,'Daily Log'!$A$5:$A$4004,"&gt;="&amp;Settings!$B$5,'Daily Log'!$A$5:$A$4004,"&lt;="&amp;Settings!$B$6,'Daily Log'!$M$5:$M$4004,"Yes"))</f>
        <v/>
      </c>
      <c r="N47" s="20" t="str">
        <f t="shared" si="4"/>
        <v/>
      </c>
      <c r="O47" s="8" t="str">
        <f t="shared" si="5"/>
        <v/>
      </c>
    </row>
    <row r="48" spans="1:15" ht="15.75">
      <c r="A48" s="12" t="str">
        <f>IF('Cashier Roster'!B47="","",'Cashier Roster'!B47)</f>
        <v/>
      </c>
      <c r="B48" s="12" t="str">
        <f>IF(A48="","",'Cashier Roster'!C47)</f>
        <v/>
      </c>
      <c r="C48" s="12" t="str">
        <f>IF(A48="","",'Cashier Roster'!D47)</f>
        <v/>
      </c>
      <c r="D48" s="12" t="str">
        <f>IF(A48="","",'Cashier Roster'!H47)</f>
        <v/>
      </c>
      <c r="E48" s="8" t="str">
        <f>IF(A48="","",COUNTIFS('Daily Log'!$B$5:$B$4004,A48,'Daily Log'!$A$5:$A$4004,"&gt;="&amp;Settings!$B$5,'Daily Log'!$A$5:$A$4004,"&lt;="&amp;Settings!$B$6))</f>
        <v/>
      </c>
      <c r="F48" s="8" t="str">
        <f>IF(A48="","",COUNTIFS('Daily Log'!$B$5:$B$4004,A48,'Daily Log'!$A$5:$A$4004,"&gt;="&amp;Settings!$B$5,'Daily Log'!$A$5:$A$4004,"&lt;="&amp;Settings!$B$6,'Daily Log'!$E$5:$E$4004,"Yes"))</f>
        <v/>
      </c>
      <c r="G48" s="8" t="str">
        <f>IF(A48="","",COUNTIFS('Daily Log'!$B$5:$B$4004,A48,'Daily Log'!$A$5:$A$4004,"&gt;="&amp;Settings!$B$5,'Daily Log'!$A$5:$A$4004,"&lt;="&amp;Settings!$B$6,'Daily Log'!$G$5:$G$4004,"On time"))</f>
        <v/>
      </c>
      <c r="H48" s="20" t="str">
        <f t="shared" si="3"/>
        <v/>
      </c>
      <c r="I48" s="21" t="str">
        <f>IF(A48="","",SUMIFS('Daily Log'!$H$5:$H$4004,'Daily Log'!$B$5:$B$4004,A48,'Daily Log'!$A$5:$A$4004,"&gt;="&amp;Settings!$B$5,'Daily Log'!$A$5:$A$4004,"&lt;="&amp;Settings!$B$6,'Daily Log'!$E$5:$E$4004,"Yes"))</f>
        <v/>
      </c>
      <c r="J48" s="17" t="str">
        <f>IF(A48="","",SUMIFS('Daily Log'!$I$5:$I$4004,'Daily Log'!$B$5:$B$4004,A48,'Daily Log'!$A$5:$A$4004,"&gt;="&amp;Settings!$B$5,'Daily Log'!$A$5:$A$4004,"&lt;="&amp;Settings!$B$6,'Daily Log'!$E$5:$E$4004,"Yes"))</f>
        <v/>
      </c>
      <c r="K48" s="17" t="str">
        <f>IF(A48="","",SUMIFS('Daily Log'!$J$5:$J$4004,'Daily Log'!$B$5:$B$4004,A48,'Daily Log'!$A$5:$A$4004,"&gt;="&amp;Settings!$B$5,'Daily Log'!$A$5:$A$4004,"&lt;="&amp;Settings!$B$6,'Daily Log'!$E$5:$E$4004,"Yes"))</f>
        <v/>
      </c>
      <c r="L48" s="17" t="str">
        <f>IF(A48="","",SUMIFS('Daily Log'!$K$5:$K$4004,'Daily Log'!$B$5:$B$4004,A48,'Daily Log'!$A$5:$A$4004,"&gt;="&amp;Settings!$B$5,'Daily Log'!$A$5:$A$4004,"&lt;="&amp;Settings!$B$6,'Daily Log'!$E$5:$E$4004,"Yes"))</f>
        <v/>
      </c>
      <c r="M48" s="8" t="str">
        <f>IF(A48="","",COUNTIFS('Daily Log'!$B$5:$B$4004,A48,'Daily Log'!$A$5:$A$4004,"&gt;="&amp;Settings!$B$5,'Daily Log'!$A$5:$A$4004,"&lt;="&amp;Settings!$B$6,'Daily Log'!$M$5:$M$4004,"Yes"))</f>
        <v/>
      </c>
      <c r="N48" s="20" t="str">
        <f t="shared" si="4"/>
        <v/>
      </c>
      <c r="O48" s="8" t="str">
        <f t="shared" si="5"/>
        <v/>
      </c>
    </row>
    <row r="49" spans="1:15" ht="15.75">
      <c r="A49" s="12" t="str">
        <f>IF('Cashier Roster'!B48="","",'Cashier Roster'!B48)</f>
        <v/>
      </c>
      <c r="B49" s="12" t="str">
        <f>IF(A49="","",'Cashier Roster'!C48)</f>
        <v/>
      </c>
      <c r="C49" s="12" t="str">
        <f>IF(A49="","",'Cashier Roster'!D48)</f>
        <v/>
      </c>
      <c r="D49" s="12" t="str">
        <f>IF(A49="","",'Cashier Roster'!H48)</f>
        <v/>
      </c>
      <c r="E49" s="8" t="str">
        <f>IF(A49="","",COUNTIFS('Daily Log'!$B$5:$B$4004,A49,'Daily Log'!$A$5:$A$4004,"&gt;="&amp;Settings!$B$5,'Daily Log'!$A$5:$A$4004,"&lt;="&amp;Settings!$B$6))</f>
        <v/>
      </c>
      <c r="F49" s="8" t="str">
        <f>IF(A49="","",COUNTIFS('Daily Log'!$B$5:$B$4004,A49,'Daily Log'!$A$5:$A$4004,"&gt;="&amp;Settings!$B$5,'Daily Log'!$A$5:$A$4004,"&lt;="&amp;Settings!$B$6,'Daily Log'!$E$5:$E$4004,"Yes"))</f>
        <v/>
      </c>
      <c r="G49" s="8" t="str">
        <f>IF(A49="","",COUNTIFS('Daily Log'!$B$5:$B$4004,A49,'Daily Log'!$A$5:$A$4004,"&gt;="&amp;Settings!$B$5,'Daily Log'!$A$5:$A$4004,"&lt;="&amp;Settings!$B$6,'Daily Log'!$G$5:$G$4004,"On time"))</f>
        <v/>
      </c>
      <c r="H49" s="20" t="str">
        <f t="shared" si="3"/>
        <v/>
      </c>
      <c r="I49" s="21" t="str">
        <f>IF(A49="","",SUMIFS('Daily Log'!$H$5:$H$4004,'Daily Log'!$B$5:$B$4004,A49,'Daily Log'!$A$5:$A$4004,"&gt;="&amp;Settings!$B$5,'Daily Log'!$A$5:$A$4004,"&lt;="&amp;Settings!$B$6,'Daily Log'!$E$5:$E$4004,"Yes"))</f>
        <v/>
      </c>
      <c r="J49" s="17" t="str">
        <f>IF(A49="","",SUMIFS('Daily Log'!$I$5:$I$4004,'Daily Log'!$B$5:$B$4004,A49,'Daily Log'!$A$5:$A$4004,"&gt;="&amp;Settings!$B$5,'Daily Log'!$A$5:$A$4004,"&lt;="&amp;Settings!$B$6,'Daily Log'!$E$5:$E$4004,"Yes"))</f>
        <v/>
      </c>
      <c r="K49" s="17" t="str">
        <f>IF(A49="","",SUMIFS('Daily Log'!$J$5:$J$4004,'Daily Log'!$B$5:$B$4004,A49,'Daily Log'!$A$5:$A$4004,"&gt;="&amp;Settings!$B$5,'Daily Log'!$A$5:$A$4004,"&lt;="&amp;Settings!$B$6,'Daily Log'!$E$5:$E$4004,"Yes"))</f>
        <v/>
      </c>
      <c r="L49" s="17" t="str">
        <f>IF(A49="","",SUMIFS('Daily Log'!$K$5:$K$4004,'Daily Log'!$B$5:$B$4004,A49,'Daily Log'!$A$5:$A$4004,"&gt;="&amp;Settings!$B$5,'Daily Log'!$A$5:$A$4004,"&lt;="&amp;Settings!$B$6,'Daily Log'!$E$5:$E$4004,"Yes"))</f>
        <v/>
      </c>
      <c r="M49" s="8" t="str">
        <f>IF(A49="","",COUNTIFS('Daily Log'!$B$5:$B$4004,A49,'Daily Log'!$A$5:$A$4004,"&gt;="&amp;Settings!$B$5,'Daily Log'!$A$5:$A$4004,"&lt;="&amp;Settings!$B$6,'Daily Log'!$M$5:$M$4004,"Yes"))</f>
        <v/>
      </c>
      <c r="N49" s="20" t="str">
        <f t="shared" si="4"/>
        <v/>
      </c>
      <c r="O49" s="8" t="str">
        <f t="shared" si="5"/>
        <v/>
      </c>
    </row>
    <row r="50" spans="1:15" ht="15.75">
      <c r="A50" s="12" t="str">
        <f>IF('Cashier Roster'!B49="","",'Cashier Roster'!B49)</f>
        <v/>
      </c>
      <c r="B50" s="12" t="str">
        <f>IF(A50="","",'Cashier Roster'!C49)</f>
        <v/>
      </c>
      <c r="C50" s="12" t="str">
        <f>IF(A50="","",'Cashier Roster'!D49)</f>
        <v/>
      </c>
      <c r="D50" s="12" t="str">
        <f>IF(A50="","",'Cashier Roster'!H49)</f>
        <v/>
      </c>
      <c r="E50" s="8" t="str">
        <f>IF(A50="","",COUNTIFS('Daily Log'!$B$5:$B$4004,A50,'Daily Log'!$A$5:$A$4004,"&gt;="&amp;Settings!$B$5,'Daily Log'!$A$5:$A$4004,"&lt;="&amp;Settings!$B$6))</f>
        <v/>
      </c>
      <c r="F50" s="8" t="str">
        <f>IF(A50="","",COUNTIFS('Daily Log'!$B$5:$B$4004,A50,'Daily Log'!$A$5:$A$4004,"&gt;="&amp;Settings!$B$5,'Daily Log'!$A$5:$A$4004,"&lt;="&amp;Settings!$B$6,'Daily Log'!$E$5:$E$4004,"Yes"))</f>
        <v/>
      </c>
      <c r="G50" s="8" t="str">
        <f>IF(A50="","",COUNTIFS('Daily Log'!$B$5:$B$4004,A50,'Daily Log'!$A$5:$A$4004,"&gt;="&amp;Settings!$B$5,'Daily Log'!$A$5:$A$4004,"&lt;="&amp;Settings!$B$6,'Daily Log'!$G$5:$G$4004,"On time"))</f>
        <v/>
      </c>
      <c r="H50" s="20" t="str">
        <f t="shared" si="3"/>
        <v/>
      </c>
      <c r="I50" s="21" t="str">
        <f>IF(A50="","",SUMIFS('Daily Log'!$H$5:$H$4004,'Daily Log'!$B$5:$B$4004,A50,'Daily Log'!$A$5:$A$4004,"&gt;="&amp;Settings!$B$5,'Daily Log'!$A$5:$A$4004,"&lt;="&amp;Settings!$B$6,'Daily Log'!$E$5:$E$4004,"Yes"))</f>
        <v/>
      </c>
      <c r="J50" s="17" t="str">
        <f>IF(A50="","",SUMIFS('Daily Log'!$I$5:$I$4004,'Daily Log'!$B$5:$B$4004,A50,'Daily Log'!$A$5:$A$4004,"&gt;="&amp;Settings!$B$5,'Daily Log'!$A$5:$A$4004,"&lt;="&amp;Settings!$B$6,'Daily Log'!$E$5:$E$4004,"Yes"))</f>
        <v/>
      </c>
      <c r="K50" s="17" t="str">
        <f>IF(A50="","",SUMIFS('Daily Log'!$J$5:$J$4004,'Daily Log'!$B$5:$B$4004,A50,'Daily Log'!$A$5:$A$4004,"&gt;="&amp;Settings!$B$5,'Daily Log'!$A$5:$A$4004,"&lt;="&amp;Settings!$B$6,'Daily Log'!$E$5:$E$4004,"Yes"))</f>
        <v/>
      </c>
      <c r="L50" s="17" t="str">
        <f>IF(A50="","",SUMIFS('Daily Log'!$K$5:$K$4004,'Daily Log'!$B$5:$B$4004,A50,'Daily Log'!$A$5:$A$4004,"&gt;="&amp;Settings!$B$5,'Daily Log'!$A$5:$A$4004,"&lt;="&amp;Settings!$B$6,'Daily Log'!$E$5:$E$4004,"Yes"))</f>
        <v/>
      </c>
      <c r="M50" s="8" t="str">
        <f>IF(A50="","",COUNTIFS('Daily Log'!$B$5:$B$4004,A50,'Daily Log'!$A$5:$A$4004,"&gt;="&amp;Settings!$B$5,'Daily Log'!$A$5:$A$4004,"&lt;="&amp;Settings!$B$6,'Daily Log'!$M$5:$M$4004,"Yes"))</f>
        <v/>
      </c>
      <c r="N50" s="20" t="str">
        <f t="shared" si="4"/>
        <v/>
      </c>
      <c r="O50" s="8" t="str">
        <f t="shared" si="5"/>
        <v/>
      </c>
    </row>
    <row r="51" spans="1:15" ht="15.75">
      <c r="A51" s="12" t="str">
        <f>IF('Cashier Roster'!B50="","",'Cashier Roster'!B50)</f>
        <v/>
      </c>
      <c r="B51" s="12" t="str">
        <f>IF(A51="","",'Cashier Roster'!C50)</f>
        <v/>
      </c>
      <c r="C51" s="12" t="str">
        <f>IF(A51="","",'Cashier Roster'!D50)</f>
        <v/>
      </c>
      <c r="D51" s="12" t="str">
        <f>IF(A51="","",'Cashier Roster'!H50)</f>
        <v/>
      </c>
      <c r="E51" s="8" t="str">
        <f>IF(A51="","",COUNTIFS('Daily Log'!$B$5:$B$4004,A51,'Daily Log'!$A$5:$A$4004,"&gt;="&amp;Settings!$B$5,'Daily Log'!$A$5:$A$4004,"&lt;="&amp;Settings!$B$6))</f>
        <v/>
      </c>
      <c r="F51" s="8" t="str">
        <f>IF(A51="","",COUNTIFS('Daily Log'!$B$5:$B$4004,A51,'Daily Log'!$A$5:$A$4004,"&gt;="&amp;Settings!$B$5,'Daily Log'!$A$5:$A$4004,"&lt;="&amp;Settings!$B$6,'Daily Log'!$E$5:$E$4004,"Yes"))</f>
        <v/>
      </c>
      <c r="G51" s="8" t="str">
        <f>IF(A51="","",COUNTIFS('Daily Log'!$B$5:$B$4004,A51,'Daily Log'!$A$5:$A$4004,"&gt;="&amp;Settings!$B$5,'Daily Log'!$A$5:$A$4004,"&lt;="&amp;Settings!$B$6,'Daily Log'!$G$5:$G$4004,"On time"))</f>
        <v/>
      </c>
      <c r="H51" s="20" t="str">
        <f t="shared" si="3"/>
        <v/>
      </c>
      <c r="I51" s="21" t="str">
        <f>IF(A51="","",SUMIFS('Daily Log'!$H$5:$H$4004,'Daily Log'!$B$5:$B$4004,A51,'Daily Log'!$A$5:$A$4004,"&gt;="&amp;Settings!$B$5,'Daily Log'!$A$5:$A$4004,"&lt;="&amp;Settings!$B$6,'Daily Log'!$E$5:$E$4004,"Yes"))</f>
        <v/>
      </c>
      <c r="J51" s="17" t="str">
        <f>IF(A51="","",SUMIFS('Daily Log'!$I$5:$I$4004,'Daily Log'!$B$5:$B$4004,A51,'Daily Log'!$A$5:$A$4004,"&gt;="&amp;Settings!$B$5,'Daily Log'!$A$5:$A$4004,"&lt;="&amp;Settings!$B$6,'Daily Log'!$E$5:$E$4004,"Yes"))</f>
        <v/>
      </c>
      <c r="K51" s="17" t="str">
        <f>IF(A51="","",SUMIFS('Daily Log'!$J$5:$J$4004,'Daily Log'!$B$5:$B$4004,A51,'Daily Log'!$A$5:$A$4004,"&gt;="&amp;Settings!$B$5,'Daily Log'!$A$5:$A$4004,"&lt;="&amp;Settings!$B$6,'Daily Log'!$E$5:$E$4004,"Yes"))</f>
        <v/>
      </c>
      <c r="L51" s="17" t="str">
        <f>IF(A51="","",SUMIFS('Daily Log'!$K$5:$K$4004,'Daily Log'!$B$5:$B$4004,A51,'Daily Log'!$A$5:$A$4004,"&gt;="&amp;Settings!$B$5,'Daily Log'!$A$5:$A$4004,"&lt;="&amp;Settings!$B$6,'Daily Log'!$E$5:$E$4004,"Yes"))</f>
        <v/>
      </c>
      <c r="M51" s="8" t="str">
        <f>IF(A51="","",COUNTIFS('Daily Log'!$B$5:$B$4004,A51,'Daily Log'!$A$5:$A$4004,"&gt;="&amp;Settings!$B$5,'Daily Log'!$A$5:$A$4004,"&lt;="&amp;Settings!$B$6,'Daily Log'!$M$5:$M$4004,"Yes"))</f>
        <v/>
      </c>
      <c r="N51" s="20" t="str">
        <f t="shared" si="4"/>
        <v/>
      </c>
      <c r="O51" s="8" t="str">
        <f t="shared" si="5"/>
        <v/>
      </c>
    </row>
    <row r="52" spans="1:15" ht="15.75">
      <c r="A52" s="12" t="str">
        <f>IF('Cashier Roster'!B51="","",'Cashier Roster'!B51)</f>
        <v/>
      </c>
      <c r="B52" s="12" t="str">
        <f>IF(A52="","",'Cashier Roster'!C51)</f>
        <v/>
      </c>
      <c r="C52" s="12" t="str">
        <f>IF(A52="","",'Cashier Roster'!D51)</f>
        <v/>
      </c>
      <c r="D52" s="12" t="str">
        <f>IF(A52="","",'Cashier Roster'!H51)</f>
        <v/>
      </c>
      <c r="E52" s="8" t="str">
        <f>IF(A52="","",COUNTIFS('Daily Log'!$B$5:$B$4004,A52,'Daily Log'!$A$5:$A$4004,"&gt;="&amp;Settings!$B$5,'Daily Log'!$A$5:$A$4004,"&lt;="&amp;Settings!$B$6))</f>
        <v/>
      </c>
      <c r="F52" s="8" t="str">
        <f>IF(A52="","",COUNTIFS('Daily Log'!$B$5:$B$4004,A52,'Daily Log'!$A$5:$A$4004,"&gt;="&amp;Settings!$B$5,'Daily Log'!$A$5:$A$4004,"&lt;="&amp;Settings!$B$6,'Daily Log'!$E$5:$E$4004,"Yes"))</f>
        <v/>
      </c>
      <c r="G52" s="8" t="str">
        <f>IF(A52="","",COUNTIFS('Daily Log'!$B$5:$B$4004,A52,'Daily Log'!$A$5:$A$4004,"&gt;="&amp;Settings!$B$5,'Daily Log'!$A$5:$A$4004,"&lt;="&amp;Settings!$B$6,'Daily Log'!$G$5:$G$4004,"On time"))</f>
        <v/>
      </c>
      <c r="H52" s="20" t="str">
        <f t="shared" si="3"/>
        <v/>
      </c>
      <c r="I52" s="21" t="str">
        <f>IF(A52="","",SUMIFS('Daily Log'!$H$5:$H$4004,'Daily Log'!$B$5:$B$4004,A52,'Daily Log'!$A$5:$A$4004,"&gt;="&amp;Settings!$B$5,'Daily Log'!$A$5:$A$4004,"&lt;="&amp;Settings!$B$6,'Daily Log'!$E$5:$E$4004,"Yes"))</f>
        <v/>
      </c>
      <c r="J52" s="17" t="str">
        <f>IF(A52="","",SUMIFS('Daily Log'!$I$5:$I$4004,'Daily Log'!$B$5:$B$4004,A52,'Daily Log'!$A$5:$A$4004,"&gt;="&amp;Settings!$B$5,'Daily Log'!$A$5:$A$4004,"&lt;="&amp;Settings!$B$6,'Daily Log'!$E$5:$E$4004,"Yes"))</f>
        <v/>
      </c>
      <c r="K52" s="17" t="str">
        <f>IF(A52="","",SUMIFS('Daily Log'!$J$5:$J$4004,'Daily Log'!$B$5:$B$4004,A52,'Daily Log'!$A$5:$A$4004,"&gt;="&amp;Settings!$B$5,'Daily Log'!$A$5:$A$4004,"&lt;="&amp;Settings!$B$6,'Daily Log'!$E$5:$E$4004,"Yes"))</f>
        <v/>
      </c>
      <c r="L52" s="17" t="str">
        <f>IF(A52="","",SUMIFS('Daily Log'!$K$5:$K$4004,'Daily Log'!$B$5:$B$4004,A52,'Daily Log'!$A$5:$A$4004,"&gt;="&amp;Settings!$B$5,'Daily Log'!$A$5:$A$4004,"&lt;="&amp;Settings!$B$6,'Daily Log'!$E$5:$E$4004,"Yes"))</f>
        <v/>
      </c>
      <c r="M52" s="8" t="str">
        <f>IF(A52="","",COUNTIFS('Daily Log'!$B$5:$B$4004,A52,'Daily Log'!$A$5:$A$4004,"&gt;="&amp;Settings!$B$5,'Daily Log'!$A$5:$A$4004,"&lt;="&amp;Settings!$B$6,'Daily Log'!$M$5:$M$4004,"Yes"))</f>
        <v/>
      </c>
      <c r="N52" s="20" t="str">
        <f t="shared" si="4"/>
        <v/>
      </c>
      <c r="O52" s="8" t="str">
        <f t="shared" si="5"/>
        <v/>
      </c>
    </row>
    <row r="53" spans="1:15" ht="15.75">
      <c r="A53" s="12" t="str">
        <f>IF('Cashier Roster'!B52="","",'Cashier Roster'!B52)</f>
        <v/>
      </c>
      <c r="B53" s="12" t="str">
        <f>IF(A53="","",'Cashier Roster'!C52)</f>
        <v/>
      </c>
      <c r="C53" s="12" t="str">
        <f>IF(A53="","",'Cashier Roster'!D52)</f>
        <v/>
      </c>
      <c r="D53" s="12" t="str">
        <f>IF(A53="","",'Cashier Roster'!H52)</f>
        <v/>
      </c>
      <c r="E53" s="8" t="str">
        <f>IF(A53="","",COUNTIFS('Daily Log'!$B$5:$B$4004,A53,'Daily Log'!$A$5:$A$4004,"&gt;="&amp;Settings!$B$5,'Daily Log'!$A$5:$A$4004,"&lt;="&amp;Settings!$B$6))</f>
        <v/>
      </c>
      <c r="F53" s="8" t="str">
        <f>IF(A53="","",COUNTIFS('Daily Log'!$B$5:$B$4004,A53,'Daily Log'!$A$5:$A$4004,"&gt;="&amp;Settings!$B$5,'Daily Log'!$A$5:$A$4004,"&lt;="&amp;Settings!$B$6,'Daily Log'!$E$5:$E$4004,"Yes"))</f>
        <v/>
      </c>
      <c r="G53" s="8" t="str">
        <f>IF(A53="","",COUNTIFS('Daily Log'!$B$5:$B$4004,A53,'Daily Log'!$A$5:$A$4004,"&gt;="&amp;Settings!$B$5,'Daily Log'!$A$5:$A$4004,"&lt;="&amp;Settings!$B$6,'Daily Log'!$G$5:$G$4004,"On time"))</f>
        <v/>
      </c>
      <c r="H53" s="20" t="str">
        <f t="shared" si="3"/>
        <v/>
      </c>
      <c r="I53" s="21" t="str">
        <f>IF(A53="","",SUMIFS('Daily Log'!$H$5:$H$4004,'Daily Log'!$B$5:$B$4004,A53,'Daily Log'!$A$5:$A$4004,"&gt;="&amp;Settings!$B$5,'Daily Log'!$A$5:$A$4004,"&lt;="&amp;Settings!$B$6,'Daily Log'!$E$5:$E$4004,"Yes"))</f>
        <v/>
      </c>
      <c r="J53" s="17" t="str">
        <f>IF(A53="","",SUMIFS('Daily Log'!$I$5:$I$4004,'Daily Log'!$B$5:$B$4004,A53,'Daily Log'!$A$5:$A$4004,"&gt;="&amp;Settings!$B$5,'Daily Log'!$A$5:$A$4004,"&lt;="&amp;Settings!$B$6,'Daily Log'!$E$5:$E$4004,"Yes"))</f>
        <v/>
      </c>
      <c r="K53" s="17" t="str">
        <f>IF(A53="","",SUMIFS('Daily Log'!$J$5:$J$4004,'Daily Log'!$B$5:$B$4004,A53,'Daily Log'!$A$5:$A$4004,"&gt;="&amp;Settings!$B$5,'Daily Log'!$A$5:$A$4004,"&lt;="&amp;Settings!$B$6,'Daily Log'!$E$5:$E$4004,"Yes"))</f>
        <v/>
      </c>
      <c r="L53" s="17" t="str">
        <f>IF(A53="","",SUMIFS('Daily Log'!$K$5:$K$4004,'Daily Log'!$B$5:$B$4004,A53,'Daily Log'!$A$5:$A$4004,"&gt;="&amp;Settings!$B$5,'Daily Log'!$A$5:$A$4004,"&lt;="&amp;Settings!$B$6,'Daily Log'!$E$5:$E$4004,"Yes"))</f>
        <v/>
      </c>
      <c r="M53" s="8" t="str">
        <f>IF(A53="","",COUNTIFS('Daily Log'!$B$5:$B$4004,A53,'Daily Log'!$A$5:$A$4004,"&gt;="&amp;Settings!$B$5,'Daily Log'!$A$5:$A$4004,"&lt;="&amp;Settings!$B$6,'Daily Log'!$M$5:$M$4004,"Yes"))</f>
        <v/>
      </c>
      <c r="N53" s="20" t="str">
        <f t="shared" si="4"/>
        <v/>
      </c>
      <c r="O53" s="8" t="str">
        <f t="shared" si="5"/>
        <v/>
      </c>
    </row>
    <row r="54" spans="1:15" ht="15.75">
      <c r="A54" s="12" t="str">
        <f>IF('Cashier Roster'!B53="","",'Cashier Roster'!B53)</f>
        <v/>
      </c>
      <c r="B54" s="12" t="str">
        <f>IF(A54="","",'Cashier Roster'!C53)</f>
        <v/>
      </c>
      <c r="C54" s="12" t="str">
        <f>IF(A54="","",'Cashier Roster'!D53)</f>
        <v/>
      </c>
      <c r="D54" s="12" t="str">
        <f>IF(A54="","",'Cashier Roster'!H53)</f>
        <v/>
      </c>
      <c r="E54" s="8" t="str">
        <f>IF(A54="","",COUNTIFS('Daily Log'!$B$5:$B$4004,A54,'Daily Log'!$A$5:$A$4004,"&gt;="&amp;Settings!$B$5,'Daily Log'!$A$5:$A$4004,"&lt;="&amp;Settings!$B$6))</f>
        <v/>
      </c>
      <c r="F54" s="8" t="str">
        <f>IF(A54="","",COUNTIFS('Daily Log'!$B$5:$B$4004,A54,'Daily Log'!$A$5:$A$4004,"&gt;="&amp;Settings!$B$5,'Daily Log'!$A$5:$A$4004,"&lt;="&amp;Settings!$B$6,'Daily Log'!$E$5:$E$4004,"Yes"))</f>
        <v/>
      </c>
      <c r="G54" s="8" t="str">
        <f>IF(A54="","",COUNTIFS('Daily Log'!$B$5:$B$4004,A54,'Daily Log'!$A$5:$A$4004,"&gt;="&amp;Settings!$B$5,'Daily Log'!$A$5:$A$4004,"&lt;="&amp;Settings!$B$6,'Daily Log'!$G$5:$G$4004,"On time"))</f>
        <v/>
      </c>
      <c r="H54" s="20" t="str">
        <f t="shared" si="3"/>
        <v/>
      </c>
      <c r="I54" s="21" t="str">
        <f>IF(A54="","",SUMIFS('Daily Log'!$H$5:$H$4004,'Daily Log'!$B$5:$B$4004,A54,'Daily Log'!$A$5:$A$4004,"&gt;="&amp;Settings!$B$5,'Daily Log'!$A$5:$A$4004,"&lt;="&amp;Settings!$B$6,'Daily Log'!$E$5:$E$4004,"Yes"))</f>
        <v/>
      </c>
      <c r="J54" s="17" t="str">
        <f>IF(A54="","",SUMIFS('Daily Log'!$I$5:$I$4004,'Daily Log'!$B$5:$B$4004,A54,'Daily Log'!$A$5:$A$4004,"&gt;="&amp;Settings!$B$5,'Daily Log'!$A$5:$A$4004,"&lt;="&amp;Settings!$B$6,'Daily Log'!$E$5:$E$4004,"Yes"))</f>
        <v/>
      </c>
      <c r="K54" s="17" t="str">
        <f>IF(A54="","",SUMIFS('Daily Log'!$J$5:$J$4004,'Daily Log'!$B$5:$B$4004,A54,'Daily Log'!$A$5:$A$4004,"&gt;="&amp;Settings!$B$5,'Daily Log'!$A$5:$A$4004,"&lt;="&amp;Settings!$B$6,'Daily Log'!$E$5:$E$4004,"Yes"))</f>
        <v/>
      </c>
      <c r="L54" s="17" t="str">
        <f>IF(A54="","",SUMIFS('Daily Log'!$K$5:$K$4004,'Daily Log'!$B$5:$B$4004,A54,'Daily Log'!$A$5:$A$4004,"&gt;="&amp;Settings!$B$5,'Daily Log'!$A$5:$A$4004,"&lt;="&amp;Settings!$B$6,'Daily Log'!$E$5:$E$4004,"Yes"))</f>
        <v/>
      </c>
      <c r="M54" s="8" t="str">
        <f>IF(A54="","",COUNTIFS('Daily Log'!$B$5:$B$4004,A54,'Daily Log'!$A$5:$A$4004,"&gt;="&amp;Settings!$B$5,'Daily Log'!$A$5:$A$4004,"&lt;="&amp;Settings!$B$6,'Daily Log'!$M$5:$M$4004,"Yes"))</f>
        <v/>
      </c>
      <c r="N54" s="20" t="str">
        <f t="shared" si="4"/>
        <v/>
      </c>
      <c r="O54" s="8" t="str">
        <f t="shared" si="5"/>
        <v/>
      </c>
    </row>
    <row r="55" spans="1:15" ht="15.75">
      <c r="A55" s="12" t="str">
        <f>IF('Cashier Roster'!B54="","",'Cashier Roster'!B54)</f>
        <v/>
      </c>
      <c r="B55" s="12" t="str">
        <f>IF(A55="","",'Cashier Roster'!C54)</f>
        <v/>
      </c>
      <c r="C55" s="12" t="str">
        <f>IF(A55="","",'Cashier Roster'!D54)</f>
        <v/>
      </c>
      <c r="D55" s="12" t="str">
        <f>IF(A55="","",'Cashier Roster'!H54)</f>
        <v/>
      </c>
      <c r="E55" s="8" t="str">
        <f>IF(A55="","",COUNTIFS('Daily Log'!$B$5:$B$4004,A55,'Daily Log'!$A$5:$A$4004,"&gt;="&amp;Settings!$B$5,'Daily Log'!$A$5:$A$4004,"&lt;="&amp;Settings!$B$6))</f>
        <v/>
      </c>
      <c r="F55" s="8" t="str">
        <f>IF(A55="","",COUNTIFS('Daily Log'!$B$5:$B$4004,A55,'Daily Log'!$A$5:$A$4004,"&gt;="&amp;Settings!$B$5,'Daily Log'!$A$5:$A$4004,"&lt;="&amp;Settings!$B$6,'Daily Log'!$E$5:$E$4004,"Yes"))</f>
        <v/>
      </c>
      <c r="G55" s="8" t="str">
        <f>IF(A55="","",COUNTIFS('Daily Log'!$B$5:$B$4004,A55,'Daily Log'!$A$5:$A$4004,"&gt;="&amp;Settings!$B$5,'Daily Log'!$A$5:$A$4004,"&lt;="&amp;Settings!$B$6,'Daily Log'!$G$5:$G$4004,"On time"))</f>
        <v/>
      </c>
      <c r="H55" s="20" t="str">
        <f t="shared" si="3"/>
        <v/>
      </c>
      <c r="I55" s="21" t="str">
        <f>IF(A55="","",SUMIFS('Daily Log'!$H$5:$H$4004,'Daily Log'!$B$5:$B$4004,A55,'Daily Log'!$A$5:$A$4004,"&gt;="&amp;Settings!$B$5,'Daily Log'!$A$5:$A$4004,"&lt;="&amp;Settings!$B$6,'Daily Log'!$E$5:$E$4004,"Yes"))</f>
        <v/>
      </c>
      <c r="J55" s="17" t="str">
        <f>IF(A55="","",SUMIFS('Daily Log'!$I$5:$I$4004,'Daily Log'!$B$5:$B$4004,A55,'Daily Log'!$A$5:$A$4004,"&gt;="&amp;Settings!$B$5,'Daily Log'!$A$5:$A$4004,"&lt;="&amp;Settings!$B$6,'Daily Log'!$E$5:$E$4004,"Yes"))</f>
        <v/>
      </c>
      <c r="K55" s="17" t="str">
        <f>IF(A55="","",SUMIFS('Daily Log'!$J$5:$J$4004,'Daily Log'!$B$5:$B$4004,A55,'Daily Log'!$A$5:$A$4004,"&gt;="&amp;Settings!$B$5,'Daily Log'!$A$5:$A$4004,"&lt;="&amp;Settings!$B$6,'Daily Log'!$E$5:$E$4004,"Yes"))</f>
        <v/>
      </c>
      <c r="L55" s="17" t="str">
        <f>IF(A55="","",SUMIFS('Daily Log'!$K$5:$K$4004,'Daily Log'!$B$5:$B$4004,A55,'Daily Log'!$A$5:$A$4004,"&gt;="&amp;Settings!$B$5,'Daily Log'!$A$5:$A$4004,"&lt;="&amp;Settings!$B$6,'Daily Log'!$E$5:$E$4004,"Yes"))</f>
        <v/>
      </c>
      <c r="M55" s="8" t="str">
        <f>IF(A55="","",COUNTIFS('Daily Log'!$B$5:$B$4004,A55,'Daily Log'!$A$5:$A$4004,"&gt;="&amp;Settings!$B$5,'Daily Log'!$A$5:$A$4004,"&lt;="&amp;Settings!$B$6,'Daily Log'!$M$5:$M$4004,"Yes"))</f>
        <v/>
      </c>
      <c r="N55" s="20" t="str">
        <f t="shared" si="4"/>
        <v/>
      </c>
      <c r="O55" s="8" t="str">
        <f t="shared" si="5"/>
        <v/>
      </c>
    </row>
    <row r="56" spans="1:15" ht="15.75">
      <c r="A56" s="12" t="str">
        <f>IF('Cashier Roster'!B55="","",'Cashier Roster'!B55)</f>
        <v/>
      </c>
      <c r="B56" s="12" t="str">
        <f>IF(A56="","",'Cashier Roster'!C55)</f>
        <v/>
      </c>
      <c r="C56" s="12" t="str">
        <f>IF(A56="","",'Cashier Roster'!D55)</f>
        <v/>
      </c>
      <c r="D56" s="12" t="str">
        <f>IF(A56="","",'Cashier Roster'!H55)</f>
        <v/>
      </c>
      <c r="E56" s="8" t="str">
        <f>IF(A56="","",COUNTIFS('Daily Log'!$B$5:$B$4004,A56,'Daily Log'!$A$5:$A$4004,"&gt;="&amp;Settings!$B$5,'Daily Log'!$A$5:$A$4004,"&lt;="&amp;Settings!$B$6))</f>
        <v/>
      </c>
      <c r="F56" s="8" t="str">
        <f>IF(A56="","",COUNTIFS('Daily Log'!$B$5:$B$4004,A56,'Daily Log'!$A$5:$A$4004,"&gt;="&amp;Settings!$B$5,'Daily Log'!$A$5:$A$4004,"&lt;="&amp;Settings!$B$6,'Daily Log'!$E$5:$E$4004,"Yes"))</f>
        <v/>
      </c>
      <c r="G56" s="8" t="str">
        <f>IF(A56="","",COUNTIFS('Daily Log'!$B$5:$B$4004,A56,'Daily Log'!$A$5:$A$4004,"&gt;="&amp;Settings!$B$5,'Daily Log'!$A$5:$A$4004,"&lt;="&amp;Settings!$B$6,'Daily Log'!$G$5:$G$4004,"On time"))</f>
        <v/>
      </c>
      <c r="H56" s="20" t="str">
        <f t="shared" si="3"/>
        <v/>
      </c>
      <c r="I56" s="21" t="str">
        <f>IF(A56="","",SUMIFS('Daily Log'!$H$5:$H$4004,'Daily Log'!$B$5:$B$4004,A56,'Daily Log'!$A$5:$A$4004,"&gt;="&amp;Settings!$B$5,'Daily Log'!$A$5:$A$4004,"&lt;="&amp;Settings!$B$6,'Daily Log'!$E$5:$E$4004,"Yes"))</f>
        <v/>
      </c>
      <c r="J56" s="17" t="str">
        <f>IF(A56="","",SUMIFS('Daily Log'!$I$5:$I$4004,'Daily Log'!$B$5:$B$4004,A56,'Daily Log'!$A$5:$A$4004,"&gt;="&amp;Settings!$B$5,'Daily Log'!$A$5:$A$4004,"&lt;="&amp;Settings!$B$6,'Daily Log'!$E$5:$E$4004,"Yes"))</f>
        <v/>
      </c>
      <c r="K56" s="17" t="str">
        <f>IF(A56="","",SUMIFS('Daily Log'!$J$5:$J$4004,'Daily Log'!$B$5:$B$4004,A56,'Daily Log'!$A$5:$A$4004,"&gt;="&amp;Settings!$B$5,'Daily Log'!$A$5:$A$4004,"&lt;="&amp;Settings!$B$6,'Daily Log'!$E$5:$E$4004,"Yes"))</f>
        <v/>
      </c>
      <c r="L56" s="17" t="str">
        <f>IF(A56="","",SUMIFS('Daily Log'!$K$5:$K$4004,'Daily Log'!$B$5:$B$4004,A56,'Daily Log'!$A$5:$A$4004,"&gt;="&amp;Settings!$B$5,'Daily Log'!$A$5:$A$4004,"&lt;="&amp;Settings!$B$6,'Daily Log'!$E$5:$E$4004,"Yes"))</f>
        <v/>
      </c>
      <c r="M56" s="8" t="str">
        <f>IF(A56="","",COUNTIFS('Daily Log'!$B$5:$B$4004,A56,'Daily Log'!$A$5:$A$4004,"&gt;="&amp;Settings!$B$5,'Daily Log'!$A$5:$A$4004,"&lt;="&amp;Settings!$B$6,'Daily Log'!$M$5:$M$4004,"Yes"))</f>
        <v/>
      </c>
      <c r="N56" s="20" t="str">
        <f t="shared" si="4"/>
        <v/>
      </c>
      <c r="O56" s="8" t="str">
        <f t="shared" si="5"/>
        <v/>
      </c>
    </row>
    <row r="57" spans="1:15" ht="15.75">
      <c r="A57" s="12" t="str">
        <f>IF('Cashier Roster'!B56="","",'Cashier Roster'!B56)</f>
        <v/>
      </c>
      <c r="B57" s="12" t="str">
        <f>IF(A57="","",'Cashier Roster'!C56)</f>
        <v/>
      </c>
      <c r="C57" s="12" t="str">
        <f>IF(A57="","",'Cashier Roster'!D56)</f>
        <v/>
      </c>
      <c r="D57" s="12" t="str">
        <f>IF(A57="","",'Cashier Roster'!H56)</f>
        <v/>
      </c>
      <c r="E57" s="8" t="str">
        <f>IF(A57="","",COUNTIFS('Daily Log'!$B$5:$B$4004,A57,'Daily Log'!$A$5:$A$4004,"&gt;="&amp;Settings!$B$5,'Daily Log'!$A$5:$A$4004,"&lt;="&amp;Settings!$B$6))</f>
        <v/>
      </c>
      <c r="F57" s="8" t="str">
        <f>IF(A57="","",COUNTIFS('Daily Log'!$B$5:$B$4004,A57,'Daily Log'!$A$5:$A$4004,"&gt;="&amp;Settings!$B$5,'Daily Log'!$A$5:$A$4004,"&lt;="&amp;Settings!$B$6,'Daily Log'!$E$5:$E$4004,"Yes"))</f>
        <v/>
      </c>
      <c r="G57" s="8" t="str">
        <f>IF(A57="","",COUNTIFS('Daily Log'!$B$5:$B$4004,A57,'Daily Log'!$A$5:$A$4004,"&gt;="&amp;Settings!$B$5,'Daily Log'!$A$5:$A$4004,"&lt;="&amp;Settings!$B$6,'Daily Log'!$G$5:$G$4004,"On time"))</f>
        <v/>
      </c>
      <c r="H57" s="20" t="str">
        <f t="shared" si="3"/>
        <v/>
      </c>
      <c r="I57" s="21" t="str">
        <f>IF(A57="","",SUMIFS('Daily Log'!$H$5:$H$4004,'Daily Log'!$B$5:$B$4004,A57,'Daily Log'!$A$5:$A$4004,"&gt;="&amp;Settings!$B$5,'Daily Log'!$A$5:$A$4004,"&lt;="&amp;Settings!$B$6,'Daily Log'!$E$5:$E$4004,"Yes"))</f>
        <v/>
      </c>
      <c r="J57" s="17" t="str">
        <f>IF(A57="","",SUMIFS('Daily Log'!$I$5:$I$4004,'Daily Log'!$B$5:$B$4004,A57,'Daily Log'!$A$5:$A$4004,"&gt;="&amp;Settings!$B$5,'Daily Log'!$A$5:$A$4004,"&lt;="&amp;Settings!$B$6,'Daily Log'!$E$5:$E$4004,"Yes"))</f>
        <v/>
      </c>
      <c r="K57" s="17" t="str">
        <f>IF(A57="","",SUMIFS('Daily Log'!$J$5:$J$4004,'Daily Log'!$B$5:$B$4004,A57,'Daily Log'!$A$5:$A$4004,"&gt;="&amp;Settings!$B$5,'Daily Log'!$A$5:$A$4004,"&lt;="&amp;Settings!$B$6,'Daily Log'!$E$5:$E$4004,"Yes"))</f>
        <v/>
      </c>
      <c r="L57" s="17" t="str">
        <f>IF(A57="","",SUMIFS('Daily Log'!$K$5:$K$4004,'Daily Log'!$B$5:$B$4004,A57,'Daily Log'!$A$5:$A$4004,"&gt;="&amp;Settings!$B$5,'Daily Log'!$A$5:$A$4004,"&lt;="&amp;Settings!$B$6,'Daily Log'!$E$5:$E$4004,"Yes"))</f>
        <v/>
      </c>
      <c r="M57" s="8" t="str">
        <f>IF(A57="","",COUNTIFS('Daily Log'!$B$5:$B$4004,A57,'Daily Log'!$A$5:$A$4004,"&gt;="&amp;Settings!$B$5,'Daily Log'!$A$5:$A$4004,"&lt;="&amp;Settings!$B$6,'Daily Log'!$M$5:$M$4004,"Yes"))</f>
        <v/>
      </c>
      <c r="N57" s="20" t="str">
        <f t="shared" si="4"/>
        <v/>
      </c>
      <c r="O57" s="8" t="str">
        <f t="shared" si="5"/>
        <v/>
      </c>
    </row>
    <row r="58" spans="1:15" ht="15.75">
      <c r="A58" s="12" t="str">
        <f>IF('Cashier Roster'!B57="","",'Cashier Roster'!B57)</f>
        <v/>
      </c>
      <c r="B58" s="12" t="str">
        <f>IF(A58="","",'Cashier Roster'!C57)</f>
        <v/>
      </c>
      <c r="C58" s="12" t="str">
        <f>IF(A58="","",'Cashier Roster'!D57)</f>
        <v/>
      </c>
      <c r="D58" s="12" t="str">
        <f>IF(A58="","",'Cashier Roster'!H57)</f>
        <v/>
      </c>
      <c r="E58" s="8" t="str">
        <f>IF(A58="","",COUNTIFS('Daily Log'!$B$5:$B$4004,A58,'Daily Log'!$A$5:$A$4004,"&gt;="&amp;Settings!$B$5,'Daily Log'!$A$5:$A$4004,"&lt;="&amp;Settings!$B$6))</f>
        <v/>
      </c>
      <c r="F58" s="8" t="str">
        <f>IF(A58="","",COUNTIFS('Daily Log'!$B$5:$B$4004,A58,'Daily Log'!$A$5:$A$4004,"&gt;="&amp;Settings!$B$5,'Daily Log'!$A$5:$A$4004,"&lt;="&amp;Settings!$B$6,'Daily Log'!$E$5:$E$4004,"Yes"))</f>
        <v/>
      </c>
      <c r="G58" s="8" t="str">
        <f>IF(A58="","",COUNTIFS('Daily Log'!$B$5:$B$4004,A58,'Daily Log'!$A$5:$A$4004,"&gt;="&amp;Settings!$B$5,'Daily Log'!$A$5:$A$4004,"&lt;="&amp;Settings!$B$6,'Daily Log'!$G$5:$G$4004,"On time"))</f>
        <v/>
      </c>
      <c r="H58" s="20" t="str">
        <f t="shared" si="3"/>
        <v/>
      </c>
      <c r="I58" s="21" t="str">
        <f>IF(A58="","",SUMIFS('Daily Log'!$H$5:$H$4004,'Daily Log'!$B$5:$B$4004,A58,'Daily Log'!$A$5:$A$4004,"&gt;="&amp;Settings!$B$5,'Daily Log'!$A$5:$A$4004,"&lt;="&amp;Settings!$B$6,'Daily Log'!$E$5:$E$4004,"Yes"))</f>
        <v/>
      </c>
      <c r="J58" s="17" t="str">
        <f>IF(A58="","",SUMIFS('Daily Log'!$I$5:$I$4004,'Daily Log'!$B$5:$B$4004,A58,'Daily Log'!$A$5:$A$4004,"&gt;="&amp;Settings!$B$5,'Daily Log'!$A$5:$A$4004,"&lt;="&amp;Settings!$B$6,'Daily Log'!$E$5:$E$4004,"Yes"))</f>
        <v/>
      </c>
      <c r="K58" s="17" t="str">
        <f>IF(A58="","",SUMIFS('Daily Log'!$J$5:$J$4004,'Daily Log'!$B$5:$B$4004,A58,'Daily Log'!$A$5:$A$4004,"&gt;="&amp;Settings!$B$5,'Daily Log'!$A$5:$A$4004,"&lt;="&amp;Settings!$B$6,'Daily Log'!$E$5:$E$4004,"Yes"))</f>
        <v/>
      </c>
      <c r="L58" s="17" t="str">
        <f>IF(A58="","",SUMIFS('Daily Log'!$K$5:$K$4004,'Daily Log'!$B$5:$B$4004,A58,'Daily Log'!$A$5:$A$4004,"&gt;="&amp;Settings!$B$5,'Daily Log'!$A$5:$A$4004,"&lt;="&amp;Settings!$B$6,'Daily Log'!$E$5:$E$4004,"Yes"))</f>
        <v/>
      </c>
      <c r="M58" s="8" t="str">
        <f>IF(A58="","",COUNTIFS('Daily Log'!$B$5:$B$4004,A58,'Daily Log'!$A$5:$A$4004,"&gt;="&amp;Settings!$B$5,'Daily Log'!$A$5:$A$4004,"&lt;="&amp;Settings!$B$6,'Daily Log'!$M$5:$M$4004,"Yes"))</f>
        <v/>
      </c>
      <c r="N58" s="20" t="str">
        <f t="shared" si="4"/>
        <v/>
      </c>
      <c r="O58" s="8" t="str">
        <f t="shared" si="5"/>
        <v/>
      </c>
    </row>
    <row r="59" spans="1:15" ht="15.75">
      <c r="A59" s="12" t="str">
        <f>IF('Cashier Roster'!B58="","",'Cashier Roster'!B58)</f>
        <v/>
      </c>
      <c r="B59" s="12" t="str">
        <f>IF(A59="","",'Cashier Roster'!C58)</f>
        <v/>
      </c>
      <c r="C59" s="12" t="str">
        <f>IF(A59="","",'Cashier Roster'!D58)</f>
        <v/>
      </c>
      <c r="D59" s="12" t="str">
        <f>IF(A59="","",'Cashier Roster'!H58)</f>
        <v/>
      </c>
      <c r="E59" s="8" t="str">
        <f>IF(A59="","",COUNTIFS('Daily Log'!$B$5:$B$4004,A59,'Daily Log'!$A$5:$A$4004,"&gt;="&amp;Settings!$B$5,'Daily Log'!$A$5:$A$4004,"&lt;="&amp;Settings!$B$6))</f>
        <v/>
      </c>
      <c r="F59" s="8" t="str">
        <f>IF(A59="","",COUNTIFS('Daily Log'!$B$5:$B$4004,A59,'Daily Log'!$A$5:$A$4004,"&gt;="&amp;Settings!$B$5,'Daily Log'!$A$5:$A$4004,"&lt;="&amp;Settings!$B$6,'Daily Log'!$E$5:$E$4004,"Yes"))</f>
        <v/>
      </c>
      <c r="G59" s="8" t="str">
        <f>IF(A59="","",COUNTIFS('Daily Log'!$B$5:$B$4004,A59,'Daily Log'!$A$5:$A$4004,"&gt;="&amp;Settings!$B$5,'Daily Log'!$A$5:$A$4004,"&lt;="&amp;Settings!$B$6,'Daily Log'!$G$5:$G$4004,"On time"))</f>
        <v/>
      </c>
      <c r="H59" s="20" t="str">
        <f t="shared" si="3"/>
        <v/>
      </c>
      <c r="I59" s="21" t="str">
        <f>IF(A59="","",SUMIFS('Daily Log'!$H$5:$H$4004,'Daily Log'!$B$5:$B$4004,A59,'Daily Log'!$A$5:$A$4004,"&gt;="&amp;Settings!$B$5,'Daily Log'!$A$5:$A$4004,"&lt;="&amp;Settings!$B$6,'Daily Log'!$E$5:$E$4004,"Yes"))</f>
        <v/>
      </c>
      <c r="J59" s="17" t="str">
        <f>IF(A59="","",SUMIFS('Daily Log'!$I$5:$I$4004,'Daily Log'!$B$5:$B$4004,A59,'Daily Log'!$A$5:$A$4004,"&gt;="&amp;Settings!$B$5,'Daily Log'!$A$5:$A$4004,"&lt;="&amp;Settings!$B$6,'Daily Log'!$E$5:$E$4004,"Yes"))</f>
        <v/>
      </c>
      <c r="K59" s="17" t="str">
        <f>IF(A59="","",SUMIFS('Daily Log'!$J$5:$J$4004,'Daily Log'!$B$5:$B$4004,A59,'Daily Log'!$A$5:$A$4004,"&gt;="&amp;Settings!$B$5,'Daily Log'!$A$5:$A$4004,"&lt;="&amp;Settings!$B$6,'Daily Log'!$E$5:$E$4004,"Yes"))</f>
        <v/>
      </c>
      <c r="L59" s="17" t="str">
        <f>IF(A59="","",SUMIFS('Daily Log'!$K$5:$K$4004,'Daily Log'!$B$5:$B$4004,A59,'Daily Log'!$A$5:$A$4004,"&gt;="&amp;Settings!$B$5,'Daily Log'!$A$5:$A$4004,"&lt;="&amp;Settings!$B$6,'Daily Log'!$E$5:$E$4004,"Yes"))</f>
        <v/>
      </c>
      <c r="M59" s="8" t="str">
        <f>IF(A59="","",COUNTIFS('Daily Log'!$B$5:$B$4004,A59,'Daily Log'!$A$5:$A$4004,"&gt;="&amp;Settings!$B$5,'Daily Log'!$A$5:$A$4004,"&lt;="&amp;Settings!$B$6,'Daily Log'!$M$5:$M$4004,"Yes"))</f>
        <v/>
      </c>
      <c r="N59" s="20" t="str">
        <f t="shared" si="4"/>
        <v/>
      </c>
      <c r="O59" s="8" t="str">
        <f t="shared" si="5"/>
        <v/>
      </c>
    </row>
    <row r="60" spans="1:15" ht="15.75">
      <c r="A60" s="12" t="str">
        <f>IF('Cashier Roster'!B59="","",'Cashier Roster'!B59)</f>
        <v/>
      </c>
      <c r="B60" s="12" t="str">
        <f>IF(A60="","",'Cashier Roster'!C59)</f>
        <v/>
      </c>
      <c r="C60" s="12" t="str">
        <f>IF(A60="","",'Cashier Roster'!D59)</f>
        <v/>
      </c>
      <c r="D60" s="12" t="str">
        <f>IF(A60="","",'Cashier Roster'!H59)</f>
        <v/>
      </c>
      <c r="E60" s="8" t="str">
        <f>IF(A60="","",COUNTIFS('Daily Log'!$B$5:$B$4004,A60,'Daily Log'!$A$5:$A$4004,"&gt;="&amp;Settings!$B$5,'Daily Log'!$A$5:$A$4004,"&lt;="&amp;Settings!$B$6))</f>
        <v/>
      </c>
      <c r="F60" s="8" t="str">
        <f>IF(A60="","",COUNTIFS('Daily Log'!$B$5:$B$4004,A60,'Daily Log'!$A$5:$A$4004,"&gt;="&amp;Settings!$B$5,'Daily Log'!$A$5:$A$4004,"&lt;="&amp;Settings!$B$6,'Daily Log'!$E$5:$E$4004,"Yes"))</f>
        <v/>
      </c>
      <c r="G60" s="8" t="str">
        <f>IF(A60="","",COUNTIFS('Daily Log'!$B$5:$B$4004,A60,'Daily Log'!$A$5:$A$4004,"&gt;="&amp;Settings!$B$5,'Daily Log'!$A$5:$A$4004,"&lt;="&amp;Settings!$B$6,'Daily Log'!$G$5:$G$4004,"On time"))</f>
        <v/>
      </c>
      <c r="H60" s="20" t="str">
        <f t="shared" si="3"/>
        <v/>
      </c>
      <c r="I60" s="21" t="str">
        <f>IF(A60="","",SUMIFS('Daily Log'!$H$5:$H$4004,'Daily Log'!$B$5:$B$4004,A60,'Daily Log'!$A$5:$A$4004,"&gt;="&amp;Settings!$B$5,'Daily Log'!$A$5:$A$4004,"&lt;="&amp;Settings!$B$6,'Daily Log'!$E$5:$E$4004,"Yes"))</f>
        <v/>
      </c>
      <c r="J60" s="17" t="str">
        <f>IF(A60="","",SUMIFS('Daily Log'!$I$5:$I$4004,'Daily Log'!$B$5:$B$4004,A60,'Daily Log'!$A$5:$A$4004,"&gt;="&amp;Settings!$B$5,'Daily Log'!$A$5:$A$4004,"&lt;="&amp;Settings!$B$6,'Daily Log'!$E$5:$E$4004,"Yes"))</f>
        <v/>
      </c>
      <c r="K60" s="17" t="str">
        <f>IF(A60="","",SUMIFS('Daily Log'!$J$5:$J$4004,'Daily Log'!$B$5:$B$4004,A60,'Daily Log'!$A$5:$A$4004,"&gt;="&amp;Settings!$B$5,'Daily Log'!$A$5:$A$4004,"&lt;="&amp;Settings!$B$6,'Daily Log'!$E$5:$E$4004,"Yes"))</f>
        <v/>
      </c>
      <c r="L60" s="17" t="str">
        <f>IF(A60="","",SUMIFS('Daily Log'!$K$5:$K$4004,'Daily Log'!$B$5:$B$4004,A60,'Daily Log'!$A$5:$A$4004,"&gt;="&amp;Settings!$B$5,'Daily Log'!$A$5:$A$4004,"&lt;="&amp;Settings!$B$6,'Daily Log'!$E$5:$E$4004,"Yes"))</f>
        <v/>
      </c>
      <c r="M60" s="8" t="str">
        <f>IF(A60="","",COUNTIFS('Daily Log'!$B$5:$B$4004,A60,'Daily Log'!$A$5:$A$4004,"&gt;="&amp;Settings!$B$5,'Daily Log'!$A$5:$A$4004,"&lt;="&amp;Settings!$B$6,'Daily Log'!$M$5:$M$4004,"Yes"))</f>
        <v/>
      </c>
      <c r="N60" s="20" t="str">
        <f t="shared" si="4"/>
        <v/>
      </c>
      <c r="O60" s="8" t="str">
        <f t="shared" si="5"/>
        <v/>
      </c>
    </row>
    <row r="61" spans="1:15" ht="15.75">
      <c r="A61" s="12" t="str">
        <f>IF('Cashier Roster'!B60="","",'Cashier Roster'!B60)</f>
        <v/>
      </c>
      <c r="B61" s="12" t="str">
        <f>IF(A61="","",'Cashier Roster'!C60)</f>
        <v/>
      </c>
      <c r="C61" s="12" t="str">
        <f>IF(A61="","",'Cashier Roster'!D60)</f>
        <v/>
      </c>
      <c r="D61" s="12" t="str">
        <f>IF(A61="","",'Cashier Roster'!H60)</f>
        <v/>
      </c>
      <c r="E61" s="8" t="str">
        <f>IF(A61="","",COUNTIFS('Daily Log'!$B$5:$B$4004,A61,'Daily Log'!$A$5:$A$4004,"&gt;="&amp;Settings!$B$5,'Daily Log'!$A$5:$A$4004,"&lt;="&amp;Settings!$B$6))</f>
        <v/>
      </c>
      <c r="F61" s="8" t="str">
        <f>IF(A61="","",COUNTIFS('Daily Log'!$B$5:$B$4004,A61,'Daily Log'!$A$5:$A$4004,"&gt;="&amp;Settings!$B$5,'Daily Log'!$A$5:$A$4004,"&lt;="&amp;Settings!$B$6,'Daily Log'!$E$5:$E$4004,"Yes"))</f>
        <v/>
      </c>
      <c r="G61" s="8" t="str">
        <f>IF(A61="","",COUNTIFS('Daily Log'!$B$5:$B$4004,A61,'Daily Log'!$A$5:$A$4004,"&gt;="&amp;Settings!$B$5,'Daily Log'!$A$5:$A$4004,"&lt;="&amp;Settings!$B$6,'Daily Log'!$G$5:$G$4004,"On time"))</f>
        <v/>
      </c>
      <c r="H61" s="20" t="str">
        <f t="shared" si="3"/>
        <v/>
      </c>
      <c r="I61" s="21" t="str">
        <f>IF(A61="","",SUMIFS('Daily Log'!$H$5:$H$4004,'Daily Log'!$B$5:$B$4004,A61,'Daily Log'!$A$5:$A$4004,"&gt;="&amp;Settings!$B$5,'Daily Log'!$A$5:$A$4004,"&lt;="&amp;Settings!$B$6,'Daily Log'!$E$5:$E$4004,"Yes"))</f>
        <v/>
      </c>
      <c r="J61" s="17" t="str">
        <f>IF(A61="","",SUMIFS('Daily Log'!$I$5:$I$4004,'Daily Log'!$B$5:$B$4004,A61,'Daily Log'!$A$5:$A$4004,"&gt;="&amp;Settings!$B$5,'Daily Log'!$A$5:$A$4004,"&lt;="&amp;Settings!$B$6,'Daily Log'!$E$5:$E$4004,"Yes"))</f>
        <v/>
      </c>
      <c r="K61" s="17" t="str">
        <f>IF(A61="","",SUMIFS('Daily Log'!$J$5:$J$4004,'Daily Log'!$B$5:$B$4004,A61,'Daily Log'!$A$5:$A$4004,"&gt;="&amp;Settings!$B$5,'Daily Log'!$A$5:$A$4004,"&lt;="&amp;Settings!$B$6,'Daily Log'!$E$5:$E$4004,"Yes"))</f>
        <v/>
      </c>
      <c r="L61" s="17" t="str">
        <f>IF(A61="","",SUMIFS('Daily Log'!$K$5:$K$4004,'Daily Log'!$B$5:$B$4004,A61,'Daily Log'!$A$5:$A$4004,"&gt;="&amp;Settings!$B$5,'Daily Log'!$A$5:$A$4004,"&lt;="&amp;Settings!$B$6,'Daily Log'!$E$5:$E$4004,"Yes"))</f>
        <v/>
      </c>
      <c r="M61" s="8" t="str">
        <f>IF(A61="","",COUNTIFS('Daily Log'!$B$5:$B$4004,A61,'Daily Log'!$A$5:$A$4004,"&gt;="&amp;Settings!$B$5,'Daily Log'!$A$5:$A$4004,"&lt;="&amp;Settings!$B$6,'Daily Log'!$M$5:$M$4004,"Yes"))</f>
        <v/>
      </c>
      <c r="N61" s="20" t="str">
        <f t="shared" si="4"/>
        <v/>
      </c>
      <c r="O61" s="8" t="str">
        <f t="shared" si="5"/>
        <v/>
      </c>
    </row>
    <row r="62" spans="1:15" ht="15.75">
      <c r="A62" s="12" t="str">
        <f>IF('Cashier Roster'!B61="","",'Cashier Roster'!B61)</f>
        <v/>
      </c>
      <c r="B62" s="12" t="str">
        <f>IF(A62="","",'Cashier Roster'!C61)</f>
        <v/>
      </c>
      <c r="C62" s="12" t="str">
        <f>IF(A62="","",'Cashier Roster'!D61)</f>
        <v/>
      </c>
      <c r="D62" s="12" t="str">
        <f>IF(A62="","",'Cashier Roster'!H61)</f>
        <v/>
      </c>
      <c r="E62" s="8" t="str">
        <f>IF(A62="","",COUNTIFS('Daily Log'!$B$5:$B$4004,A62,'Daily Log'!$A$5:$A$4004,"&gt;="&amp;Settings!$B$5,'Daily Log'!$A$5:$A$4004,"&lt;="&amp;Settings!$B$6))</f>
        <v/>
      </c>
      <c r="F62" s="8" t="str">
        <f>IF(A62="","",COUNTIFS('Daily Log'!$B$5:$B$4004,A62,'Daily Log'!$A$5:$A$4004,"&gt;="&amp;Settings!$B$5,'Daily Log'!$A$5:$A$4004,"&lt;="&amp;Settings!$B$6,'Daily Log'!$E$5:$E$4004,"Yes"))</f>
        <v/>
      </c>
      <c r="G62" s="8" t="str">
        <f>IF(A62="","",COUNTIFS('Daily Log'!$B$5:$B$4004,A62,'Daily Log'!$A$5:$A$4004,"&gt;="&amp;Settings!$B$5,'Daily Log'!$A$5:$A$4004,"&lt;="&amp;Settings!$B$6,'Daily Log'!$G$5:$G$4004,"On time"))</f>
        <v/>
      </c>
      <c r="H62" s="20" t="str">
        <f t="shared" si="3"/>
        <v/>
      </c>
      <c r="I62" s="21" t="str">
        <f>IF(A62="","",SUMIFS('Daily Log'!$H$5:$H$4004,'Daily Log'!$B$5:$B$4004,A62,'Daily Log'!$A$5:$A$4004,"&gt;="&amp;Settings!$B$5,'Daily Log'!$A$5:$A$4004,"&lt;="&amp;Settings!$B$6,'Daily Log'!$E$5:$E$4004,"Yes"))</f>
        <v/>
      </c>
      <c r="J62" s="17" t="str">
        <f>IF(A62="","",SUMIFS('Daily Log'!$I$5:$I$4004,'Daily Log'!$B$5:$B$4004,A62,'Daily Log'!$A$5:$A$4004,"&gt;="&amp;Settings!$B$5,'Daily Log'!$A$5:$A$4004,"&lt;="&amp;Settings!$B$6,'Daily Log'!$E$5:$E$4004,"Yes"))</f>
        <v/>
      </c>
      <c r="K62" s="17" t="str">
        <f>IF(A62="","",SUMIFS('Daily Log'!$J$5:$J$4004,'Daily Log'!$B$5:$B$4004,A62,'Daily Log'!$A$5:$A$4004,"&gt;="&amp;Settings!$B$5,'Daily Log'!$A$5:$A$4004,"&lt;="&amp;Settings!$B$6,'Daily Log'!$E$5:$E$4004,"Yes"))</f>
        <v/>
      </c>
      <c r="L62" s="17" t="str">
        <f>IF(A62="","",SUMIFS('Daily Log'!$K$5:$K$4004,'Daily Log'!$B$5:$B$4004,A62,'Daily Log'!$A$5:$A$4004,"&gt;="&amp;Settings!$B$5,'Daily Log'!$A$5:$A$4004,"&lt;="&amp;Settings!$B$6,'Daily Log'!$E$5:$E$4004,"Yes"))</f>
        <v/>
      </c>
      <c r="M62" s="8" t="str">
        <f>IF(A62="","",COUNTIFS('Daily Log'!$B$5:$B$4004,A62,'Daily Log'!$A$5:$A$4004,"&gt;="&amp;Settings!$B$5,'Daily Log'!$A$5:$A$4004,"&lt;="&amp;Settings!$B$6,'Daily Log'!$M$5:$M$4004,"Yes"))</f>
        <v/>
      </c>
      <c r="N62" s="20" t="str">
        <f t="shared" si="4"/>
        <v/>
      </c>
      <c r="O62" s="8" t="str">
        <f t="shared" si="5"/>
        <v/>
      </c>
    </row>
    <row r="63" spans="1:15" ht="15.75">
      <c r="A63" s="12" t="str">
        <f>IF('Cashier Roster'!B62="","",'Cashier Roster'!B62)</f>
        <v/>
      </c>
      <c r="B63" s="12" t="str">
        <f>IF(A63="","",'Cashier Roster'!C62)</f>
        <v/>
      </c>
      <c r="C63" s="12" t="str">
        <f>IF(A63="","",'Cashier Roster'!D62)</f>
        <v/>
      </c>
      <c r="D63" s="12" t="str">
        <f>IF(A63="","",'Cashier Roster'!H62)</f>
        <v/>
      </c>
      <c r="E63" s="8" t="str">
        <f>IF(A63="","",COUNTIFS('Daily Log'!$B$5:$B$4004,A63,'Daily Log'!$A$5:$A$4004,"&gt;="&amp;Settings!$B$5,'Daily Log'!$A$5:$A$4004,"&lt;="&amp;Settings!$B$6))</f>
        <v/>
      </c>
      <c r="F63" s="8" t="str">
        <f>IF(A63="","",COUNTIFS('Daily Log'!$B$5:$B$4004,A63,'Daily Log'!$A$5:$A$4004,"&gt;="&amp;Settings!$B$5,'Daily Log'!$A$5:$A$4004,"&lt;="&amp;Settings!$B$6,'Daily Log'!$E$5:$E$4004,"Yes"))</f>
        <v/>
      </c>
      <c r="G63" s="8" t="str">
        <f>IF(A63="","",COUNTIFS('Daily Log'!$B$5:$B$4004,A63,'Daily Log'!$A$5:$A$4004,"&gt;="&amp;Settings!$B$5,'Daily Log'!$A$5:$A$4004,"&lt;="&amp;Settings!$B$6,'Daily Log'!$G$5:$G$4004,"On time"))</f>
        <v/>
      </c>
      <c r="H63" s="20" t="str">
        <f t="shared" si="3"/>
        <v/>
      </c>
      <c r="I63" s="21" t="str">
        <f>IF(A63="","",SUMIFS('Daily Log'!$H$5:$H$4004,'Daily Log'!$B$5:$B$4004,A63,'Daily Log'!$A$5:$A$4004,"&gt;="&amp;Settings!$B$5,'Daily Log'!$A$5:$A$4004,"&lt;="&amp;Settings!$B$6,'Daily Log'!$E$5:$E$4004,"Yes"))</f>
        <v/>
      </c>
      <c r="J63" s="17" t="str">
        <f>IF(A63="","",SUMIFS('Daily Log'!$I$5:$I$4004,'Daily Log'!$B$5:$B$4004,A63,'Daily Log'!$A$5:$A$4004,"&gt;="&amp;Settings!$B$5,'Daily Log'!$A$5:$A$4004,"&lt;="&amp;Settings!$B$6,'Daily Log'!$E$5:$E$4004,"Yes"))</f>
        <v/>
      </c>
      <c r="K63" s="17" t="str">
        <f>IF(A63="","",SUMIFS('Daily Log'!$J$5:$J$4004,'Daily Log'!$B$5:$B$4004,A63,'Daily Log'!$A$5:$A$4004,"&gt;="&amp;Settings!$B$5,'Daily Log'!$A$5:$A$4004,"&lt;="&amp;Settings!$B$6,'Daily Log'!$E$5:$E$4004,"Yes"))</f>
        <v/>
      </c>
      <c r="L63" s="17" t="str">
        <f>IF(A63="","",SUMIFS('Daily Log'!$K$5:$K$4004,'Daily Log'!$B$5:$B$4004,A63,'Daily Log'!$A$5:$A$4004,"&gt;="&amp;Settings!$B$5,'Daily Log'!$A$5:$A$4004,"&lt;="&amp;Settings!$B$6,'Daily Log'!$E$5:$E$4004,"Yes"))</f>
        <v/>
      </c>
      <c r="M63" s="8" t="str">
        <f>IF(A63="","",COUNTIFS('Daily Log'!$B$5:$B$4004,A63,'Daily Log'!$A$5:$A$4004,"&gt;="&amp;Settings!$B$5,'Daily Log'!$A$5:$A$4004,"&lt;="&amp;Settings!$B$6,'Daily Log'!$M$5:$M$4004,"Yes"))</f>
        <v/>
      </c>
      <c r="N63" s="20" t="str">
        <f t="shared" si="4"/>
        <v/>
      </c>
      <c r="O63" s="8" t="str">
        <f t="shared" si="5"/>
        <v/>
      </c>
    </row>
    <row r="64" spans="1:15" ht="15.75">
      <c r="A64" s="12" t="str">
        <f>IF('Cashier Roster'!B63="","",'Cashier Roster'!B63)</f>
        <v/>
      </c>
      <c r="B64" s="12" t="str">
        <f>IF(A64="","",'Cashier Roster'!C63)</f>
        <v/>
      </c>
      <c r="C64" s="12" t="str">
        <f>IF(A64="","",'Cashier Roster'!D63)</f>
        <v/>
      </c>
      <c r="D64" s="12" t="str">
        <f>IF(A64="","",'Cashier Roster'!H63)</f>
        <v/>
      </c>
      <c r="E64" s="8" t="str">
        <f>IF(A64="","",COUNTIFS('Daily Log'!$B$5:$B$4004,A64,'Daily Log'!$A$5:$A$4004,"&gt;="&amp;Settings!$B$5,'Daily Log'!$A$5:$A$4004,"&lt;="&amp;Settings!$B$6))</f>
        <v/>
      </c>
      <c r="F64" s="8" t="str">
        <f>IF(A64="","",COUNTIFS('Daily Log'!$B$5:$B$4004,A64,'Daily Log'!$A$5:$A$4004,"&gt;="&amp;Settings!$B$5,'Daily Log'!$A$5:$A$4004,"&lt;="&amp;Settings!$B$6,'Daily Log'!$E$5:$E$4004,"Yes"))</f>
        <v/>
      </c>
      <c r="G64" s="8" t="str">
        <f>IF(A64="","",COUNTIFS('Daily Log'!$B$5:$B$4004,A64,'Daily Log'!$A$5:$A$4004,"&gt;="&amp;Settings!$B$5,'Daily Log'!$A$5:$A$4004,"&lt;="&amp;Settings!$B$6,'Daily Log'!$G$5:$G$4004,"On time"))</f>
        <v/>
      </c>
      <c r="H64" s="20" t="str">
        <f t="shared" si="3"/>
        <v/>
      </c>
      <c r="I64" s="21" t="str">
        <f>IF(A64="","",SUMIFS('Daily Log'!$H$5:$H$4004,'Daily Log'!$B$5:$B$4004,A64,'Daily Log'!$A$5:$A$4004,"&gt;="&amp;Settings!$B$5,'Daily Log'!$A$5:$A$4004,"&lt;="&amp;Settings!$B$6,'Daily Log'!$E$5:$E$4004,"Yes"))</f>
        <v/>
      </c>
      <c r="J64" s="17" t="str">
        <f>IF(A64="","",SUMIFS('Daily Log'!$I$5:$I$4004,'Daily Log'!$B$5:$B$4004,A64,'Daily Log'!$A$5:$A$4004,"&gt;="&amp;Settings!$B$5,'Daily Log'!$A$5:$A$4004,"&lt;="&amp;Settings!$B$6,'Daily Log'!$E$5:$E$4004,"Yes"))</f>
        <v/>
      </c>
      <c r="K64" s="17" t="str">
        <f>IF(A64="","",SUMIFS('Daily Log'!$J$5:$J$4004,'Daily Log'!$B$5:$B$4004,A64,'Daily Log'!$A$5:$A$4004,"&gt;="&amp;Settings!$B$5,'Daily Log'!$A$5:$A$4004,"&lt;="&amp;Settings!$B$6,'Daily Log'!$E$5:$E$4004,"Yes"))</f>
        <v/>
      </c>
      <c r="L64" s="17" t="str">
        <f>IF(A64="","",SUMIFS('Daily Log'!$K$5:$K$4004,'Daily Log'!$B$5:$B$4004,A64,'Daily Log'!$A$5:$A$4004,"&gt;="&amp;Settings!$B$5,'Daily Log'!$A$5:$A$4004,"&lt;="&amp;Settings!$B$6,'Daily Log'!$E$5:$E$4004,"Yes"))</f>
        <v/>
      </c>
      <c r="M64" s="8" t="str">
        <f>IF(A64="","",COUNTIFS('Daily Log'!$B$5:$B$4004,A64,'Daily Log'!$A$5:$A$4004,"&gt;="&amp;Settings!$B$5,'Daily Log'!$A$5:$A$4004,"&lt;="&amp;Settings!$B$6,'Daily Log'!$M$5:$M$4004,"Yes"))</f>
        <v/>
      </c>
      <c r="N64" s="20" t="str">
        <f t="shared" si="4"/>
        <v/>
      </c>
      <c r="O64" s="8" t="str">
        <f t="shared" si="5"/>
        <v/>
      </c>
    </row>
    <row r="65" spans="1:15" ht="15.75">
      <c r="A65" s="12" t="str">
        <f>IF('Cashier Roster'!B64="","",'Cashier Roster'!B64)</f>
        <v/>
      </c>
      <c r="B65" s="12" t="str">
        <f>IF(A65="","",'Cashier Roster'!C64)</f>
        <v/>
      </c>
      <c r="C65" s="12" t="str">
        <f>IF(A65="","",'Cashier Roster'!D64)</f>
        <v/>
      </c>
      <c r="D65" s="12" t="str">
        <f>IF(A65="","",'Cashier Roster'!H64)</f>
        <v/>
      </c>
      <c r="E65" s="8" t="str">
        <f>IF(A65="","",COUNTIFS('Daily Log'!$B$5:$B$4004,A65,'Daily Log'!$A$5:$A$4004,"&gt;="&amp;Settings!$B$5,'Daily Log'!$A$5:$A$4004,"&lt;="&amp;Settings!$B$6))</f>
        <v/>
      </c>
      <c r="F65" s="8" t="str">
        <f>IF(A65="","",COUNTIFS('Daily Log'!$B$5:$B$4004,A65,'Daily Log'!$A$5:$A$4004,"&gt;="&amp;Settings!$B$5,'Daily Log'!$A$5:$A$4004,"&lt;="&amp;Settings!$B$6,'Daily Log'!$E$5:$E$4004,"Yes"))</f>
        <v/>
      </c>
      <c r="G65" s="8" t="str">
        <f>IF(A65="","",COUNTIFS('Daily Log'!$B$5:$B$4004,A65,'Daily Log'!$A$5:$A$4004,"&gt;="&amp;Settings!$B$5,'Daily Log'!$A$5:$A$4004,"&lt;="&amp;Settings!$B$6,'Daily Log'!$G$5:$G$4004,"On time"))</f>
        <v/>
      </c>
      <c r="H65" s="20" t="str">
        <f t="shared" si="3"/>
        <v/>
      </c>
      <c r="I65" s="21" t="str">
        <f>IF(A65="","",SUMIFS('Daily Log'!$H$5:$H$4004,'Daily Log'!$B$5:$B$4004,A65,'Daily Log'!$A$5:$A$4004,"&gt;="&amp;Settings!$B$5,'Daily Log'!$A$5:$A$4004,"&lt;="&amp;Settings!$B$6,'Daily Log'!$E$5:$E$4004,"Yes"))</f>
        <v/>
      </c>
      <c r="J65" s="17" t="str">
        <f>IF(A65="","",SUMIFS('Daily Log'!$I$5:$I$4004,'Daily Log'!$B$5:$B$4004,A65,'Daily Log'!$A$5:$A$4004,"&gt;="&amp;Settings!$B$5,'Daily Log'!$A$5:$A$4004,"&lt;="&amp;Settings!$B$6,'Daily Log'!$E$5:$E$4004,"Yes"))</f>
        <v/>
      </c>
      <c r="K65" s="17" t="str">
        <f>IF(A65="","",SUMIFS('Daily Log'!$J$5:$J$4004,'Daily Log'!$B$5:$B$4004,A65,'Daily Log'!$A$5:$A$4004,"&gt;="&amp;Settings!$B$5,'Daily Log'!$A$5:$A$4004,"&lt;="&amp;Settings!$B$6,'Daily Log'!$E$5:$E$4004,"Yes"))</f>
        <v/>
      </c>
      <c r="L65" s="17" t="str">
        <f>IF(A65="","",SUMIFS('Daily Log'!$K$5:$K$4004,'Daily Log'!$B$5:$B$4004,A65,'Daily Log'!$A$5:$A$4004,"&gt;="&amp;Settings!$B$5,'Daily Log'!$A$5:$A$4004,"&lt;="&amp;Settings!$B$6,'Daily Log'!$E$5:$E$4004,"Yes"))</f>
        <v/>
      </c>
      <c r="M65" s="8" t="str">
        <f>IF(A65="","",COUNTIFS('Daily Log'!$B$5:$B$4004,A65,'Daily Log'!$A$5:$A$4004,"&gt;="&amp;Settings!$B$5,'Daily Log'!$A$5:$A$4004,"&lt;="&amp;Settings!$B$6,'Daily Log'!$M$5:$M$4004,"Yes"))</f>
        <v/>
      </c>
      <c r="N65" s="20" t="str">
        <f t="shared" si="4"/>
        <v/>
      </c>
      <c r="O65" s="8" t="str">
        <f t="shared" si="5"/>
        <v/>
      </c>
    </row>
    <row r="67" spans="1:15">
      <c r="A67" s="22" t="s">
        <v>143</v>
      </c>
    </row>
  </sheetData>
  <autoFilter ref="A5:O65" xr:uid="{00000000-0009-0000-0000-000003000000}"/>
  <conditionalFormatting sqref="H6:H65">
    <cfRule type="cellIs" dxfId="5" priority="2" operator="lessThan">
      <formula>0.8</formula>
    </cfRule>
  </conditionalFormatting>
  <conditionalFormatting sqref="N6:N65">
    <cfRule type="cellIs" dxfId="4" priority="3" operator="lessThan">
      <formula>0.8</formula>
    </cfRule>
  </conditionalFormatting>
  <conditionalFormatting sqref="O6:O65">
    <cfRule type="cellIs" dxfId="3" priority="4" operator="between">
      <formula>1</formula>
      <formula>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7109375" defaultRowHeight="15"/>
  <cols>
    <col min="1" max="1" width="12" customWidth="1"/>
    <col min="2" max="2" width="9" customWidth="1"/>
    <col min="3" max="3" width="10" customWidth="1"/>
    <col min="4" max="4" width="11" customWidth="1"/>
    <col min="5" max="6" width="10" customWidth="1"/>
    <col min="7" max="7" width="12" customWidth="1"/>
    <col min="8" max="8" width="17" customWidth="1"/>
    <col min="9" max="9" width="16" customWidth="1"/>
    <col min="10" max="10" width="14" customWidth="1"/>
    <col min="11" max="11" width="15" customWidth="1"/>
    <col min="12" max="12" width="16" customWidth="1"/>
    <col min="13" max="13" width="10" customWidth="1"/>
  </cols>
  <sheetData>
    <row r="1" spans="1:13" ht="20.25">
      <c r="A1" s="5" t="s">
        <v>144</v>
      </c>
    </row>
    <row r="2" spans="1:13" ht="15.75">
      <c r="A2" s="6" t="s">
        <v>145</v>
      </c>
    </row>
    <row r="3" spans="1:13">
      <c r="A3" s="19" t="str">
        <f>" Period: "&amp;TEXT(Settings!$B$5,"dd/mm/yyyy")&amp;" to "&amp;TEXT(Settings!$B$6,"dd/mm/yyyy")</f>
        <v xml:space="preserve"> Period: 01/10/2026 to 31/10/2026</v>
      </c>
    </row>
    <row r="5" spans="1:13" ht="36" customHeight="1">
      <c r="A5" s="7" t="s">
        <v>24</v>
      </c>
      <c r="B5" s="7" t="s">
        <v>146</v>
      </c>
      <c r="C5" s="7" t="s">
        <v>147</v>
      </c>
      <c r="D5" s="7" t="s">
        <v>148</v>
      </c>
      <c r="E5" s="7" t="s">
        <v>134</v>
      </c>
      <c r="F5" s="7" t="s">
        <v>149</v>
      </c>
      <c r="G5" s="7" t="s">
        <v>137</v>
      </c>
      <c r="H5" s="7" t="s">
        <v>123</v>
      </c>
      <c r="I5" s="7" t="s">
        <v>138</v>
      </c>
      <c r="J5" s="7" t="s">
        <v>139</v>
      </c>
      <c r="K5" s="7" t="s">
        <v>150</v>
      </c>
      <c r="L5" s="7" t="s">
        <v>151</v>
      </c>
      <c r="M5" s="7" t="s">
        <v>152</v>
      </c>
    </row>
    <row r="6" spans="1:13" ht="15.75">
      <c r="A6" s="12" t="s">
        <v>32</v>
      </c>
      <c r="B6" s="8">
        <f>COUNTIFS('Cashier Roster'!$C$5:$C$64,A6,'Cashier Roster'!$H$5:$H$64,"Active")</f>
        <v>2</v>
      </c>
      <c r="C6" s="8">
        <f>COUNTIFS('Cashier Roster'!$C$5:$C$64,A6,'Cashier Roster'!$H$5:$H$64,"Active",'Cashier Roster'!$D$5:$D$64,"Zone cashier (new)")</f>
        <v>1</v>
      </c>
      <c r="D6" s="8">
        <f>COUNTIFS('Daily Log'!$C$5:$C$4004,A6,'Daily Log'!$A$5:$A$4004,"&gt;="&amp;Settings!$B$5,'Daily Log'!$A$5:$A$4004,"&lt;="&amp;Settings!$B$6)</f>
        <v>2</v>
      </c>
      <c r="E6" s="8">
        <f>COUNTIFS('Daily Log'!$C$5:$C$4004,A6,'Daily Log'!$A$5:$A$4004,"&gt;="&amp;Settings!$B$5,'Daily Log'!$A$5:$A$4004,"&lt;="&amp;Settings!$B$6,'Daily Log'!$E$5:$E$4004,"Yes")</f>
        <v>0</v>
      </c>
      <c r="F6" s="20">
        <f t="shared" ref="F6:F18" si="0">IF(D6=0,"",E6/D6)</f>
        <v>0</v>
      </c>
      <c r="G6" s="21">
        <f>SUMIFS('Daily Log'!$H$5:$H$4004,'Daily Log'!$C$5:$C$4004,A6,'Daily Log'!$A$5:$A$4004,"&gt;="&amp;Settings!$B$5,'Daily Log'!$A$5:$A$4004,"&lt;="&amp;Settings!$B$6,'Daily Log'!$E$5:$E$4004,"Yes")</f>
        <v>0</v>
      </c>
      <c r="H6" s="17">
        <f>SUMIFS('Daily Log'!$I$5:$I$4004,'Daily Log'!$C$5:$C$4004,A6,'Daily Log'!$A$5:$A$4004,"&gt;="&amp;Settings!$B$5,'Daily Log'!$A$5:$A$4004,"&lt;="&amp;Settings!$B$6,'Daily Log'!$E$5:$E$4004,"Yes")</f>
        <v>0</v>
      </c>
      <c r="I6" s="17">
        <f>SUMIFS('Daily Log'!$J$5:$J$4004,'Daily Log'!$C$5:$C$4004,A6,'Daily Log'!$A$5:$A$4004,"&gt;="&amp;Settings!$B$5,'Daily Log'!$A$5:$A$4004,"&lt;="&amp;Settings!$B$6,'Daily Log'!$E$5:$E$4004,"Yes")</f>
        <v>0</v>
      </c>
      <c r="J6" s="17">
        <f>SUMIFS('Daily Log'!$K$5:$K$4004,'Daily Log'!$C$5:$C$4004,A6,'Daily Log'!$A$5:$A$4004,"&gt;="&amp;Settings!$B$5,'Daily Log'!$A$5:$A$4004,"&lt;="&amp;Settings!$B$6,'Daily Log'!$E$5:$E$4004,"Yes")</f>
        <v>0</v>
      </c>
      <c r="K6" s="17">
        <f t="shared" ref="K6:K18" si="1">IF(B6=0,"",H6/B6)</f>
        <v>0</v>
      </c>
      <c r="L6" s="16"/>
      <c r="M6" s="20" t="str">
        <f t="shared" ref="M6:M18" si="2">IF(N(L6)=0,"",H6/L6)</f>
        <v/>
      </c>
    </row>
    <row r="7" spans="1:13" ht="15.75">
      <c r="A7" s="12" t="s">
        <v>42</v>
      </c>
      <c r="B7" s="8">
        <f>COUNTIFS('Cashier Roster'!$C$5:$C$64,A7,'Cashier Roster'!$H$5:$H$64,"Active")</f>
        <v>1</v>
      </c>
      <c r="C7" s="8">
        <f>COUNTIFS('Cashier Roster'!$C$5:$C$64,A7,'Cashier Roster'!$H$5:$H$64,"Active",'Cashier Roster'!$D$5:$D$64,"Zone cashier (new)")</f>
        <v>0</v>
      </c>
      <c r="D7" s="8">
        <f>COUNTIFS('Daily Log'!$C$5:$C$4004,A7,'Daily Log'!$A$5:$A$4004,"&gt;="&amp;Settings!$B$5,'Daily Log'!$A$5:$A$4004,"&lt;="&amp;Settings!$B$6)</f>
        <v>1</v>
      </c>
      <c r="E7" s="8">
        <f>COUNTIFS('Daily Log'!$C$5:$C$4004,A7,'Daily Log'!$A$5:$A$4004,"&gt;="&amp;Settings!$B$5,'Daily Log'!$A$5:$A$4004,"&lt;="&amp;Settings!$B$6,'Daily Log'!$E$5:$E$4004,"Yes")</f>
        <v>0</v>
      </c>
      <c r="F7" s="20">
        <f t="shared" si="0"/>
        <v>0</v>
      </c>
      <c r="G7" s="21">
        <f>SUMIFS('Daily Log'!$H$5:$H$4004,'Daily Log'!$C$5:$C$4004,A7,'Daily Log'!$A$5:$A$4004,"&gt;="&amp;Settings!$B$5,'Daily Log'!$A$5:$A$4004,"&lt;="&amp;Settings!$B$6,'Daily Log'!$E$5:$E$4004,"Yes")</f>
        <v>0</v>
      </c>
      <c r="H7" s="17">
        <f>SUMIFS('Daily Log'!$I$5:$I$4004,'Daily Log'!$C$5:$C$4004,A7,'Daily Log'!$A$5:$A$4004,"&gt;="&amp;Settings!$B$5,'Daily Log'!$A$5:$A$4004,"&lt;="&amp;Settings!$B$6,'Daily Log'!$E$5:$E$4004,"Yes")</f>
        <v>0</v>
      </c>
      <c r="I7" s="17">
        <f>SUMIFS('Daily Log'!$J$5:$J$4004,'Daily Log'!$C$5:$C$4004,A7,'Daily Log'!$A$5:$A$4004,"&gt;="&amp;Settings!$B$5,'Daily Log'!$A$5:$A$4004,"&lt;="&amp;Settings!$B$6,'Daily Log'!$E$5:$E$4004,"Yes")</f>
        <v>0</v>
      </c>
      <c r="J7" s="17">
        <f>SUMIFS('Daily Log'!$K$5:$K$4004,'Daily Log'!$C$5:$C$4004,A7,'Daily Log'!$A$5:$A$4004,"&gt;="&amp;Settings!$B$5,'Daily Log'!$A$5:$A$4004,"&lt;="&amp;Settings!$B$6,'Daily Log'!$E$5:$E$4004,"Yes")</f>
        <v>0</v>
      </c>
      <c r="K7" s="17">
        <f t="shared" si="1"/>
        <v>0</v>
      </c>
      <c r="L7" s="16"/>
      <c r="M7" s="20" t="str">
        <f t="shared" si="2"/>
        <v/>
      </c>
    </row>
    <row r="8" spans="1:13" ht="15.75">
      <c r="A8" s="12" t="s">
        <v>46</v>
      </c>
      <c r="B8" s="8">
        <f>COUNTIFS('Cashier Roster'!$C$5:$C$64,A8,'Cashier Roster'!$H$5:$H$64,"Active")</f>
        <v>2</v>
      </c>
      <c r="C8" s="8">
        <f>COUNTIFS('Cashier Roster'!$C$5:$C$64,A8,'Cashier Roster'!$H$5:$H$64,"Active",'Cashier Roster'!$D$5:$D$64,"Zone cashier (new)")</f>
        <v>1</v>
      </c>
      <c r="D8" s="8">
        <f>COUNTIFS('Daily Log'!$C$5:$C$4004,A8,'Daily Log'!$A$5:$A$4004,"&gt;="&amp;Settings!$B$5,'Daily Log'!$A$5:$A$4004,"&lt;="&amp;Settings!$B$6)</f>
        <v>2</v>
      </c>
      <c r="E8" s="8">
        <f>COUNTIFS('Daily Log'!$C$5:$C$4004,A8,'Daily Log'!$A$5:$A$4004,"&gt;="&amp;Settings!$B$5,'Daily Log'!$A$5:$A$4004,"&lt;="&amp;Settings!$B$6,'Daily Log'!$E$5:$E$4004,"Yes")</f>
        <v>0</v>
      </c>
      <c r="F8" s="20">
        <f t="shared" si="0"/>
        <v>0</v>
      </c>
      <c r="G8" s="21">
        <f>SUMIFS('Daily Log'!$H$5:$H$4004,'Daily Log'!$C$5:$C$4004,A8,'Daily Log'!$A$5:$A$4004,"&gt;="&amp;Settings!$B$5,'Daily Log'!$A$5:$A$4004,"&lt;="&amp;Settings!$B$6,'Daily Log'!$E$5:$E$4004,"Yes")</f>
        <v>0</v>
      </c>
      <c r="H8" s="17">
        <f>SUMIFS('Daily Log'!$I$5:$I$4004,'Daily Log'!$C$5:$C$4004,A8,'Daily Log'!$A$5:$A$4004,"&gt;="&amp;Settings!$B$5,'Daily Log'!$A$5:$A$4004,"&lt;="&amp;Settings!$B$6,'Daily Log'!$E$5:$E$4004,"Yes")</f>
        <v>0</v>
      </c>
      <c r="I8" s="17">
        <f>SUMIFS('Daily Log'!$J$5:$J$4004,'Daily Log'!$C$5:$C$4004,A8,'Daily Log'!$A$5:$A$4004,"&gt;="&amp;Settings!$B$5,'Daily Log'!$A$5:$A$4004,"&lt;="&amp;Settings!$B$6,'Daily Log'!$E$5:$E$4004,"Yes")</f>
        <v>0</v>
      </c>
      <c r="J8" s="17">
        <f>SUMIFS('Daily Log'!$K$5:$K$4004,'Daily Log'!$C$5:$C$4004,A8,'Daily Log'!$A$5:$A$4004,"&gt;="&amp;Settings!$B$5,'Daily Log'!$A$5:$A$4004,"&lt;="&amp;Settings!$B$6,'Daily Log'!$E$5:$E$4004,"Yes")</f>
        <v>0</v>
      </c>
      <c r="K8" s="17">
        <f t="shared" si="1"/>
        <v>0</v>
      </c>
      <c r="L8" s="16"/>
      <c r="M8" s="20" t="str">
        <f t="shared" si="2"/>
        <v/>
      </c>
    </row>
    <row r="9" spans="1:13" ht="15.75">
      <c r="A9" s="12" t="s">
        <v>53</v>
      </c>
      <c r="B9" s="8">
        <f>COUNTIFS('Cashier Roster'!$C$5:$C$64,A9,'Cashier Roster'!$H$5:$H$64,"Active")</f>
        <v>2</v>
      </c>
      <c r="C9" s="8">
        <f>COUNTIFS('Cashier Roster'!$C$5:$C$64,A9,'Cashier Roster'!$H$5:$H$64,"Active",'Cashier Roster'!$D$5:$D$64,"Zone cashier (new)")</f>
        <v>1</v>
      </c>
      <c r="D9" s="8">
        <f>COUNTIFS('Daily Log'!$C$5:$C$4004,A9,'Daily Log'!$A$5:$A$4004,"&gt;="&amp;Settings!$B$5,'Daily Log'!$A$5:$A$4004,"&lt;="&amp;Settings!$B$6)</f>
        <v>2</v>
      </c>
      <c r="E9" s="8">
        <f>COUNTIFS('Daily Log'!$C$5:$C$4004,A9,'Daily Log'!$A$5:$A$4004,"&gt;="&amp;Settings!$B$5,'Daily Log'!$A$5:$A$4004,"&lt;="&amp;Settings!$B$6,'Daily Log'!$E$5:$E$4004,"Yes")</f>
        <v>0</v>
      </c>
      <c r="F9" s="20">
        <f t="shared" si="0"/>
        <v>0</v>
      </c>
      <c r="G9" s="21">
        <f>SUMIFS('Daily Log'!$H$5:$H$4004,'Daily Log'!$C$5:$C$4004,A9,'Daily Log'!$A$5:$A$4004,"&gt;="&amp;Settings!$B$5,'Daily Log'!$A$5:$A$4004,"&lt;="&amp;Settings!$B$6,'Daily Log'!$E$5:$E$4004,"Yes")</f>
        <v>0</v>
      </c>
      <c r="H9" s="17">
        <f>SUMIFS('Daily Log'!$I$5:$I$4004,'Daily Log'!$C$5:$C$4004,A9,'Daily Log'!$A$5:$A$4004,"&gt;="&amp;Settings!$B$5,'Daily Log'!$A$5:$A$4004,"&lt;="&amp;Settings!$B$6,'Daily Log'!$E$5:$E$4004,"Yes")</f>
        <v>0</v>
      </c>
      <c r="I9" s="17">
        <f>SUMIFS('Daily Log'!$J$5:$J$4004,'Daily Log'!$C$5:$C$4004,A9,'Daily Log'!$A$5:$A$4004,"&gt;="&amp;Settings!$B$5,'Daily Log'!$A$5:$A$4004,"&lt;="&amp;Settings!$B$6,'Daily Log'!$E$5:$E$4004,"Yes")</f>
        <v>0</v>
      </c>
      <c r="J9" s="17">
        <f>SUMIFS('Daily Log'!$K$5:$K$4004,'Daily Log'!$C$5:$C$4004,A9,'Daily Log'!$A$5:$A$4004,"&gt;="&amp;Settings!$B$5,'Daily Log'!$A$5:$A$4004,"&lt;="&amp;Settings!$B$6,'Daily Log'!$E$5:$E$4004,"Yes")</f>
        <v>0</v>
      </c>
      <c r="K9" s="17">
        <f t="shared" si="1"/>
        <v>0</v>
      </c>
      <c r="L9" s="16"/>
      <c r="M9" s="20" t="str">
        <f t="shared" si="2"/>
        <v/>
      </c>
    </row>
    <row r="10" spans="1:13" ht="15.75">
      <c r="A10" s="12" t="s">
        <v>61</v>
      </c>
      <c r="B10" s="8">
        <f>COUNTIFS('Cashier Roster'!$C$5:$C$64,A10,'Cashier Roster'!$H$5:$H$64,"Active")</f>
        <v>2</v>
      </c>
      <c r="C10" s="8">
        <f>COUNTIFS('Cashier Roster'!$C$5:$C$64,A10,'Cashier Roster'!$H$5:$H$64,"Active",'Cashier Roster'!$D$5:$D$64,"Zone cashier (new)")</f>
        <v>1</v>
      </c>
      <c r="D10" s="8">
        <f>COUNTIFS('Daily Log'!$C$5:$C$4004,A10,'Daily Log'!$A$5:$A$4004,"&gt;="&amp;Settings!$B$5,'Daily Log'!$A$5:$A$4004,"&lt;="&amp;Settings!$B$6)</f>
        <v>2</v>
      </c>
      <c r="E10" s="8">
        <f>COUNTIFS('Daily Log'!$C$5:$C$4004,A10,'Daily Log'!$A$5:$A$4004,"&gt;="&amp;Settings!$B$5,'Daily Log'!$A$5:$A$4004,"&lt;="&amp;Settings!$B$6,'Daily Log'!$E$5:$E$4004,"Yes")</f>
        <v>0</v>
      </c>
      <c r="F10" s="20">
        <f t="shared" si="0"/>
        <v>0</v>
      </c>
      <c r="G10" s="21">
        <f>SUMIFS('Daily Log'!$H$5:$H$4004,'Daily Log'!$C$5:$C$4004,A10,'Daily Log'!$A$5:$A$4004,"&gt;="&amp;Settings!$B$5,'Daily Log'!$A$5:$A$4004,"&lt;="&amp;Settings!$B$6,'Daily Log'!$E$5:$E$4004,"Yes")</f>
        <v>0</v>
      </c>
      <c r="H10" s="17">
        <f>SUMIFS('Daily Log'!$I$5:$I$4004,'Daily Log'!$C$5:$C$4004,A10,'Daily Log'!$A$5:$A$4004,"&gt;="&amp;Settings!$B$5,'Daily Log'!$A$5:$A$4004,"&lt;="&amp;Settings!$B$6,'Daily Log'!$E$5:$E$4004,"Yes")</f>
        <v>0</v>
      </c>
      <c r="I10" s="17">
        <f>SUMIFS('Daily Log'!$J$5:$J$4004,'Daily Log'!$C$5:$C$4004,A10,'Daily Log'!$A$5:$A$4004,"&gt;="&amp;Settings!$B$5,'Daily Log'!$A$5:$A$4004,"&lt;="&amp;Settings!$B$6,'Daily Log'!$E$5:$E$4004,"Yes")</f>
        <v>0</v>
      </c>
      <c r="J10" s="17">
        <f>SUMIFS('Daily Log'!$K$5:$K$4004,'Daily Log'!$C$5:$C$4004,A10,'Daily Log'!$A$5:$A$4004,"&gt;="&amp;Settings!$B$5,'Daily Log'!$A$5:$A$4004,"&lt;="&amp;Settings!$B$6,'Daily Log'!$E$5:$E$4004,"Yes")</f>
        <v>0</v>
      </c>
      <c r="K10" s="17">
        <f t="shared" si="1"/>
        <v>0</v>
      </c>
      <c r="L10" s="16"/>
      <c r="M10" s="20" t="str">
        <f t="shared" si="2"/>
        <v/>
      </c>
    </row>
    <row r="11" spans="1:13" ht="15.75">
      <c r="A11" s="12" t="s">
        <v>69</v>
      </c>
      <c r="B11" s="8">
        <f>COUNTIFS('Cashier Roster'!$C$5:$C$64,A11,'Cashier Roster'!$H$5:$H$64,"Active")</f>
        <v>1</v>
      </c>
      <c r="C11" s="8">
        <f>COUNTIFS('Cashier Roster'!$C$5:$C$64,A11,'Cashier Roster'!$H$5:$H$64,"Active",'Cashier Roster'!$D$5:$D$64,"Zone cashier (new)")</f>
        <v>0</v>
      </c>
      <c r="D11" s="8">
        <f>COUNTIFS('Daily Log'!$C$5:$C$4004,A11,'Daily Log'!$A$5:$A$4004,"&gt;="&amp;Settings!$B$5,'Daily Log'!$A$5:$A$4004,"&lt;="&amp;Settings!$B$6)</f>
        <v>1</v>
      </c>
      <c r="E11" s="8">
        <f>COUNTIFS('Daily Log'!$C$5:$C$4004,A11,'Daily Log'!$A$5:$A$4004,"&gt;="&amp;Settings!$B$5,'Daily Log'!$A$5:$A$4004,"&lt;="&amp;Settings!$B$6,'Daily Log'!$E$5:$E$4004,"Yes")</f>
        <v>0</v>
      </c>
      <c r="F11" s="20">
        <f t="shared" si="0"/>
        <v>0</v>
      </c>
      <c r="G11" s="21">
        <f>SUMIFS('Daily Log'!$H$5:$H$4004,'Daily Log'!$C$5:$C$4004,A11,'Daily Log'!$A$5:$A$4004,"&gt;="&amp;Settings!$B$5,'Daily Log'!$A$5:$A$4004,"&lt;="&amp;Settings!$B$6,'Daily Log'!$E$5:$E$4004,"Yes")</f>
        <v>0</v>
      </c>
      <c r="H11" s="17">
        <f>SUMIFS('Daily Log'!$I$5:$I$4004,'Daily Log'!$C$5:$C$4004,A11,'Daily Log'!$A$5:$A$4004,"&gt;="&amp;Settings!$B$5,'Daily Log'!$A$5:$A$4004,"&lt;="&amp;Settings!$B$6,'Daily Log'!$E$5:$E$4004,"Yes")</f>
        <v>0</v>
      </c>
      <c r="I11" s="17">
        <f>SUMIFS('Daily Log'!$J$5:$J$4004,'Daily Log'!$C$5:$C$4004,A11,'Daily Log'!$A$5:$A$4004,"&gt;="&amp;Settings!$B$5,'Daily Log'!$A$5:$A$4004,"&lt;="&amp;Settings!$B$6,'Daily Log'!$E$5:$E$4004,"Yes")</f>
        <v>0</v>
      </c>
      <c r="J11" s="17">
        <f>SUMIFS('Daily Log'!$K$5:$K$4004,'Daily Log'!$C$5:$C$4004,A11,'Daily Log'!$A$5:$A$4004,"&gt;="&amp;Settings!$B$5,'Daily Log'!$A$5:$A$4004,"&lt;="&amp;Settings!$B$6,'Daily Log'!$E$5:$E$4004,"Yes")</f>
        <v>0</v>
      </c>
      <c r="K11" s="17">
        <f t="shared" si="1"/>
        <v>0</v>
      </c>
      <c r="L11" s="16"/>
      <c r="M11" s="20" t="str">
        <f t="shared" si="2"/>
        <v/>
      </c>
    </row>
    <row r="12" spans="1:13" ht="15.75">
      <c r="A12" s="12" t="s">
        <v>73</v>
      </c>
      <c r="B12" s="8">
        <f>COUNTIFS('Cashier Roster'!$C$5:$C$64,A12,'Cashier Roster'!$H$5:$H$64,"Active")</f>
        <v>2</v>
      </c>
      <c r="C12" s="8">
        <f>COUNTIFS('Cashier Roster'!$C$5:$C$64,A12,'Cashier Roster'!$H$5:$H$64,"Active",'Cashier Roster'!$D$5:$D$64,"Zone cashier (new)")</f>
        <v>1</v>
      </c>
      <c r="D12" s="8">
        <f>COUNTIFS('Daily Log'!$C$5:$C$4004,A12,'Daily Log'!$A$5:$A$4004,"&gt;="&amp;Settings!$B$5,'Daily Log'!$A$5:$A$4004,"&lt;="&amp;Settings!$B$6)</f>
        <v>2</v>
      </c>
      <c r="E12" s="8">
        <f>COUNTIFS('Daily Log'!$C$5:$C$4004,A12,'Daily Log'!$A$5:$A$4004,"&gt;="&amp;Settings!$B$5,'Daily Log'!$A$5:$A$4004,"&lt;="&amp;Settings!$B$6,'Daily Log'!$E$5:$E$4004,"Yes")</f>
        <v>0</v>
      </c>
      <c r="F12" s="20">
        <f t="shared" si="0"/>
        <v>0</v>
      </c>
      <c r="G12" s="21">
        <f>SUMIFS('Daily Log'!$H$5:$H$4004,'Daily Log'!$C$5:$C$4004,A12,'Daily Log'!$A$5:$A$4004,"&gt;="&amp;Settings!$B$5,'Daily Log'!$A$5:$A$4004,"&lt;="&amp;Settings!$B$6,'Daily Log'!$E$5:$E$4004,"Yes")</f>
        <v>0</v>
      </c>
      <c r="H12" s="17">
        <f>SUMIFS('Daily Log'!$I$5:$I$4004,'Daily Log'!$C$5:$C$4004,A12,'Daily Log'!$A$5:$A$4004,"&gt;="&amp;Settings!$B$5,'Daily Log'!$A$5:$A$4004,"&lt;="&amp;Settings!$B$6,'Daily Log'!$E$5:$E$4004,"Yes")</f>
        <v>0</v>
      </c>
      <c r="I12" s="17">
        <f>SUMIFS('Daily Log'!$J$5:$J$4004,'Daily Log'!$C$5:$C$4004,A12,'Daily Log'!$A$5:$A$4004,"&gt;="&amp;Settings!$B$5,'Daily Log'!$A$5:$A$4004,"&lt;="&amp;Settings!$B$6,'Daily Log'!$E$5:$E$4004,"Yes")</f>
        <v>0</v>
      </c>
      <c r="J12" s="17">
        <f>SUMIFS('Daily Log'!$K$5:$K$4004,'Daily Log'!$C$5:$C$4004,A12,'Daily Log'!$A$5:$A$4004,"&gt;="&amp;Settings!$B$5,'Daily Log'!$A$5:$A$4004,"&lt;="&amp;Settings!$B$6,'Daily Log'!$E$5:$E$4004,"Yes")</f>
        <v>0</v>
      </c>
      <c r="K12" s="17">
        <f t="shared" si="1"/>
        <v>0</v>
      </c>
      <c r="L12" s="16"/>
      <c r="M12" s="20" t="str">
        <f t="shared" si="2"/>
        <v/>
      </c>
    </row>
    <row r="13" spans="1:13" ht="15.75">
      <c r="A13" s="12" t="s">
        <v>80</v>
      </c>
      <c r="B13" s="8">
        <f>COUNTIFS('Cashier Roster'!$C$5:$C$64,A13,'Cashier Roster'!$H$5:$H$64,"Active")</f>
        <v>2</v>
      </c>
      <c r="C13" s="8">
        <f>COUNTIFS('Cashier Roster'!$C$5:$C$64,A13,'Cashier Roster'!$H$5:$H$64,"Active",'Cashier Roster'!$D$5:$D$64,"Zone cashier (new)")</f>
        <v>0</v>
      </c>
      <c r="D13" s="8">
        <f>COUNTIFS('Daily Log'!$C$5:$C$4004,A13,'Daily Log'!$A$5:$A$4004,"&gt;="&amp;Settings!$B$5,'Daily Log'!$A$5:$A$4004,"&lt;="&amp;Settings!$B$6)</f>
        <v>2</v>
      </c>
      <c r="E13" s="8">
        <f>COUNTIFS('Daily Log'!$C$5:$C$4004,A13,'Daily Log'!$A$5:$A$4004,"&gt;="&amp;Settings!$B$5,'Daily Log'!$A$5:$A$4004,"&lt;="&amp;Settings!$B$6,'Daily Log'!$E$5:$E$4004,"Yes")</f>
        <v>0</v>
      </c>
      <c r="F13" s="20">
        <f t="shared" si="0"/>
        <v>0</v>
      </c>
      <c r="G13" s="21">
        <f>SUMIFS('Daily Log'!$H$5:$H$4004,'Daily Log'!$C$5:$C$4004,A13,'Daily Log'!$A$5:$A$4004,"&gt;="&amp;Settings!$B$5,'Daily Log'!$A$5:$A$4004,"&lt;="&amp;Settings!$B$6,'Daily Log'!$E$5:$E$4004,"Yes")</f>
        <v>0</v>
      </c>
      <c r="H13" s="17">
        <f>SUMIFS('Daily Log'!$I$5:$I$4004,'Daily Log'!$C$5:$C$4004,A13,'Daily Log'!$A$5:$A$4004,"&gt;="&amp;Settings!$B$5,'Daily Log'!$A$5:$A$4004,"&lt;="&amp;Settings!$B$6,'Daily Log'!$E$5:$E$4004,"Yes")</f>
        <v>0</v>
      </c>
      <c r="I13" s="17">
        <f>SUMIFS('Daily Log'!$J$5:$J$4004,'Daily Log'!$C$5:$C$4004,A13,'Daily Log'!$A$5:$A$4004,"&gt;="&amp;Settings!$B$5,'Daily Log'!$A$5:$A$4004,"&lt;="&amp;Settings!$B$6,'Daily Log'!$E$5:$E$4004,"Yes")</f>
        <v>0</v>
      </c>
      <c r="J13" s="17">
        <f>SUMIFS('Daily Log'!$K$5:$K$4004,'Daily Log'!$C$5:$C$4004,A13,'Daily Log'!$A$5:$A$4004,"&gt;="&amp;Settings!$B$5,'Daily Log'!$A$5:$A$4004,"&lt;="&amp;Settings!$B$6,'Daily Log'!$E$5:$E$4004,"Yes")</f>
        <v>0</v>
      </c>
      <c r="K13" s="17">
        <f t="shared" si="1"/>
        <v>0</v>
      </c>
      <c r="L13" s="16"/>
      <c r="M13" s="20" t="str">
        <f t="shared" si="2"/>
        <v/>
      </c>
    </row>
    <row r="14" spans="1:13" ht="15.75">
      <c r="A14" s="12" t="s">
        <v>87</v>
      </c>
      <c r="B14" s="8">
        <f>COUNTIFS('Cashier Roster'!$C$5:$C$64,A14,'Cashier Roster'!$H$5:$H$64,"Active")</f>
        <v>1</v>
      </c>
      <c r="C14" s="8">
        <f>COUNTIFS('Cashier Roster'!$C$5:$C$64,A14,'Cashier Roster'!$H$5:$H$64,"Active",'Cashier Roster'!$D$5:$D$64,"Zone cashier (new)")</f>
        <v>0</v>
      </c>
      <c r="D14" s="8">
        <f>COUNTIFS('Daily Log'!$C$5:$C$4004,A14,'Daily Log'!$A$5:$A$4004,"&gt;="&amp;Settings!$B$5,'Daily Log'!$A$5:$A$4004,"&lt;="&amp;Settings!$B$6)</f>
        <v>1</v>
      </c>
      <c r="E14" s="8">
        <f>COUNTIFS('Daily Log'!$C$5:$C$4004,A14,'Daily Log'!$A$5:$A$4004,"&gt;="&amp;Settings!$B$5,'Daily Log'!$A$5:$A$4004,"&lt;="&amp;Settings!$B$6,'Daily Log'!$E$5:$E$4004,"Yes")</f>
        <v>0</v>
      </c>
      <c r="F14" s="20">
        <f t="shared" si="0"/>
        <v>0</v>
      </c>
      <c r="G14" s="21">
        <f>SUMIFS('Daily Log'!$H$5:$H$4004,'Daily Log'!$C$5:$C$4004,A14,'Daily Log'!$A$5:$A$4004,"&gt;="&amp;Settings!$B$5,'Daily Log'!$A$5:$A$4004,"&lt;="&amp;Settings!$B$6,'Daily Log'!$E$5:$E$4004,"Yes")</f>
        <v>0</v>
      </c>
      <c r="H14" s="17">
        <f>SUMIFS('Daily Log'!$I$5:$I$4004,'Daily Log'!$C$5:$C$4004,A14,'Daily Log'!$A$5:$A$4004,"&gt;="&amp;Settings!$B$5,'Daily Log'!$A$5:$A$4004,"&lt;="&amp;Settings!$B$6,'Daily Log'!$E$5:$E$4004,"Yes")</f>
        <v>0</v>
      </c>
      <c r="I14" s="17">
        <f>SUMIFS('Daily Log'!$J$5:$J$4004,'Daily Log'!$C$5:$C$4004,A14,'Daily Log'!$A$5:$A$4004,"&gt;="&amp;Settings!$B$5,'Daily Log'!$A$5:$A$4004,"&lt;="&amp;Settings!$B$6,'Daily Log'!$E$5:$E$4004,"Yes")</f>
        <v>0</v>
      </c>
      <c r="J14" s="17">
        <f>SUMIFS('Daily Log'!$K$5:$K$4004,'Daily Log'!$C$5:$C$4004,A14,'Daily Log'!$A$5:$A$4004,"&gt;="&amp;Settings!$B$5,'Daily Log'!$A$5:$A$4004,"&lt;="&amp;Settings!$B$6,'Daily Log'!$E$5:$E$4004,"Yes")</f>
        <v>0</v>
      </c>
      <c r="K14" s="17">
        <f t="shared" si="1"/>
        <v>0</v>
      </c>
      <c r="L14" s="16"/>
      <c r="M14" s="20" t="str">
        <f t="shared" si="2"/>
        <v/>
      </c>
    </row>
    <row r="15" spans="1:13" ht="15.75">
      <c r="A15" s="12" t="s">
        <v>91</v>
      </c>
      <c r="B15" s="8">
        <f>COUNTIFS('Cashier Roster'!$C$5:$C$64,A15,'Cashier Roster'!$H$5:$H$64,"Active")</f>
        <v>2</v>
      </c>
      <c r="C15" s="8">
        <f>COUNTIFS('Cashier Roster'!$C$5:$C$64,A15,'Cashier Roster'!$H$5:$H$64,"Active",'Cashier Roster'!$D$5:$D$64,"Zone cashier (new)")</f>
        <v>1</v>
      </c>
      <c r="D15" s="8">
        <f>COUNTIFS('Daily Log'!$C$5:$C$4004,A15,'Daily Log'!$A$5:$A$4004,"&gt;="&amp;Settings!$B$5,'Daily Log'!$A$5:$A$4004,"&lt;="&amp;Settings!$B$6)</f>
        <v>2</v>
      </c>
      <c r="E15" s="8">
        <f>COUNTIFS('Daily Log'!$C$5:$C$4004,A15,'Daily Log'!$A$5:$A$4004,"&gt;="&amp;Settings!$B$5,'Daily Log'!$A$5:$A$4004,"&lt;="&amp;Settings!$B$6,'Daily Log'!$E$5:$E$4004,"Yes")</f>
        <v>0</v>
      </c>
      <c r="F15" s="20">
        <f t="shared" si="0"/>
        <v>0</v>
      </c>
      <c r="G15" s="21">
        <f>SUMIFS('Daily Log'!$H$5:$H$4004,'Daily Log'!$C$5:$C$4004,A15,'Daily Log'!$A$5:$A$4004,"&gt;="&amp;Settings!$B$5,'Daily Log'!$A$5:$A$4004,"&lt;="&amp;Settings!$B$6,'Daily Log'!$E$5:$E$4004,"Yes")</f>
        <v>0</v>
      </c>
      <c r="H15" s="17">
        <f>SUMIFS('Daily Log'!$I$5:$I$4004,'Daily Log'!$C$5:$C$4004,A15,'Daily Log'!$A$5:$A$4004,"&gt;="&amp;Settings!$B$5,'Daily Log'!$A$5:$A$4004,"&lt;="&amp;Settings!$B$6,'Daily Log'!$E$5:$E$4004,"Yes")</f>
        <v>0</v>
      </c>
      <c r="I15" s="17">
        <f>SUMIFS('Daily Log'!$J$5:$J$4004,'Daily Log'!$C$5:$C$4004,A15,'Daily Log'!$A$5:$A$4004,"&gt;="&amp;Settings!$B$5,'Daily Log'!$A$5:$A$4004,"&lt;="&amp;Settings!$B$6,'Daily Log'!$E$5:$E$4004,"Yes")</f>
        <v>0</v>
      </c>
      <c r="J15" s="17">
        <f>SUMIFS('Daily Log'!$K$5:$K$4004,'Daily Log'!$C$5:$C$4004,A15,'Daily Log'!$A$5:$A$4004,"&gt;="&amp;Settings!$B$5,'Daily Log'!$A$5:$A$4004,"&lt;="&amp;Settings!$B$6,'Daily Log'!$E$5:$E$4004,"Yes")</f>
        <v>0</v>
      </c>
      <c r="K15" s="17">
        <f t="shared" si="1"/>
        <v>0</v>
      </c>
      <c r="L15" s="16"/>
      <c r="M15" s="20" t="str">
        <f t="shared" si="2"/>
        <v/>
      </c>
    </row>
    <row r="16" spans="1:13" ht="15.75">
      <c r="A16" s="12" t="s">
        <v>99</v>
      </c>
      <c r="B16" s="8">
        <f>COUNTIFS('Cashier Roster'!$C$5:$C$64,A16,'Cashier Roster'!$H$5:$H$64,"Active")</f>
        <v>2</v>
      </c>
      <c r="C16" s="8">
        <f>COUNTIFS('Cashier Roster'!$C$5:$C$64,A16,'Cashier Roster'!$H$5:$H$64,"Active",'Cashier Roster'!$D$5:$D$64,"Zone cashier (new)")</f>
        <v>1</v>
      </c>
      <c r="D16" s="8">
        <f>COUNTIFS('Daily Log'!$C$5:$C$4004,A16,'Daily Log'!$A$5:$A$4004,"&gt;="&amp;Settings!$B$5,'Daily Log'!$A$5:$A$4004,"&lt;="&amp;Settings!$B$6)</f>
        <v>2</v>
      </c>
      <c r="E16" s="8">
        <f>COUNTIFS('Daily Log'!$C$5:$C$4004,A16,'Daily Log'!$A$5:$A$4004,"&gt;="&amp;Settings!$B$5,'Daily Log'!$A$5:$A$4004,"&lt;="&amp;Settings!$B$6,'Daily Log'!$E$5:$E$4004,"Yes")</f>
        <v>0</v>
      </c>
      <c r="F16" s="20">
        <f t="shared" si="0"/>
        <v>0</v>
      </c>
      <c r="G16" s="21">
        <f>SUMIFS('Daily Log'!$H$5:$H$4004,'Daily Log'!$C$5:$C$4004,A16,'Daily Log'!$A$5:$A$4004,"&gt;="&amp;Settings!$B$5,'Daily Log'!$A$5:$A$4004,"&lt;="&amp;Settings!$B$6,'Daily Log'!$E$5:$E$4004,"Yes")</f>
        <v>0</v>
      </c>
      <c r="H16" s="17">
        <f>SUMIFS('Daily Log'!$I$5:$I$4004,'Daily Log'!$C$5:$C$4004,A16,'Daily Log'!$A$5:$A$4004,"&gt;="&amp;Settings!$B$5,'Daily Log'!$A$5:$A$4004,"&lt;="&amp;Settings!$B$6,'Daily Log'!$E$5:$E$4004,"Yes")</f>
        <v>0</v>
      </c>
      <c r="I16" s="17">
        <f>SUMIFS('Daily Log'!$J$5:$J$4004,'Daily Log'!$C$5:$C$4004,A16,'Daily Log'!$A$5:$A$4004,"&gt;="&amp;Settings!$B$5,'Daily Log'!$A$5:$A$4004,"&lt;="&amp;Settings!$B$6,'Daily Log'!$E$5:$E$4004,"Yes")</f>
        <v>0</v>
      </c>
      <c r="J16" s="17">
        <f>SUMIFS('Daily Log'!$K$5:$K$4004,'Daily Log'!$C$5:$C$4004,A16,'Daily Log'!$A$5:$A$4004,"&gt;="&amp;Settings!$B$5,'Daily Log'!$A$5:$A$4004,"&lt;="&amp;Settings!$B$6,'Daily Log'!$E$5:$E$4004,"Yes")</f>
        <v>0</v>
      </c>
      <c r="K16" s="17">
        <f t="shared" si="1"/>
        <v>0</v>
      </c>
      <c r="L16" s="16"/>
      <c r="M16" s="20" t="str">
        <f t="shared" si="2"/>
        <v/>
      </c>
    </row>
    <row r="17" spans="1:13" ht="15.75">
      <c r="A17" s="12" t="s">
        <v>107</v>
      </c>
      <c r="B17" s="8">
        <f>COUNTIFS('Cashier Roster'!$C$5:$C$64,A17,'Cashier Roster'!$H$5:$H$64,"Active")</f>
        <v>1</v>
      </c>
      <c r="C17" s="8">
        <f>COUNTIFS('Cashier Roster'!$C$5:$C$64,A17,'Cashier Roster'!$H$5:$H$64,"Active",'Cashier Roster'!$D$5:$D$64,"Zone cashier (new)")</f>
        <v>0</v>
      </c>
      <c r="D17" s="8">
        <f>COUNTIFS('Daily Log'!$C$5:$C$4004,A17,'Daily Log'!$A$5:$A$4004,"&gt;="&amp;Settings!$B$5,'Daily Log'!$A$5:$A$4004,"&lt;="&amp;Settings!$B$6)</f>
        <v>1</v>
      </c>
      <c r="E17" s="8">
        <f>COUNTIFS('Daily Log'!$C$5:$C$4004,A17,'Daily Log'!$A$5:$A$4004,"&gt;="&amp;Settings!$B$5,'Daily Log'!$A$5:$A$4004,"&lt;="&amp;Settings!$B$6,'Daily Log'!$E$5:$E$4004,"Yes")</f>
        <v>0</v>
      </c>
      <c r="F17" s="20">
        <f t="shared" si="0"/>
        <v>0</v>
      </c>
      <c r="G17" s="21">
        <f>SUMIFS('Daily Log'!$H$5:$H$4004,'Daily Log'!$C$5:$C$4004,A17,'Daily Log'!$A$5:$A$4004,"&gt;="&amp;Settings!$B$5,'Daily Log'!$A$5:$A$4004,"&lt;="&amp;Settings!$B$6,'Daily Log'!$E$5:$E$4004,"Yes")</f>
        <v>0</v>
      </c>
      <c r="H17" s="17">
        <f>SUMIFS('Daily Log'!$I$5:$I$4004,'Daily Log'!$C$5:$C$4004,A17,'Daily Log'!$A$5:$A$4004,"&gt;="&amp;Settings!$B$5,'Daily Log'!$A$5:$A$4004,"&lt;="&amp;Settings!$B$6,'Daily Log'!$E$5:$E$4004,"Yes")</f>
        <v>0</v>
      </c>
      <c r="I17" s="17">
        <f>SUMIFS('Daily Log'!$J$5:$J$4004,'Daily Log'!$C$5:$C$4004,A17,'Daily Log'!$A$5:$A$4004,"&gt;="&amp;Settings!$B$5,'Daily Log'!$A$5:$A$4004,"&lt;="&amp;Settings!$B$6,'Daily Log'!$E$5:$E$4004,"Yes")</f>
        <v>0</v>
      </c>
      <c r="J17" s="17">
        <f>SUMIFS('Daily Log'!$K$5:$K$4004,'Daily Log'!$C$5:$C$4004,A17,'Daily Log'!$A$5:$A$4004,"&gt;="&amp;Settings!$B$5,'Daily Log'!$A$5:$A$4004,"&lt;="&amp;Settings!$B$6,'Daily Log'!$E$5:$E$4004,"Yes")</f>
        <v>0</v>
      </c>
      <c r="K17" s="17">
        <f t="shared" si="1"/>
        <v>0</v>
      </c>
      <c r="L17" s="16"/>
      <c r="M17" s="20" t="str">
        <f t="shared" si="2"/>
        <v/>
      </c>
    </row>
    <row r="18" spans="1:13">
      <c r="A18" s="23" t="s">
        <v>153</v>
      </c>
      <c r="B18" s="24">
        <f>SUM(B6:B17)</f>
        <v>20</v>
      </c>
      <c r="C18" s="24">
        <f>SUM(C6:C17)</f>
        <v>7</v>
      </c>
      <c r="D18" s="24">
        <f>SUM(D6:D17)</f>
        <v>20</v>
      </c>
      <c r="E18" s="24">
        <f>SUM(E6:E17)</f>
        <v>0</v>
      </c>
      <c r="F18" s="25">
        <f t="shared" si="0"/>
        <v>0</v>
      </c>
      <c r="G18" s="26">
        <f>SUM(G6:G17)</f>
        <v>0</v>
      </c>
      <c r="H18" s="27">
        <f>SUM(H6:H17)</f>
        <v>0</v>
      </c>
      <c r="I18" s="27">
        <f>SUM(I6:I17)</f>
        <v>0</v>
      </c>
      <c r="J18" s="27">
        <f>SUM(J6:J17)</f>
        <v>0</v>
      </c>
      <c r="K18" s="27">
        <f t="shared" si="1"/>
        <v>0</v>
      </c>
      <c r="L18" s="27">
        <f>SUM(L6:L17)</f>
        <v>0</v>
      </c>
      <c r="M18" s="25" t="str">
        <f t="shared" si="2"/>
        <v/>
      </c>
    </row>
    <row r="20" spans="1:13">
      <c r="A20" s="22" t="s">
        <v>154</v>
      </c>
    </row>
    <row r="21" spans="1:13">
      <c r="A21" s="22" t="s">
        <v>155</v>
      </c>
    </row>
  </sheetData>
  <conditionalFormatting sqref="F6:F17">
    <cfRule type="cellIs" dxfId="2" priority="4" operator="lessThan">
      <formula>0.8</formula>
    </cfRule>
  </conditionalFormatting>
  <conditionalFormatting sqref="M6:M17">
    <cfRule type="cellIs" dxfId="1" priority="2" operator="greaterThanOrEqual">
      <formula>1</formula>
    </cfRule>
    <cfRule type="cellIs" dxfId="0" priority="3" operator="less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showGridLines="0" zoomScaleNormal="100" workbookViewId="0"/>
  </sheetViews>
  <sheetFormatPr defaultColWidth="8.7109375" defaultRowHeight="15"/>
  <cols>
    <col min="1" max="1" width="34" customWidth="1"/>
    <col min="2" max="2" width="16" customWidth="1"/>
    <col min="3" max="3" width="60" customWidth="1"/>
  </cols>
  <sheetData>
    <row r="1" spans="1:3" ht="20.25">
      <c r="A1" s="5" t="s">
        <v>156</v>
      </c>
    </row>
    <row r="2" spans="1:3" ht="15.75">
      <c r="A2" s="6" t="s">
        <v>157</v>
      </c>
    </row>
    <row r="4" spans="1:3" ht="36" customHeight="1">
      <c r="A4" s="7" t="s">
        <v>158</v>
      </c>
      <c r="B4" s="7" t="s">
        <v>159</v>
      </c>
      <c r="C4" s="7" t="s">
        <v>160</v>
      </c>
    </row>
    <row r="5" spans="1:3" ht="15.75">
      <c r="A5" s="28" t="s">
        <v>161</v>
      </c>
      <c r="B5" s="29">
        <v>46296</v>
      </c>
      <c r="C5" s="30" t="s">
        <v>162</v>
      </c>
    </row>
    <row r="6" spans="1:3" ht="15.75">
      <c r="A6" s="28" t="s">
        <v>163</v>
      </c>
      <c r="B6" s="29">
        <v>46326</v>
      </c>
      <c r="C6" s="30" t="s">
        <v>164</v>
      </c>
    </row>
    <row r="7" spans="1:3" ht="15.75">
      <c r="A7" s="28" t="s">
        <v>165</v>
      </c>
      <c r="B7" s="31">
        <v>0.75</v>
      </c>
      <c r="C7" s="30" t="s">
        <v>166</v>
      </c>
    </row>
    <row r="8" spans="1:3" ht="15.75">
      <c r="A8" s="28" t="s">
        <v>167</v>
      </c>
      <c r="B8" s="32">
        <v>4.4999999999999997E-3</v>
      </c>
      <c r="C8" s="30" t="s">
        <v>168</v>
      </c>
    </row>
    <row r="10" spans="1:3" ht="15.75">
      <c r="A10" s="33" t="s">
        <v>169</v>
      </c>
    </row>
    <row r="11" spans="1:3" ht="36" customHeight="1">
      <c r="A11" s="7" t="s">
        <v>24</v>
      </c>
      <c r="B11" s="7" t="s">
        <v>170</v>
      </c>
      <c r="C11" s="7" t="s">
        <v>171</v>
      </c>
    </row>
    <row r="12" spans="1:3">
      <c r="A12" s="34" t="s">
        <v>32</v>
      </c>
      <c r="B12" s="34" t="s">
        <v>33</v>
      </c>
      <c r="C12" s="34" t="s">
        <v>36</v>
      </c>
    </row>
    <row r="13" spans="1:3">
      <c r="A13" s="34" t="s">
        <v>42</v>
      </c>
      <c r="B13" s="34" t="s">
        <v>38</v>
      </c>
      <c r="C13" s="34" t="s">
        <v>114</v>
      </c>
    </row>
    <row r="14" spans="1:3">
      <c r="A14" s="34" t="s">
        <v>46</v>
      </c>
      <c r="C14" s="34" t="s">
        <v>111</v>
      </c>
    </row>
    <row r="15" spans="1:3">
      <c r="A15" s="34" t="s">
        <v>53</v>
      </c>
      <c r="C15" s="34" t="s">
        <v>172</v>
      </c>
    </row>
    <row r="16" spans="1:3">
      <c r="A16" s="34" t="s">
        <v>61</v>
      </c>
    </row>
    <row r="17" spans="1:1">
      <c r="A17" s="34" t="s">
        <v>69</v>
      </c>
    </row>
    <row r="18" spans="1:1">
      <c r="A18" s="34" t="s">
        <v>73</v>
      </c>
    </row>
    <row r="19" spans="1:1">
      <c r="A19" s="34" t="s">
        <v>80</v>
      </c>
    </row>
    <row r="20" spans="1:1">
      <c r="A20" s="34" t="s">
        <v>87</v>
      </c>
    </row>
    <row r="21" spans="1:1">
      <c r="A21" s="34" t="s">
        <v>91</v>
      </c>
    </row>
    <row r="22" spans="1:1">
      <c r="A22" s="34" t="s">
        <v>99</v>
      </c>
    </row>
    <row r="23" spans="1:1">
      <c r="A23" s="34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2026-10-20T12:37:05Z</dcterms:created>
  <dcterms:modified xsi:type="dcterms:W3CDTF">2026-10-25T16:20:30Z</dcterms:modified>
  <cp:category/>
  <cp:contentStatus/>
</cp:coreProperties>
</file>